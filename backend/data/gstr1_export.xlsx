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2B" sheetId="2" r:id="rId2"/>
    <sheet name="B2CL" sheetId="3" r:id="rId3"/>
    <sheet name="B2CS" sheetId="4" r:id="rId4"/>
    <sheet name="EXP" sheetId="5" r:id="rId5"/>
    <sheet name="CDNR" sheetId="6" r:id="rId6"/>
    <sheet name="CDNUR" sheetId="7" r:id="rId7"/>
    <sheet name="HSN" sheetId="8" r:id="rId8"/>
    <sheet name="Docs" sheetId="9" r:id="rId9"/>
  </sheets>
  <calcPr calcId="124519" fullCalcOnLoad="1"/>
</workbook>
</file>

<file path=xl/sharedStrings.xml><?xml version="1.0" encoding="utf-8"?>
<sst xmlns="http://schemas.openxmlformats.org/spreadsheetml/2006/main" count="176" uniqueCount="106">
  <si>
    <t>GSTR-1 Summary Report</t>
  </si>
  <si>
    <t>Return Period: 122025  |  GSTIN: 27AAAAA1234A1ZA  |  ABC Pvt Ltd</t>
  </si>
  <si>
    <t>Document Counts by Section</t>
  </si>
  <si>
    <t>Section</t>
  </si>
  <si>
    <t>Count</t>
  </si>
  <si>
    <t>Excel Formula</t>
  </si>
  <si>
    <t>Taxable Value</t>
  </si>
  <si>
    <t>B2B (Registered)</t>
  </si>
  <si>
    <t>B2CL (Export &gt; 2.5L)</t>
  </si>
  <si>
    <t>B2CS (Unregistered)</t>
  </si>
  <si>
    <t>Export</t>
  </si>
  <si>
    <t>CDNR (Registered CN/DN)</t>
  </si>
  <si>
    <t>CDNUR (Unregistered CN/DN)</t>
  </si>
  <si>
    <t>TOTAL</t>
  </si>
  <si>
    <t>Tax Summary</t>
  </si>
  <si>
    <t>Tax Component</t>
  </si>
  <si>
    <t>Amount (INR)</t>
  </si>
  <si>
    <t>Excel Formula Reference</t>
  </si>
  <si>
    <t>Description</t>
  </si>
  <si>
    <t>IGST</t>
  </si>
  <si>
    <t>Inter-state sales &amp; exports</t>
  </si>
  <si>
    <t>CGST</t>
  </si>
  <si>
    <t>Intra-state (Central share)</t>
  </si>
  <si>
    <t>SGST/UTGST</t>
  </si>
  <si>
    <t>Intra-state (State/UT share)</t>
  </si>
  <si>
    <t>Cess</t>
  </si>
  <si>
    <t>Goods (GST exempt goods)</t>
  </si>
  <si>
    <t>TOTAL TAX</t>
  </si>
  <si>
    <t>GRAND TOTAL (Taxable + Tax)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</si>
  <si>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</si>
  <si>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</si>
  <si>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</si>
  <si>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</si>
  <si>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</si>
  <si>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</si>
  <si>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</si>
  <si>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</si>
  <si>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</si>
  <si>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</si>
  <si>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</si>
  <si>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Integrated Tax</t>
  </si>
  <si>
    <t>Central Tax</t>
  </si>
  <si>
    <t>State/UT Tax</t>
  </si>
  <si>
    <t>Cess Amount</t>
  </si>
  <si>
    <t>27ABCDE1234F1Z5</t>
  </si>
  <si>
    <t>ABC Traders</t>
  </si>
  <si>
    <t>INV001</t>
  </si>
  <si>
    <t>05/12/2025</t>
  </si>
  <si>
    <t>27</t>
  </si>
  <si>
    <t>N</t>
  </si>
  <si>
    <t>Regular</t>
  </si>
  <si>
    <t>29ABCDE5678G1Z2</t>
  </si>
  <si>
    <t>XYZ Pvt Ltd</t>
  </si>
  <si>
    <t>INV002</t>
  </si>
  <si>
    <t>06/12/2025</t>
  </si>
  <si>
    <t>29</t>
  </si>
  <si>
    <t>INV008</t>
  </si>
  <si>
    <t>15/12/2025</t>
  </si>
  <si>
    <t>27ABCDE9999F1Z5</t>
  </si>
  <si>
    <t>RCM Buyer</t>
  </si>
  <si>
    <t>INV007</t>
  </si>
  <si>
    <t>14/12/2025</t>
  </si>
  <si>
    <t>Y</t>
  </si>
  <si>
    <t>INV003</t>
  </si>
  <si>
    <t>07/12/2025</t>
  </si>
  <si>
    <t>Type</t>
  </si>
  <si>
    <t>OE</t>
  </si>
  <si>
    <t>Export Type</t>
  </si>
  <si>
    <t>Port Code</t>
  </si>
  <si>
    <t>Shipping Bill Number</t>
  </si>
  <si>
    <t>Shipping Bill Date</t>
  </si>
  <si>
    <t>Integrated Tax Amount</t>
  </si>
  <si>
    <t>WOPAY</t>
  </si>
  <si>
    <t>INV005</t>
  </si>
  <si>
    <t>09/12/2025</t>
  </si>
  <si>
    <t>INV006</t>
  </si>
  <si>
    <t>10/12/2025</t>
  </si>
  <si>
    <t>Note Number</t>
  </si>
  <si>
    <t>Note Date</t>
  </si>
  <si>
    <t>Note Type</t>
  </si>
  <si>
    <t>Note Supply Type</t>
  </si>
  <si>
    <t>Note Value</t>
  </si>
  <si>
    <t>CN001</t>
  </si>
  <si>
    <t>12/12/2025</t>
  </si>
  <si>
    <t>Credit Note</t>
  </si>
  <si>
    <t>UR Type</t>
  </si>
  <si>
    <t>HSN</t>
  </si>
  <si>
    <t>UQC</t>
  </si>
  <si>
    <t>Total Quantity</t>
  </si>
  <si>
    <t>Total Value</t>
  </si>
  <si>
    <t>Central Tax Amount</t>
  </si>
  <si>
    <t>State/UT Tax Amount</t>
  </si>
  <si>
    <t>8471</t>
  </si>
  <si>
    <t>NOS</t>
  </si>
  <si>
    <t>8504</t>
  </si>
  <si>
    <t>9983</t>
  </si>
  <si>
    <t>Nature of Document</t>
  </si>
  <si>
    <t>Sr No From</t>
  </si>
  <si>
    <t>Sr No To</t>
  </si>
  <si>
    <t>Total Number</t>
  </si>
  <si>
    <t>Total Cancelled</t>
  </si>
  <si>
    <t>Net Issue</t>
  </si>
  <si>
    <t>Invoices for outward supply</t>
  </si>
  <si>
    <t>Invoices for inward supply from unregistered person</t>
  </si>
  <si>
    <t>Debit Note</t>
  </si>
  <si>
    <t>Delivery Challan for job work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</si>
</sst>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dd/mm/yyyy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55.7109375" customWidth="1"/>
    <col min="4" max="4" width="3.7109375" customWidth="1"/>
    <col min="5" max="5" width="18.7109375" customWidth="1"/>
    <col min="6" max="6" width="45.7109375" customWidth="1"/>
  </cols>
  <sheetData>
    <row r="1" spans="1:6">
      <c r="A1" s="1" t="s">
        <v>0</v>
      </c>
      <c r="B1" s="1"/>
      <c r="C1" s="1"/>
      <c r="D1" s="1"/>
      <c r="E1" s="1"/>
    </row>
    <row r="2" spans="1:6">
      <c r="A2" s="2" t="s">
        <v>1</v>
      </c>
      <c r="B2" s="2"/>
      <c r="C2" s="2"/>
      <c r="D2" s="2"/>
      <c r="E2" s="2"/>
    </row>
    <row r="4" spans="1:6">
      <c r="A4" s="3" t="s">
        <v>2</v>
      </c>
      <c r="B4" s="3"/>
      <c r="C4" s="3"/>
      <c r="D4" s="3"/>
      <c r="E4" s="3"/>
      <c r="F4" s="3"/>
    </row>
    <row r="6" spans="1:6">
      <c r="A6" s="4" t="s">
        <v>3</v>
      </c>
      <c r="B6" s="4" t="s">
        <v>4</v>
      </c>
      <c r="C6" s="4" t="s">
        <v>5</v>
      </c>
      <c r="D6" s="4"/>
      <c r="E6" s="4" t="s">
        <v>6</v>
      </c>
      <c r="F6" s="4" t="s">
        <v>5</v>
      </c>
    </row>
    <row r="7" spans="1:6">
      <c r="A7" s="2" t="s">
        <v>7</v>
      </c>
      <c r="B7" s="5">
        <v>4</v>
      </c>
      <c r="C7" s="6">
        <f>COUNTA('B2B'!C:C)-1</f>
        <v>0</v>
      </c>
      <c r="D7" s="2"/>
      <c r="E7" s="7">
        <f>SUM('B2B'!L:L)</f>
        <v>0</v>
      </c>
      <c r="F7" s="8">
        <f>SUM('B2B'!L:L)</f>
        <v>0</v>
      </c>
    </row>
    <row r="8" spans="1:6">
      <c r="A8" s="2" t="s">
        <v>8</v>
      </c>
      <c r="B8" s="5">
        <v>1</v>
      </c>
      <c r="C8" s="6">
        <f>COUNTA('B2CL'!A:A)-1</f>
        <v>0</v>
      </c>
      <c r="D8" s="2"/>
      <c r="E8" s="7">
        <v>254237.29</v>
      </c>
      <c r="F8" s="8">
        <f>SUM('B2CL'!G:G)</f>
        <v>0</v>
      </c>
    </row>
    <row r="9" spans="1:6">
      <c r="A9" s="2" t="s">
        <v>9</v>
      </c>
      <c r="B9" s="5">
        <v>1</v>
      </c>
      <c r="C9" s="6">
        <f>COUNTA('B2CS'!A:A)-1</f>
        <v>0</v>
      </c>
      <c r="D9" s="2"/>
      <c r="E9" s="7">
        <v>10000</v>
      </c>
      <c r="F9" s="8">
        <f>SUM('B2CS'!E:E)</f>
        <v>0</v>
      </c>
    </row>
    <row r="10" spans="1:6">
      <c r="A10" s="2" t="s">
        <v>10</v>
      </c>
      <c r="B10" s="5">
        <v>2</v>
      </c>
      <c r="C10" s="6">
        <f>COUNTA('EXP'!B:B)-1</f>
        <v>0</v>
      </c>
      <c r="D10" s="2"/>
      <c r="E10" s="7">
        <v>150000</v>
      </c>
      <c r="F10" s="8">
        <f>SUM('EXP'!I:I)</f>
        <v>0</v>
      </c>
    </row>
    <row r="11" spans="1:6">
      <c r="A11" s="2" t="s">
        <v>11</v>
      </c>
      <c r="B11" s="5">
        <v>1</v>
      </c>
      <c r="C11" s="6">
        <f>COUNTA('CDNR'!C:C)-1</f>
        <v>0</v>
      </c>
      <c r="D11" s="2"/>
      <c r="E11" s="7">
        <v>0</v>
      </c>
      <c r="F11" s="8">
        <f>SUM('CDNR'!L:L)</f>
        <v>0</v>
      </c>
    </row>
    <row r="12" spans="1:6">
      <c r="A12" s="2" t="s">
        <v>12</v>
      </c>
      <c r="B12" s="5">
        <v>0</v>
      </c>
      <c r="C12" s="6">
        <f>COUNTA('CDNUR'!B:B)-1</f>
        <v>0</v>
      </c>
      <c r="D12" s="2"/>
      <c r="E12" s="7">
        <v>0</v>
      </c>
      <c r="F12" s="8">
        <f>SUM('CDNUR'!I:I)</f>
        <v>0</v>
      </c>
    </row>
    <row r="13" spans="1:6">
      <c r="A13" s="4" t="s">
        <v>13</v>
      </c>
      <c r="B13" s="5">
        <f>SUM(B6:B12)</f>
        <v>0</v>
      </c>
      <c r="C13" s="2"/>
      <c r="D13" s="2"/>
      <c r="E13" s="7">
        <f>SUM(E6:E12)</f>
        <v>0</v>
      </c>
    </row>
    <row r="14" spans="1:6">
      <c r="A14" s="3" t="s">
        <v>14</v>
      </c>
      <c r="B14" s="3"/>
      <c r="C14" s="3"/>
      <c r="D14" s="3"/>
      <c r="E14" s="3"/>
      <c r="F14" s="3"/>
    </row>
    <row r="16" spans="1:6">
      <c r="A16" s="4" t="s">
        <v>15</v>
      </c>
      <c r="B16" s="4" t="s">
        <v>16</v>
      </c>
      <c r="C16" s="4" t="s">
        <v>17</v>
      </c>
      <c r="D16" s="4"/>
      <c r="E16" s="4" t="s">
        <v>18</v>
      </c>
      <c r="F16" s="4"/>
    </row>
    <row r="17" spans="1:5">
      <c r="A17" s="2" t="s">
        <v>19</v>
      </c>
      <c r="B17" s="7">
        <v>90762.71000000001</v>
      </c>
      <c r="C17" s="8">
        <f>SUM('B2B'!M:M,'B2CL'!H:H,'B2CS'!F:F,'EXP'!K:K)+SUM('CDNUR'!J:J)</f>
        <v>0</v>
      </c>
      <c r="D17" s="2"/>
      <c r="E17" s="2" t="s">
        <v>20</v>
      </c>
    </row>
    <row r="18" spans="1:5">
      <c r="A18" s="2" t="s">
        <v>21</v>
      </c>
      <c r="B18" s="7">
        <v>45381.35</v>
      </c>
      <c r="C18" s="8">
        <f>SUM('B2B'!N:N,'B2CL'!I:I,'B2CS'!G:G)</f>
        <v>0</v>
      </c>
      <c r="D18" s="2"/>
      <c r="E18" s="2" t="s">
        <v>22</v>
      </c>
    </row>
    <row r="19" spans="1:5">
      <c r="A19" s="2" t="s">
        <v>23</v>
      </c>
      <c r="B19" s="7">
        <v>45381.35</v>
      </c>
      <c r="C19" s="8">
        <f>SUM('B2B'!O:O,'B2CL'!J:J,'B2CS'!H:H)</f>
        <v>0</v>
      </c>
      <c r="D19" s="2"/>
      <c r="E19" s="2" t="s">
        <v>24</v>
      </c>
    </row>
    <row r="20" spans="1:5">
      <c r="A20" s="2" t="s">
        <v>25</v>
      </c>
      <c r="B20" s="7">
        <v>0</v>
      </c>
      <c r="C20" s="8">
        <f>SUM('B2CL'!K:K,'B2CS'!I:I,'EXP'!L:L)+SUM('CDNR'!M:M,'CDNUR'!K:K)</f>
        <v>0</v>
      </c>
      <c r="D20" s="2"/>
      <c r="E20" s="2" t="s">
        <v>26</v>
      </c>
    </row>
    <row r="21" spans="1:5">
      <c r="A21" s="4" t="s">
        <v>27</v>
      </c>
      <c r="B21" s="7">
        <f>B16+B17+B18+B19</f>
        <v>0</v>
      </c>
      <c r="C21" s="2"/>
    </row>
    <row r="22" spans="1:5">
      <c r="A22" s="1" t="s">
        <v>28</v>
      </c>
      <c r="B22" s="1"/>
      <c r="C22" s="1"/>
    </row>
    <row r="23" spans="1:5">
      <c r="E23" s="7">
        <f>E20+B21</f>
        <v>0</v>
      </c>
    </row>
  </sheetData>
  <mergeCells count="5">
    <mergeCell ref="A1:E1"/>
    <mergeCell ref="A2:E2"/>
    <mergeCell ref="A4:F4"/>
    <mergeCell ref="A14:F14"/>
    <mergeCell ref="A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P8"/>
  <sheetViews>
    <sheetView workbookViewId="0"/>
  </sheetViews>
  <sheetFormatPr defaultRowHeight="15"/>
  <cols>
    <col min="1" max="1" width="24.7109375" customWidth="1"/>
    <col min="2" max="2" width="15.7109375" customWidth="1"/>
    <col min="3" max="3" width="16.7109375" customWidth="1"/>
    <col min="4" max="4" width="14.7109375" customWidth="1"/>
    <col min="5" max="5" width="15.7109375" customWidth="1"/>
    <col min="6" max="6" width="17.7109375" customWidth="1"/>
    <col min="7" max="7" width="16.7109375" customWidth="1"/>
    <col min="8" max="8" width="26.7109375" customWidth="1"/>
    <col min="9" max="9" width="14.7109375" customWidth="1"/>
    <col min="10" max="10" width="18.7109375" customWidth="1"/>
    <col min="11" max="11" width="10.7109375" customWidth="1"/>
    <col min="12" max="12" width="15.7109375" customWidth="1"/>
    <col min="13" max="13" width="16.7109375" customWidth="1"/>
    <col min="14" max="14" width="13.7109375" customWidth="1"/>
    <col min="15" max="15" width="14.7109375" customWidth="1"/>
    <col min="16" max="16" width="13.7109375" customWidth="1"/>
  </cols>
  <sheetData>
    <row r="4" spans="1:16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 t="s">
        <v>6</v>
      </c>
      <c r="M4" s="9" t="s">
        <v>40</v>
      </c>
      <c r="N4" s="9" t="s">
        <v>41</v>
      </c>
      <c r="O4" s="9" t="s">
        <v>42</v>
      </c>
      <c r="P4" s="9" t="s">
        <v>43</v>
      </c>
    </row>
    <row r="5" spans="1:16">
      <c r="A5" s="2" t="s">
        <v>44</v>
      </c>
      <c r="B5" s="2" t="s">
        <v>45</v>
      </c>
      <c r="C5" s="2" t="s">
        <v>46</v>
      </c>
      <c r="D5" s="10" t="s">
        <v>47</v>
      </c>
      <c r="E5" s="8">
        <v>118000</v>
      </c>
      <c r="F5" s="11" t="s">
        <v>48</v>
      </c>
      <c r="G5" s="11" t="s">
        <v>49</v>
      </c>
      <c r="H5" s="11"/>
      <c r="I5" s="11" t="s">
        <v>50</v>
      </c>
      <c r="J5" s="2"/>
      <c r="K5" s="8">
        <v>18</v>
      </c>
      <c r="L5" s="8">
        <v>100000</v>
      </c>
      <c r="M5" s="8">
        <v>0</v>
      </c>
      <c r="N5" s="8">
        <v>9000</v>
      </c>
      <c r="O5" s="8">
        <v>9000</v>
      </c>
      <c r="P5" s="8">
        <v>0</v>
      </c>
    </row>
    <row r="6" spans="1:16">
      <c r="A6" s="2" t="s">
        <v>51</v>
      </c>
      <c r="B6" s="2" t="s">
        <v>52</v>
      </c>
      <c r="C6" s="2" t="s">
        <v>53</v>
      </c>
      <c r="D6" s="10" t="s">
        <v>54</v>
      </c>
      <c r="E6" s="8">
        <v>118000</v>
      </c>
      <c r="F6" s="11" t="s">
        <v>55</v>
      </c>
      <c r="G6" s="11" t="s">
        <v>49</v>
      </c>
      <c r="H6" s="11"/>
      <c r="I6" s="11" t="s">
        <v>50</v>
      </c>
      <c r="J6" s="2"/>
      <c r="K6" s="8">
        <v>18</v>
      </c>
      <c r="L6" s="8">
        <v>100000</v>
      </c>
      <c r="M6" s="8">
        <v>18000</v>
      </c>
      <c r="N6" s="8">
        <v>9000</v>
      </c>
      <c r="O6" s="8">
        <v>9000</v>
      </c>
      <c r="P6" s="8">
        <v>0</v>
      </c>
    </row>
    <row r="7" spans="1:16">
      <c r="A7" s="2" t="s">
        <v>51</v>
      </c>
      <c r="B7" s="2" t="s">
        <v>52</v>
      </c>
      <c r="C7" s="2" t="s">
        <v>56</v>
      </c>
      <c r="D7" s="10" t="s">
        <v>57</v>
      </c>
      <c r="E7" s="8">
        <v>59000</v>
      </c>
      <c r="F7" s="11" t="s">
        <v>55</v>
      </c>
      <c r="G7" s="11" t="s">
        <v>49</v>
      </c>
      <c r="H7" s="11"/>
      <c r="I7" s="11" t="s">
        <v>50</v>
      </c>
      <c r="J7" s="2"/>
      <c r="K7" s="8">
        <v>18</v>
      </c>
      <c r="L7" s="8">
        <v>50000</v>
      </c>
      <c r="M7" s="8">
        <v>9000</v>
      </c>
      <c r="N7" s="8">
        <v>4500</v>
      </c>
      <c r="O7" s="8">
        <v>4500</v>
      </c>
      <c r="P7" s="8">
        <v>0</v>
      </c>
    </row>
    <row r="8" spans="1:16">
      <c r="A8" s="2" t="s">
        <v>58</v>
      </c>
      <c r="B8" s="2" t="s">
        <v>59</v>
      </c>
      <c r="C8" s="2" t="s">
        <v>60</v>
      </c>
      <c r="D8" s="10" t="s">
        <v>61</v>
      </c>
      <c r="E8" s="8">
        <v>10000</v>
      </c>
      <c r="F8" s="11" t="s">
        <v>48</v>
      </c>
      <c r="G8" s="11" t="s">
        <v>62</v>
      </c>
      <c r="H8" s="11"/>
      <c r="I8" s="11" t="s">
        <v>50</v>
      </c>
      <c r="J8" s="2"/>
      <c r="K8" s="8">
        <v>18</v>
      </c>
      <c r="L8" s="8">
        <v>10000</v>
      </c>
      <c r="M8" s="8">
        <v>0</v>
      </c>
      <c r="N8" s="8">
        <v>900</v>
      </c>
      <c r="O8" s="8">
        <v>900</v>
      </c>
      <c r="P8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L5"/>
  <sheetViews>
    <sheetView workbookViewId="0"/>
  </sheetViews>
  <sheetFormatPr defaultRowHeight="15"/>
  <cols>
    <col min="1" max="1" width="16.7109375" customWidth="1"/>
    <col min="2" max="2" width="14.7109375" customWidth="1"/>
    <col min="3" max="3" width="15.7109375" customWidth="1"/>
    <col min="4" max="4" width="17.7109375" customWidth="1"/>
    <col min="5" max="5" width="26.7109375" customWidth="1"/>
    <col min="6" max="6" width="10.7109375" customWidth="1"/>
    <col min="7" max="7" width="15.7109375" customWidth="1"/>
    <col min="8" max="8" width="16.7109375" customWidth="1"/>
    <col min="9" max="9" width="13.7109375" customWidth="1"/>
    <col min="10" max="10" width="14.7109375" customWidth="1"/>
    <col min="11" max="11" width="13.7109375" customWidth="1"/>
    <col min="12" max="12" width="18.7109375" customWidth="1"/>
  </cols>
  <sheetData>
    <row r="4" spans="1:12">
      <c r="A4" s="9" t="s">
        <v>31</v>
      </c>
      <c r="B4" s="9" t="s">
        <v>32</v>
      </c>
      <c r="C4" s="9" t="s">
        <v>33</v>
      </c>
      <c r="D4" s="9" t="s">
        <v>34</v>
      </c>
      <c r="E4" s="9" t="s">
        <v>36</v>
      </c>
      <c r="F4" s="9" t="s">
        <v>39</v>
      </c>
      <c r="G4" s="9" t="s">
        <v>6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38</v>
      </c>
    </row>
    <row r="5" spans="1:12">
      <c r="A5" s="2" t="s">
        <v>63</v>
      </c>
      <c r="B5" s="10" t="s">
        <v>64</v>
      </c>
      <c r="C5" s="8">
        <v>300000</v>
      </c>
      <c r="D5" s="11" t="s">
        <v>55</v>
      </c>
      <c r="E5" s="11"/>
      <c r="F5" s="8">
        <v>18</v>
      </c>
      <c r="G5" s="8">
        <v>254237.29</v>
      </c>
      <c r="H5" s="8">
        <v>45762.71</v>
      </c>
      <c r="I5" s="8">
        <v>22881.35</v>
      </c>
      <c r="J5" s="8">
        <v>22881.35</v>
      </c>
      <c r="K5" s="8">
        <v>0</v>
      </c>
      <c r="L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J5"/>
  <sheetViews>
    <sheetView workbookViewId="0"/>
  </sheetViews>
  <sheetFormatPr defaultRowHeight="15"/>
  <cols>
    <col min="1" max="1" width="10.7109375" customWidth="1"/>
    <col min="2" max="2" width="17.7109375" customWidth="1"/>
    <col min="3" max="3" width="26.7109375" customWidth="1"/>
    <col min="4" max="4" width="10.7109375" customWidth="1"/>
    <col min="5" max="5" width="15.7109375" customWidth="1"/>
    <col min="6" max="6" width="16.7109375" customWidth="1"/>
    <col min="7" max="7" width="13.7109375" customWidth="1"/>
    <col min="8" max="8" width="14.7109375" customWidth="1"/>
    <col min="9" max="9" width="13.7109375" customWidth="1"/>
    <col min="10" max="10" width="18.7109375" customWidth="1"/>
  </cols>
  <sheetData>
    <row r="4" spans="1:10">
      <c r="A4" s="9" t="s">
        <v>65</v>
      </c>
      <c r="B4" s="9" t="s">
        <v>34</v>
      </c>
      <c r="C4" s="9" t="s">
        <v>36</v>
      </c>
      <c r="D4" s="9" t="s">
        <v>39</v>
      </c>
      <c r="E4" s="9" t="s">
        <v>6</v>
      </c>
      <c r="F4" s="9" t="s">
        <v>40</v>
      </c>
      <c r="G4" s="9" t="s">
        <v>41</v>
      </c>
      <c r="H4" s="9" t="s">
        <v>42</v>
      </c>
      <c r="I4" s="9" t="s">
        <v>43</v>
      </c>
      <c r="J4" s="9" t="s">
        <v>38</v>
      </c>
    </row>
    <row r="5" spans="1:10">
      <c r="A5" s="11" t="s">
        <v>66</v>
      </c>
      <c r="B5" s="11" t="s">
        <v>48</v>
      </c>
      <c r="C5" s="11"/>
      <c r="D5" s="8">
        <v>18</v>
      </c>
      <c r="E5" s="8">
        <v>10000</v>
      </c>
      <c r="F5" s="8">
        <v>0</v>
      </c>
      <c r="G5" s="8">
        <v>900</v>
      </c>
      <c r="H5" s="8">
        <v>900</v>
      </c>
      <c r="I5" s="8">
        <v>0</v>
      </c>
      <c r="J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4:K6"/>
  <sheetViews>
    <sheetView workbookViewId="0"/>
  </sheetViews>
  <sheetFormatPr defaultRowHeight="15"/>
  <cols>
    <col min="1" max="1" width="13.7109375" customWidth="1"/>
    <col min="2" max="2" width="16.7109375" customWidth="1"/>
    <col min="3" max="3" width="14.7109375" customWidth="1"/>
    <col min="4" max="4" width="15.7109375" customWidth="1"/>
    <col min="5" max="5" width="11.7109375" customWidth="1"/>
    <col min="6" max="6" width="22.7109375" customWidth="1"/>
    <col min="7" max="7" width="20.7109375" customWidth="1"/>
    <col min="8" max="8" width="15.7109375" customWidth="1"/>
    <col min="9" max="9" width="10.7109375" customWidth="1"/>
    <col min="10" max="10" width="23.7109375" customWidth="1"/>
    <col min="11" max="11" width="13.7109375" customWidth="1"/>
  </cols>
  <sheetData>
    <row r="4" spans="1:11">
      <c r="A4" s="9" t="s">
        <v>67</v>
      </c>
      <c r="B4" s="9" t="s">
        <v>31</v>
      </c>
      <c r="C4" s="9" t="s">
        <v>32</v>
      </c>
      <c r="D4" s="9" t="s">
        <v>33</v>
      </c>
      <c r="E4" s="9" t="s">
        <v>68</v>
      </c>
      <c r="F4" s="9" t="s">
        <v>69</v>
      </c>
      <c r="G4" s="9" t="s">
        <v>70</v>
      </c>
      <c r="H4" s="9" t="s">
        <v>6</v>
      </c>
      <c r="I4" s="9" t="s">
        <v>39</v>
      </c>
      <c r="J4" s="9" t="s">
        <v>71</v>
      </c>
      <c r="K4" s="9" t="s">
        <v>43</v>
      </c>
    </row>
    <row r="5" spans="1:11">
      <c r="A5" s="11" t="s">
        <v>72</v>
      </c>
      <c r="B5" s="2" t="s">
        <v>73</v>
      </c>
      <c r="C5" s="10" t="s">
        <v>74</v>
      </c>
      <c r="D5" s="8">
        <v>100000</v>
      </c>
      <c r="E5" s="11"/>
      <c r="F5" s="2"/>
      <c r="G5" s="10"/>
      <c r="H5" s="8">
        <v>100000</v>
      </c>
      <c r="I5" s="8">
        <v>18</v>
      </c>
      <c r="J5" s="8">
        <v>18000</v>
      </c>
      <c r="K5" s="8">
        <v>0</v>
      </c>
    </row>
    <row r="6" spans="1:11">
      <c r="A6" s="11" t="s">
        <v>72</v>
      </c>
      <c r="B6" s="2" t="s">
        <v>75</v>
      </c>
      <c r="C6" s="10" t="s">
        <v>76</v>
      </c>
      <c r="D6" s="8">
        <v>50000</v>
      </c>
      <c r="E6" s="11"/>
      <c r="F6" s="2"/>
      <c r="G6" s="10"/>
      <c r="H6" s="8">
        <v>50000</v>
      </c>
      <c r="I6" s="8">
        <v>0</v>
      </c>
      <c r="J6" s="8">
        <v>0</v>
      </c>
      <c r="K6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4:M5"/>
  <sheetViews>
    <sheetView workbookViewId="0"/>
  </sheetViews>
  <sheetFormatPr defaultRowHeight="15"/>
  <cols>
    <col min="1" max="1" width="24.7109375" customWidth="1"/>
    <col min="2" max="2" width="15.7109375" customWidth="1"/>
    <col min="3" max="3" width="13.7109375" customWidth="1"/>
    <col min="4" max="5" width="11.7109375" customWidth="1"/>
    <col min="6" max="6" width="17.7109375" customWidth="1"/>
    <col min="7" max="7" width="16.7109375" customWidth="1"/>
    <col min="8" max="8" width="18.7109375" customWidth="1"/>
    <col min="9" max="9" width="12.7109375" customWidth="1"/>
    <col min="10" max="10" width="26.7109375" customWidth="1"/>
    <col min="11" max="11" width="10.7109375" customWidth="1"/>
    <col min="12" max="12" width="15.7109375" customWidth="1"/>
    <col min="13" max="13" width="13.7109375" customWidth="1"/>
  </cols>
  <sheetData>
    <row r="4" spans="1:13">
      <c r="A4" s="9" t="s">
        <v>29</v>
      </c>
      <c r="B4" s="9" t="s">
        <v>30</v>
      </c>
      <c r="C4" s="9" t="s">
        <v>77</v>
      </c>
      <c r="D4" s="9" t="s">
        <v>78</v>
      </c>
      <c r="E4" s="9" t="s">
        <v>79</v>
      </c>
      <c r="F4" s="9" t="s">
        <v>34</v>
      </c>
      <c r="G4" s="9" t="s">
        <v>35</v>
      </c>
      <c r="H4" s="9" t="s">
        <v>80</v>
      </c>
      <c r="I4" s="9" t="s">
        <v>81</v>
      </c>
      <c r="J4" s="9" t="s">
        <v>36</v>
      </c>
      <c r="K4" s="9" t="s">
        <v>39</v>
      </c>
      <c r="L4" s="9" t="s">
        <v>6</v>
      </c>
      <c r="M4" s="9" t="s">
        <v>43</v>
      </c>
    </row>
    <row r="5" spans="1:13">
      <c r="A5" s="2" t="s">
        <v>44</v>
      </c>
      <c r="B5" s="2" t="s">
        <v>45</v>
      </c>
      <c r="C5" s="2" t="s">
        <v>82</v>
      </c>
      <c r="D5" s="10" t="s">
        <v>83</v>
      </c>
      <c r="E5" s="11" t="s">
        <v>84</v>
      </c>
      <c r="F5" s="11" t="s">
        <v>48</v>
      </c>
      <c r="G5" s="11" t="s">
        <v>62</v>
      </c>
      <c r="H5" s="11"/>
      <c r="I5" s="8">
        <v>11800</v>
      </c>
      <c r="J5" s="11"/>
      <c r="K5" s="8">
        <v>18</v>
      </c>
      <c r="L5" s="8">
        <v>-10000</v>
      </c>
      <c r="M5" s="8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4:J4"/>
  <sheetViews>
    <sheetView workbookViewId="0"/>
  </sheetViews>
  <sheetFormatPr defaultRowHeight="15"/>
  <cols>
    <col min="1" max="1" width="10.7109375" customWidth="1"/>
    <col min="2" max="2" width="13.7109375" customWidth="1"/>
    <col min="3" max="4" width="11.7109375" customWidth="1"/>
    <col min="5" max="5" width="17.7109375" customWidth="1"/>
    <col min="6" max="6" width="12.7109375" customWidth="1"/>
    <col min="7" max="7" width="26.7109375" customWidth="1"/>
    <col min="8" max="8" width="10.7109375" customWidth="1"/>
    <col min="9" max="9" width="15.7109375" customWidth="1"/>
    <col min="10" max="10" width="13.7109375" customWidth="1"/>
  </cols>
  <sheetData>
    <row r="4" spans="1:10">
      <c r="A4" s="9" t="s">
        <v>85</v>
      </c>
      <c r="B4" s="9" t="s">
        <v>77</v>
      </c>
      <c r="C4" s="9" t="s">
        <v>78</v>
      </c>
      <c r="D4" s="9" t="s">
        <v>79</v>
      </c>
      <c r="E4" s="9" t="s">
        <v>34</v>
      </c>
      <c r="F4" s="9" t="s">
        <v>81</v>
      </c>
      <c r="G4" s="9" t="s">
        <v>36</v>
      </c>
      <c r="H4" s="9" t="s">
        <v>39</v>
      </c>
      <c r="I4" s="9" t="s">
        <v>6</v>
      </c>
      <c r="J4" s="9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4:K7"/>
  <sheetViews>
    <sheetView workbookViewId="0"/>
  </sheetViews>
  <sheetFormatPr defaultRowHeight="15"/>
  <cols>
    <col min="1" max="1" width="10.7109375" customWidth="1"/>
    <col min="2" max="2" width="13.7109375" customWidth="1"/>
    <col min="3" max="3" width="10.7109375" customWidth="1"/>
    <col min="4" max="4" width="16.7109375" customWidth="1"/>
    <col min="5" max="5" width="13.7109375" customWidth="1"/>
    <col min="6" max="6" width="15.7109375" customWidth="1"/>
    <col min="7" max="7" width="23.7109375" customWidth="1"/>
    <col min="8" max="8" width="20.7109375" customWidth="1"/>
    <col min="9" max="9" width="21.7109375" customWidth="1"/>
    <col min="10" max="10" width="13.7109375" customWidth="1"/>
    <col min="11" max="11" width="10.7109375" customWidth="1"/>
  </cols>
  <sheetData>
    <row r="4" spans="1:11">
      <c r="A4" s="9" t="s">
        <v>86</v>
      </c>
      <c r="B4" s="9" t="s">
        <v>18</v>
      </c>
      <c r="C4" s="9" t="s">
        <v>87</v>
      </c>
      <c r="D4" s="9" t="s">
        <v>88</v>
      </c>
      <c r="E4" s="9" t="s">
        <v>89</v>
      </c>
      <c r="F4" s="9" t="s">
        <v>6</v>
      </c>
      <c r="G4" s="9" t="s">
        <v>71</v>
      </c>
      <c r="H4" s="9" t="s">
        <v>90</v>
      </c>
      <c r="I4" s="9" t="s">
        <v>91</v>
      </c>
      <c r="J4" s="9" t="s">
        <v>43</v>
      </c>
      <c r="K4" s="9" t="s">
        <v>39</v>
      </c>
    </row>
    <row r="5" spans="1:11">
      <c r="A5" s="2" t="s">
        <v>92</v>
      </c>
      <c r="B5" s="2"/>
      <c r="C5" s="11" t="s">
        <v>93</v>
      </c>
      <c r="D5" s="8">
        <v>30</v>
      </c>
      <c r="E5" s="8">
        <v>0</v>
      </c>
      <c r="F5" s="8">
        <v>300000</v>
      </c>
      <c r="G5" s="8">
        <v>36000</v>
      </c>
      <c r="H5" s="8">
        <v>18000</v>
      </c>
      <c r="I5" s="8">
        <v>18000</v>
      </c>
      <c r="J5" s="8">
        <v>0</v>
      </c>
      <c r="K5" s="8">
        <v>18</v>
      </c>
    </row>
    <row r="6" spans="1:11">
      <c r="A6" s="2" t="s">
        <v>94</v>
      </c>
      <c r="B6" s="2"/>
      <c r="C6" s="11" t="s">
        <v>93</v>
      </c>
      <c r="D6" s="8">
        <v>23</v>
      </c>
      <c r="E6" s="8">
        <v>0</v>
      </c>
      <c r="F6" s="8">
        <v>304237.29</v>
      </c>
      <c r="G6" s="8">
        <v>54762.71</v>
      </c>
      <c r="H6" s="8">
        <v>27381.35</v>
      </c>
      <c r="I6" s="8">
        <v>27381.35</v>
      </c>
      <c r="J6" s="8">
        <v>0</v>
      </c>
      <c r="K6" s="8">
        <v>18</v>
      </c>
    </row>
    <row r="7" spans="1:11">
      <c r="A7" s="2" t="s">
        <v>95</v>
      </c>
      <c r="B7" s="2"/>
      <c r="C7" s="11" t="s">
        <v>93</v>
      </c>
      <c r="D7" s="8">
        <v>1</v>
      </c>
      <c r="E7" s="8">
        <v>0</v>
      </c>
      <c r="F7" s="8">
        <v>10000</v>
      </c>
      <c r="G7" s="8">
        <v>0</v>
      </c>
      <c r="H7" s="8">
        <v>900</v>
      </c>
      <c r="I7" s="8">
        <v>900</v>
      </c>
      <c r="J7" s="8">
        <v>0</v>
      </c>
      <c r="K7" s="8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4:F9"/>
  <sheetViews>
    <sheetView workbookViewId="0"/>
  </sheetViews>
  <sheetFormatPr defaultRowHeight="15"/>
  <cols>
    <col min="1" max="1" width="20.7109375" customWidth="1"/>
    <col min="2" max="2" width="12.7109375" customWidth="1"/>
    <col min="3" max="3" width="10.7109375" customWidth="1"/>
    <col min="4" max="4" width="14.7109375" customWidth="1"/>
    <col min="5" max="5" width="17.7109375" customWidth="1"/>
    <col min="6" max="6" width="11.7109375" customWidth="1"/>
  </cols>
  <sheetData>
    <row r="4" spans="1:6">
      <c r="A4" s="9" t="s">
        <v>96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</row>
    <row r="5" spans="1:6">
      <c r="A5" s="2" t="s">
        <v>102</v>
      </c>
      <c r="B5" s="11"/>
      <c r="C5" s="11"/>
      <c r="D5" s="6">
        <v>0</v>
      </c>
      <c r="E5" s="6">
        <v>0</v>
      </c>
      <c r="F5" s="6">
        <v>0</v>
      </c>
    </row>
    <row r="6" spans="1:6">
      <c r="A6" s="2" t="s">
        <v>103</v>
      </c>
      <c r="B6" s="11"/>
      <c r="C6" s="11"/>
      <c r="D6" s="6">
        <v>0</v>
      </c>
      <c r="E6" s="6">
        <v>0</v>
      </c>
      <c r="F6" s="6">
        <v>0</v>
      </c>
    </row>
    <row r="7" spans="1:6">
      <c r="A7" s="2" t="s">
        <v>104</v>
      </c>
      <c r="B7" s="11"/>
      <c r="C7" s="11"/>
      <c r="D7" s="6">
        <v>0</v>
      </c>
      <c r="E7" s="6">
        <v>0</v>
      </c>
      <c r="F7" s="6">
        <v>0</v>
      </c>
    </row>
    <row r="8" spans="1:6">
      <c r="A8" s="2" t="s">
        <v>84</v>
      </c>
      <c r="B8" s="11"/>
      <c r="C8" s="11"/>
      <c r="D8" s="6">
        <v>0</v>
      </c>
      <c r="E8" s="6">
        <v>0</v>
      </c>
      <c r="F8" s="6">
        <v>0</v>
      </c>
    </row>
    <row r="9" spans="1:6">
      <c r="A9" s="2" t="s">
        <v>105</v>
      </c>
      <c r="B9" s="11"/>
      <c r="C9" s="11"/>
      <c r="D9" s="6">
        <v>0</v>
      </c>
      <c r="E9" s="6">
        <v>0</v>
      </c>
      <c r="F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B2B</vt:lpstr>
      <vt:lpstr>B2CL</vt:lpstr>
      <vt:lpstr>B2CS</vt:lpstr>
      <vt:lpstr>EXP</vt:lpstr>
      <vt:lpstr>CDNR</vt:lpstr>
      <vt:lpstr>CDNUR</vt:lpstr>
      <vt:lpstr>HSN</vt:lpstr>
      <vt:lpstr>Docs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2026-02-17T17:01:22Z</dcterms:created>
  <dcterms:modified xsi:type="dcterms:W3CDTF">2026-02-17T17:01:22Z</dcterms:modified>
</cp:coreProperties>
</file>