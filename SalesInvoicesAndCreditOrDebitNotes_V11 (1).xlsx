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9920" tabRatio="500"/>
  </bookViews>
  <sheets>
    <sheet name="GSTR1 Invoices" sheetId="1" r:id="rId1"/>
    <sheet name=" Explanation of GSTR1 Invoices" sheetId="2" r:id="rId2"/>
    <sheet name="Start" sheetId="3" state="hidden" r:id="rId3"/>
    <sheet name="State Code Definition" sheetId="4" state="hidden" r:id="rId4"/>
    <sheet name="Synonyms Bank" sheetId="5" r:id="rId5"/>
    <sheet name="Sheet1" sheetId="6" state="hidden" r:id="rId6"/>
    <sheet name="Sheet3" sheetId="7" state="hidden" r:id="rId7"/>
    <sheet name="Units" sheetId="8" state="hidden" r:id="rId8"/>
    <sheet name="Port code" sheetId="9" r:id="rId9"/>
    <sheet name="Data Validation" sheetId="10" r:id="rId10"/>
  </sheets>
  <calcPr calcId="144525"/>
</workbook>
</file>

<file path=xl/sharedStrings.xml><?xml version="1.0" encoding="utf-8"?>
<sst xmlns="http://schemas.openxmlformats.org/spreadsheetml/2006/main" count="19853" uniqueCount="6596">
  <si>
    <t>If you are a new user then please read through sheet "Explanation of GSTR1 Invoices"</t>
  </si>
  <si>
    <r>
      <rPr>
        <b/>
        <sz val="10"/>
        <color rgb="FF000000"/>
        <rFont val="Arial"/>
        <charset val="1"/>
      </rPr>
      <t xml:space="preserve">*Invoice details 
</t>
    </r>
    <r>
      <rPr>
        <sz val="10"/>
        <color rgb="FF000000"/>
        <rFont val="Arial"/>
        <charset val="1"/>
      </rPr>
      <t xml:space="preserve">(Linked Invoice Number &amp; Date in case fo Credit/Debit Notes) </t>
    </r>
  </si>
  <si>
    <t>*This is the destination of the product, typically the state of your customer</t>
  </si>
  <si>
    <t>*Provide these details for HSN summary under GST Return flow</t>
  </si>
  <si>
    <t>Tax details (Invoices should have either CGST &amp;CGST or IGST value based on Place of Supply)</t>
  </si>
  <si>
    <t>*Required in case of Bill of Supply.</t>
  </si>
  <si>
    <t>*Required incase of Export of Goods</t>
  </si>
  <si>
    <t>*Required in case this invoice is filed as a part of previous return period.</t>
  </si>
  <si>
    <t>*Required incase of Amendment of Invoice</t>
  </si>
  <si>
    <t>*Required if advance receipts are adjusted against invoices raised.</t>
  </si>
  <si>
    <t>*Enter total invoice value here. If you have more than one line in the invoice, repeat the same value for every line.</t>
  </si>
  <si>
    <t>Optional Custom fields (Additionally voucher modified date &amp; created by also supported, refer explanation)</t>
  </si>
  <si>
    <t>Additional doc headers from ERP (New)</t>
  </si>
  <si>
    <t>Additional line item details from ERP (Additionally we support tax code, GL code fields as well refer explanation for the same)</t>
  </si>
  <si>
    <t>Document Type Code</t>
  </si>
  <si>
    <r>
      <rPr>
        <b/>
        <sz val="12"/>
        <color theme="1"/>
        <rFont val="Arial"/>
        <charset val="1"/>
      </rPr>
      <t>Document Date</t>
    </r>
    <r>
      <rPr>
        <b/>
        <sz val="12"/>
        <color rgb="FFFF0000"/>
        <rFont val="Arial Nova Cond"/>
        <charset val="1"/>
      </rPr>
      <t>*</t>
    </r>
  </si>
  <si>
    <r>
      <rPr>
        <b/>
        <sz val="12"/>
        <color theme="1"/>
        <rFont val="Arial"/>
        <charset val="1"/>
      </rPr>
      <t>Document Number</t>
    </r>
    <r>
      <rPr>
        <b/>
        <sz val="12"/>
        <color rgb="FFFF0000"/>
        <rFont val="Arial Nova Cond"/>
        <charset val="1"/>
      </rPr>
      <t>*</t>
    </r>
  </si>
  <si>
    <t>Recipient Billing Name</t>
  </si>
  <si>
    <t>Recipient Billing GSTIN</t>
  </si>
  <si>
    <t xml:space="preserve">Place of Supply </t>
  </si>
  <si>
    <t>Is the item a GOOD (G) or SERVICE (S)</t>
  </si>
  <si>
    <t>Item Description</t>
  </si>
  <si>
    <t>HSN or SAC code</t>
  </si>
  <si>
    <t>Quantity</t>
  </si>
  <si>
    <t>Item Unit of Measurement</t>
  </si>
  <si>
    <t>Item Price</t>
  </si>
  <si>
    <t>Item Discount Amount</t>
  </si>
  <si>
    <r>
      <rPr>
        <b/>
        <sz val="12"/>
        <color theme="1"/>
        <rFont val="Arial"/>
        <charset val="1"/>
      </rPr>
      <t>Item Taxable Value</t>
    </r>
    <r>
      <rPr>
        <b/>
        <sz val="12"/>
        <color rgb="FFFF0000"/>
        <rFont val="Arial Nova Cond"/>
        <charset val="1"/>
      </rPr>
      <t>*</t>
    </r>
  </si>
  <si>
    <t>GST Rate</t>
  </si>
  <si>
    <t>CGST Rate</t>
  </si>
  <si>
    <t>CGST Amount</t>
  </si>
  <si>
    <t>SGST Rate</t>
  </si>
  <si>
    <t>SGST Amount</t>
  </si>
  <si>
    <t>IGST Rate</t>
  </si>
  <si>
    <t>IGST Amount</t>
  </si>
  <si>
    <t>CESS Rate</t>
  </si>
  <si>
    <t>CESS Amount</t>
  </si>
  <si>
    <t>Reason for issuing CDN</t>
  </si>
  <si>
    <t>Is this note for a Pre-GST Invoice?</t>
  </si>
  <si>
    <t>Is this a Bill of Supply</t>
  </si>
  <si>
    <t>Is this a Nil Rated/Exempt/NonGST item?</t>
  </si>
  <si>
    <t>Is Reverse Charge Applicable?</t>
  </si>
  <si>
    <t>Type of Export</t>
  </si>
  <si>
    <t>Shipping Port Code - Export</t>
  </si>
  <si>
    <t>Shipping Bill Number - Export</t>
  </si>
  <si>
    <t>Shipping Bill Date - Export</t>
  </si>
  <si>
    <t>Has GST/IDT TDS been deducted</t>
  </si>
  <si>
    <t>My GSTIN</t>
  </si>
  <si>
    <t>Recipient Billing Address</t>
  </si>
  <si>
    <t>Recipient Billing City</t>
  </si>
  <si>
    <t>Recipient Billing State</t>
  </si>
  <si>
    <t>Is this document cancelled?</t>
  </si>
  <si>
    <t>Is the customer a Composition dealer or UIN registered?</t>
  </si>
  <si>
    <t>Return Filing Month</t>
  </si>
  <si>
    <t>Return Filing Quarter</t>
  </si>
  <si>
    <t>Original Document Date (In case of amendment)</t>
  </si>
  <si>
    <t>Original Document Number (In case of amendment)</t>
  </si>
  <si>
    <t>Original Customer Billing GSTIN (In case of amendment)</t>
  </si>
  <si>
    <t>Special validations (For Multiple amendments, B2C to B2B conversion, etc.)</t>
  </si>
  <si>
    <t>GSTIN of Ecommerce Marketplace</t>
  </si>
  <si>
    <t>Applicable % of Tax Rate</t>
  </si>
  <si>
    <t>Date of Linked Advance Receipt</t>
  </si>
  <si>
    <t>Voucher Number of Linked Advance Receipt</t>
  </si>
  <si>
    <t>Adjustment Amount of the Linked Advance Receipt</t>
  </si>
  <si>
    <t>Total Document Value</t>
  </si>
  <si>
    <t>Voucher Number</t>
  </si>
  <si>
    <t>Voucher Date</t>
  </si>
  <si>
    <t>Voucher Created Date</t>
  </si>
  <si>
    <t>ERP Source System</t>
  </si>
  <si>
    <t>ERP Company Code</t>
  </si>
  <si>
    <t>Customer Code</t>
  </si>
  <si>
    <t>ERP Voucher Type</t>
  </si>
  <si>
    <t>ERP Business Place</t>
  </si>
  <si>
    <t>ERP Plant Code</t>
  </si>
  <si>
    <t>ERP Profit Center</t>
  </si>
  <si>
    <t>Item Material Code</t>
  </si>
  <si>
    <t>Other Charges
(Document Level)</t>
  </si>
  <si>
    <t>Linked Invoice Number (Filled In case of CDN)</t>
  </si>
  <si>
    <t>Linked Invoice Date (Filled In case of CDN)</t>
  </si>
  <si>
    <t>Linked Customer Billing GSTIN (Filled In case of CDN)</t>
  </si>
  <si>
    <t>Which type of Invoice is this note linked to?</t>
  </si>
  <si>
    <t>Supplier Legal Name</t>
  </si>
  <si>
    <t>Supplies u/s 9(5)</t>
  </si>
  <si>
    <t xml:space="preserve">E-Com Supplier GSTIN </t>
  </si>
  <si>
    <t>Original Return Filing Month</t>
  </si>
  <si>
    <t>Original GSTIN of Ecommerce Marketplace</t>
  </si>
  <si>
    <t>Deleted</t>
  </si>
  <si>
    <t>Branch Name</t>
  </si>
  <si>
    <t>Return Type</t>
  </si>
  <si>
    <t>Sub Type</t>
  </si>
  <si>
    <t>Field Name</t>
  </si>
  <si>
    <t>Is this field mandatory ?</t>
  </si>
  <si>
    <t>Description</t>
  </si>
  <si>
    <t>Field Specification</t>
  </si>
  <si>
    <t>Sample Values</t>
  </si>
  <si>
    <t>Additional Information</t>
  </si>
  <si>
    <t>Optional</t>
  </si>
  <si>
    <t>Identifies the type of documents (Invoice, Credit Note, Debit Note, Advance, Advance Adjustment)</t>
  </si>
  <si>
    <t>Invoice</t>
  </si>
  <si>
    <t>Supply Type Code</t>
  </si>
  <si>
    <t>Identifies the type of Invoice (B2B,B2C,SEZ with payment etc)</t>
  </si>
  <si>
    <t>B2B</t>
  </si>
  <si>
    <t>Document Date</t>
  </si>
  <si>
    <t>Yes</t>
  </si>
  <si>
    <t>String (DD-MM-YYYY)</t>
  </si>
  <si>
    <t>Document Number</t>
  </si>
  <si>
    <t>Alphanumeric (Max length:16)</t>
  </si>
  <si>
    <t>INV8400</t>
  </si>
  <si>
    <t>a consecutive serial number not exceeding sixteen characters, in one or multiple series, containing alphabets or numerals or special characters hyphen or dash and slash symbolised as “-” and “/” respectively, and any combination thereof, unique for a financial year;</t>
  </si>
  <si>
    <t>Customer Billing Name</t>
  </si>
  <si>
    <t>String (Max length:90)</t>
  </si>
  <si>
    <t>Iyer Furnitures Ltd.</t>
  </si>
  <si>
    <t>In case you don't have vendor name information (for example in case of unregistered purchases) then put any default dummy name for vendor name</t>
  </si>
  <si>
    <t>Yes for B2B</t>
  </si>
  <si>
    <t>GSTIN/UID of the Recipient</t>
  </si>
  <si>
    <t>Alphanumeric 
with 15 characters</t>
  </si>
  <si>
    <t>06ADECO9084R5Z4</t>
  </si>
  <si>
    <t>Place of Supply</t>
  </si>
  <si>
    <t>Place of supply state code (Refer to sheet name "State Code" defintion)</t>
  </si>
  <si>
    <t>String(Max length:2)</t>
  </si>
  <si>
    <t>01-Jammu &amp; Kashmir</t>
  </si>
  <si>
    <t>Refer to sheet name "State Code" defintion</t>
  </si>
  <si>
    <t>Identifier if Goods or Services</t>
  </si>
  <si>
    <t>One Character (G for Goods, S for services)</t>
  </si>
  <si>
    <t>G</t>
  </si>
  <si>
    <t>No</t>
  </si>
  <si>
    <t>Description of the item</t>
  </si>
  <si>
    <t>String (Max length:180)</t>
  </si>
  <si>
    <t>FabDecor Sofa Set Standard 1631</t>
  </si>
  <si>
    <t>Yes subject to the following condition from the government It will be mandatory to report HSN code at two digits level for taxpayers having annual turnover in the preceding year above Rs. 1.50 Cr but upto Rs. 5.00 Cr and at four digits level for taxpayers having annual turnover above Rs. 5.00 Cr</t>
  </si>
  <si>
    <t>HSN or SAC of Goods or Services as per Invoice line items</t>
  </si>
  <si>
    <t>Alphanumeric (Max length:10)</t>
  </si>
  <si>
    <t>It will be mandatory to report HSN code at two digits level for taxpayers having annual turnover in the preceding year above Rs. 1.50 Cr but upto Rs. 5.00 Cr and at four digits level for taxpayers having annual turnover above Rs. 5.00 Cr</t>
  </si>
  <si>
    <t>Yes in case of Goods</t>
  </si>
  <si>
    <t>Quantity of Item</t>
  </si>
  <si>
    <t>Decimal(15, 2)</t>
  </si>
  <si>
    <t>Unit of Measurement</t>
  </si>
  <si>
    <t>String (Max length:20)</t>
  </si>
  <si>
    <t xml:space="preserve">BAG-BAGS </t>
  </si>
  <si>
    <t>If Discount is applicable</t>
  </si>
  <si>
    <t>Total value of discount for an item</t>
  </si>
  <si>
    <t>GST Tax Rate</t>
  </si>
  <si>
    <t>Item Taxable Value</t>
  </si>
  <si>
    <t>Taxable value of Goods or Service as per invoice</t>
  </si>
  <si>
    <t>Yes if applicable</t>
  </si>
  <si>
    <t>CGST Tax Rate (Enter rate values without percentage % sign, for example if rate is 9% then enter 9 only. Also if effective GST Rate is 18 then you need to provided only 9 for CGST and 9 for SGST to make effective rate as 18)</t>
  </si>
  <si>
    <t>SGST or UTGST Tax Rate (Enter rate values without percentage % sign, for example if rate is 9% then enter 9 only. Also if effective GST Rate is 18 then you need to provided only 9 for CGST and 9 for SGST to make effective rate as 18)</t>
  </si>
  <si>
    <t>SGST or UTGST Amount</t>
  </si>
  <si>
    <t>IGST Tax Rate (Enter rate values without percentage % sign, for example if rate is 18% then enter 18 only)</t>
  </si>
  <si>
    <t>CESS Tax Rate (Enter rate values without percentage % sign, for example if rate is 2% then enter 2 only)</t>
  </si>
  <si>
    <t xml:space="preserve">Credit/Debit Note Date </t>
  </si>
  <si>
    <t>Yes, for CDNs</t>
  </si>
  <si>
    <t>Credit Note/Debit Note Date</t>
  </si>
  <si>
    <t>String (dd-MM-yyyy)</t>
  </si>
  <si>
    <t>23-09-2019</t>
  </si>
  <si>
    <t xml:space="preserve">Credit/Debit Note Number </t>
  </si>
  <si>
    <t>Credit note number-number issued</t>
  </si>
  <si>
    <t>CN1201</t>
  </si>
  <si>
    <t xml:space="preserve">Credit(C)/ Debit(D) Note Type </t>
  </si>
  <si>
    <t>Identifies if it is a credit note or debit note</t>
  </si>
  <si>
    <t>C/D</t>
  </si>
  <si>
    <t>C</t>
  </si>
  <si>
    <t>Reasons for issuing CDN:
Post sale discount
Deficiency in service
Correction in invoice
Change in POS
Finalization of Provisional assessment
Others</t>
  </si>
  <si>
    <t>Post sale discount</t>
  </si>
  <si>
    <t>Indicates if this document is Pre-GST or not</t>
  </si>
  <si>
    <t>String</t>
  </si>
  <si>
    <t>Y</t>
  </si>
  <si>
    <t>If this is a bill of supply</t>
  </si>
  <si>
    <t>Indicates if this is a bill of supply</t>
  </si>
  <si>
    <t>Character</t>
  </si>
  <si>
    <t>Yes,If Reverse Charge is applicable</t>
  </si>
  <si>
    <t>Indicate if supply attracts reverse charge (Enter value as Y if reverse charge applicable otherwise leave blank)</t>
  </si>
  <si>
    <t>Yes in cases of Nil rated, Exempt, NonGST supplies</t>
  </si>
  <si>
    <t>If the goods or services is Nil Rated, Exempted or NonGST supply</t>
  </si>
  <si>
    <t>Nil rated</t>
  </si>
  <si>
    <t>Yes in case of amendments</t>
  </si>
  <si>
    <t>Original document date</t>
  </si>
  <si>
    <t>string (DD-MM-YYYY)</t>
  </si>
  <si>
    <t>If the invoice/bill of entry details furnished in earlier return period were incorrect then it can be corrected during current return as Amendments by providing details of original document</t>
  </si>
  <si>
    <t>Original document number</t>
  </si>
  <si>
    <t>S008400</t>
  </si>
  <si>
    <t>Yes in case of amendments for B2B Invoice</t>
  </si>
  <si>
    <t>GSTIN of Recipient in Original Invoice</t>
  </si>
  <si>
    <t>Alphanumeric
with 15 characters</t>
  </si>
  <si>
    <t>Yes if Advance Receipt under reverse charge filed in previous return is adjusted against Invoice furnished in current return</t>
  </si>
  <si>
    <t>Date of advance receipt voucher</t>
  </si>
  <si>
    <t>Voucher number of advance receipt</t>
  </si>
  <si>
    <t>AR2300</t>
  </si>
  <si>
    <t>Adjustment Amount of Linked Advance Receipt</t>
  </si>
  <si>
    <t>Amount of advance receipt amount to be adjusted</t>
  </si>
  <si>
    <t>Yes in case of exports</t>
  </si>
  <si>
    <t>Provide one of the following 5 values:
Deemed Export
SEZ with payment of GST
SEZ without payment of GST
Export with payment of GST
Export without payment of GST</t>
  </si>
  <si>
    <t>Deemed export</t>
  </si>
  <si>
    <t>Yes in case of import of Goods or supplies received from SEZ</t>
  </si>
  <si>
    <t>Shipping Port code - 6 digit</t>
  </si>
  <si>
    <t>Alphanumeric 
(Max length:6)</t>
  </si>
  <si>
    <t>Shipping Bill Number</t>
  </si>
  <si>
    <t>Alphanumeric 
(Max length:7)</t>
  </si>
  <si>
    <t>Recipient to provide for Bill of Entry information. Taxable Value for import of Goods means assessable value for customs purposes on which IGST is computed (IGST is levied on value plus specified customs duties).</t>
  </si>
  <si>
    <t>Shipping Bill Date</t>
  </si>
  <si>
    <t>string
(DD-MM-YYYY)</t>
  </si>
  <si>
    <t>Indicates if there has been a deduction in GST/ IDT TDS</t>
  </si>
  <si>
    <t>GSTIN of supplier</t>
  </si>
  <si>
    <t>Optional but helpful to view complete Supplier details for Invoice</t>
  </si>
  <si>
    <t>Recipient Billing address as per Invoice</t>
  </si>
  <si>
    <t>String (Max length:80)</t>
  </si>
  <si>
    <t>1331, Annamalai, T. Nagar</t>
  </si>
  <si>
    <t>Recipient Billing city as per Invoice</t>
  </si>
  <si>
    <t>String (Max length:40)</t>
  </si>
  <si>
    <t>Chennai</t>
  </si>
  <si>
    <t>Recipient Billing state code</t>
  </si>
  <si>
    <t>Tamil Nadu 33</t>
  </si>
  <si>
    <t>Yes, in case an earlier uploaded document was cancelled</t>
  </si>
  <si>
    <t>If the this document is Cancelled and therefore doesn't need to be included in GSTR1 (Enter value as Y if applicable otherwise leave blank)</t>
  </si>
  <si>
    <t>Is the customer a Composition dealer or UIN Registered?</t>
  </si>
  <si>
    <t>Yes in case the seller is a composition dealer</t>
  </si>
  <si>
    <t>If the supplier is a Composition dealer</t>
  </si>
  <si>
    <t xml:space="preserve"> Return Filing Month</t>
  </si>
  <si>
    <t>Yes, in case the return period is different from the date of the invoice</t>
  </si>
  <si>
    <t>If you want to pre-define the return month that this sale should be considered under.</t>
  </si>
  <si>
    <t>String (MM-YYYY)</t>
  </si>
  <si>
    <t>E.g. You have uploaded purchase invoices which where raised by your vendor in July, however you have received the goods in August making this, per the ITC rules, as part of your August GSTR-2 filing. You want to let ClearTax show this invoice as part of August filing and not as part of July filing thus preventing you from accepting the vendor invoice in July filing by mistake.</t>
  </si>
  <si>
    <t xml:space="preserve"> Return Filing Quarter</t>
  </si>
  <si>
    <t>If you want to pre-define the return quarter that this sale should be considered under.</t>
  </si>
  <si>
    <t>Jan-Mar 2022</t>
  </si>
  <si>
    <t>GSTIN of the e-commerce company if the supplies are made through an e-Commerce operator</t>
  </si>
  <si>
    <t>If the supply is eligible to be taxed at 65% of the existing rate of tax, select '65%' from dropdown; else blank.</t>
  </si>
  <si>
    <t>Linked Invoice Number (Filled in case of CDN)</t>
  </si>
  <si>
    <t>Corresponding Invoice Number</t>
  </si>
  <si>
    <t>Linked Invoice Date (Filled in case of CDN)</t>
  </si>
  <si>
    <t>Corresponding Invoice Date</t>
  </si>
  <si>
    <t>Linked Customer Billing GSTIN (Filled in case of CDN)</t>
  </si>
  <si>
    <t>Corresponding Billing GSTIN as per invoice number</t>
  </si>
  <si>
    <t>Name of the Supplier</t>
  </si>
  <si>
    <t>Branch Name/Code</t>
  </si>
  <si>
    <t xml:space="preserve">Company Branch </t>
  </si>
  <si>
    <t>Alphanumeric</t>
  </si>
  <si>
    <t>ABC1234</t>
  </si>
  <si>
    <t>Sum of Taxable value and Tax amount</t>
  </si>
  <si>
    <t>Other Charges (Item Level)</t>
  </si>
  <si>
    <t>Accounting document number in financial system</t>
  </si>
  <si>
    <t>100000123</t>
  </si>
  <si>
    <t>Accounting document posting date in financial system</t>
  </si>
  <si>
    <t>16-08-2024</t>
  </si>
  <si>
    <t>Accounting document created date in financial system</t>
  </si>
  <si>
    <t>20-11-2024</t>
  </si>
  <si>
    <t>Voucher Modified Date</t>
  </si>
  <si>
    <t>Accounting document last modified date in financial system</t>
  </si>
  <si>
    <t>02-12-2024</t>
  </si>
  <si>
    <t>Voucher Created By</t>
  </si>
  <si>
    <t>Accounting document posted by user</t>
  </si>
  <si>
    <t>APADMIN</t>
  </si>
  <si>
    <t>Source identifier if there are multiple ERPs or data source</t>
  </si>
  <si>
    <t>SAP Hana 1</t>
  </si>
  <si>
    <t>Company Code used in ERP</t>
  </si>
  <si>
    <t>1000</t>
  </si>
  <si>
    <t>Customer code in ERP used to identify customer</t>
  </si>
  <si>
    <t>CU01</t>
  </si>
  <si>
    <t>Document type used in ERP to identify category of doc</t>
  </si>
  <si>
    <t>KR</t>
  </si>
  <si>
    <t>A business place is a specific location within a company used for legal and tax reporting</t>
  </si>
  <si>
    <t>IN01</t>
  </si>
  <si>
    <t>A plant code is a unique identifier for a location within a company, such as a factory or warehouse, where materials are produced, stored, or used</t>
  </si>
  <si>
    <t>PL01</t>
  </si>
  <si>
    <t>A Profit Center tracks the financial performance of a specific part of the business</t>
  </si>
  <si>
    <t>PC01</t>
  </si>
  <si>
    <t>Reference maintained in material master in ERP for the line item used in the document</t>
  </si>
  <si>
    <t>M0023</t>
  </si>
  <si>
    <t>ERP Tax Code</t>
  </si>
  <si>
    <t>Tax Code used to identify tax rate in ERP</t>
  </si>
  <si>
    <t>A1</t>
  </si>
  <si>
    <t>ERP Revenue GL Code</t>
  </si>
  <si>
    <t>Revenue GL code categorizes and tracks specific types of business expenses in the system</t>
  </si>
  <si>
    <t>1200001</t>
  </si>
  <si>
    <t>Output SGST GL Code</t>
  </si>
  <si>
    <t xml:space="preserve"> Tracks the output tax payable under SGST for sales</t>
  </si>
  <si>
    <t>1200002</t>
  </si>
  <si>
    <t>Output CGST GL Code</t>
  </si>
  <si>
    <t xml:space="preserve"> Tracks the output tax payable under CGST for sales</t>
  </si>
  <si>
    <t>1200003</t>
  </si>
  <si>
    <t>Output IGST GL Code</t>
  </si>
  <si>
    <t xml:space="preserve"> Tracks the output tax payable under IGST for sales</t>
  </si>
  <si>
    <t>1200004</t>
  </si>
  <si>
    <t>Output Cess GL Code</t>
  </si>
  <si>
    <t xml:space="preserve"> Tracks the output tax payable under Cess for sales</t>
  </si>
  <si>
    <t>1200005</t>
  </si>
  <si>
    <t xml:space="preserve">Return Type </t>
  </si>
  <si>
    <t>Identify the return type (GSTR1,GSTR1A)</t>
  </si>
  <si>
    <t>GSTR1</t>
  </si>
  <si>
    <t xml:space="preserve">Sales Invoices &amp; Credit/Debit Notes Input file </t>
  </si>
  <si>
    <t>How will this Excel file help you in filing GST Returns?</t>
  </si>
  <si>
    <t>Using this Excel, you can enter all your Sales Invoice &amp; Credit/Debit notes while you are offline. Once you are ready to start filing, you can upload this file on ClearTax GST Software using Cleartax Lite template. You can use the same data to prepare both GSTR-3B and GSTR-1 Returns on ClearTax. The same file can also be used to prepare ANX-1 under the new GST returns.</t>
  </si>
  <si>
    <t>Before filing return, you can keep updating this data in the excel sheet and re-upload your transactions as many times as you want</t>
  </si>
  <si>
    <t>How should I use this Excel file?</t>
  </si>
  <si>
    <t>STEP 1:</t>
  </si>
  <si>
    <t>Enter all your Sales invoice data here</t>
  </si>
  <si>
    <t>Enter all your Credit/Debit note data here</t>
  </si>
  <si>
    <t>STEP 2:</t>
  </si>
  <si>
    <t>Upload this Excel file by logging into your account on https://gst.cleartax.in and going to Returns Page</t>
  </si>
  <si>
    <t>State</t>
  </si>
  <si>
    <t>State Name</t>
  </si>
  <si>
    <t>2 digit code</t>
  </si>
  <si>
    <t>ISO Code</t>
  </si>
  <si>
    <t>ISO Code Synonym</t>
  </si>
  <si>
    <t>State Code</t>
  </si>
  <si>
    <t>Synonym 1</t>
  </si>
  <si>
    <t>Synonmy 2</t>
  </si>
  <si>
    <t>Synonym 3</t>
  </si>
  <si>
    <t>Synonym 4</t>
  </si>
  <si>
    <t>Synonym 5</t>
  </si>
  <si>
    <t>Synonym 6</t>
  </si>
  <si>
    <t>Synonym 7</t>
  </si>
  <si>
    <t>Synonym 8</t>
  </si>
  <si>
    <t>Synonym 9</t>
  </si>
  <si>
    <t>Synonym 10</t>
  </si>
  <si>
    <t>Synonym 11</t>
  </si>
  <si>
    <t>Andaman and Nicobar Islands</t>
  </si>
  <si>
    <t>35</t>
  </si>
  <si>
    <t>IN-AN</t>
  </si>
  <si>
    <t>AN</t>
  </si>
  <si>
    <t>Andaman &amp; Nicobar Islands</t>
  </si>
  <si>
    <t>Andaman Nicobar Islands</t>
  </si>
  <si>
    <t>AndamanNicobarIslands</t>
  </si>
  <si>
    <t>AndamanNicobar</t>
  </si>
  <si>
    <t>35-Andaman &amp; Nicobar Islands</t>
  </si>
  <si>
    <t>Andhra Pradesh</t>
  </si>
  <si>
    <t>37</t>
  </si>
  <si>
    <t>IN-AP</t>
  </si>
  <si>
    <t>AP</t>
  </si>
  <si>
    <t>AndhraPradesh</t>
  </si>
  <si>
    <t>Andhra</t>
  </si>
  <si>
    <t>37-Andhra Pradesh</t>
  </si>
  <si>
    <t>Arunachal Pradesh</t>
  </si>
  <si>
    <t>12</t>
  </si>
  <si>
    <t>IN-AR</t>
  </si>
  <si>
    <t>AR</t>
  </si>
  <si>
    <t>12-Arunachal Pradesh</t>
  </si>
  <si>
    <t>Assam</t>
  </si>
  <si>
    <t>18</t>
  </si>
  <si>
    <t>IN-AS</t>
  </si>
  <si>
    <t>AS</t>
  </si>
  <si>
    <t>18-Assam</t>
  </si>
  <si>
    <t>Bihar</t>
  </si>
  <si>
    <t>10</t>
  </si>
  <si>
    <t>IN-BR</t>
  </si>
  <si>
    <t>BR</t>
  </si>
  <si>
    <t>10-Bihar</t>
  </si>
  <si>
    <t>Chandigarh</t>
  </si>
  <si>
    <t>04</t>
  </si>
  <si>
    <t>IN-CH</t>
  </si>
  <si>
    <t>CH</t>
  </si>
  <si>
    <t>CHD</t>
  </si>
  <si>
    <t>IN-CHD</t>
  </si>
  <si>
    <t>IN.CHD</t>
  </si>
  <si>
    <t>04-Chandigarh</t>
  </si>
  <si>
    <t>Chhattisgarh</t>
  </si>
  <si>
    <t>22</t>
  </si>
  <si>
    <t>IN-CT</t>
  </si>
  <si>
    <t>CT</t>
  </si>
  <si>
    <t>CG</t>
  </si>
  <si>
    <t>IN-CG</t>
  </si>
  <si>
    <t>22-Chhattisgarh</t>
  </si>
  <si>
    <t>Dadra &amp; Nagar Haveli &amp; Daman &amp; Diu</t>
  </si>
  <si>
    <t>26</t>
  </si>
  <si>
    <t>IN-DN</t>
  </si>
  <si>
    <t>26-Dadra &amp; Nagar Haveli &amp; Daman &amp; Diu</t>
  </si>
  <si>
    <t>Delhi</t>
  </si>
  <si>
    <t>07</t>
  </si>
  <si>
    <t>IN-DL</t>
  </si>
  <si>
    <t>DL</t>
  </si>
  <si>
    <t>07-Delhi</t>
  </si>
  <si>
    <t>Goa</t>
  </si>
  <si>
    <t>30</t>
  </si>
  <si>
    <t>IN-GA</t>
  </si>
  <si>
    <t>GA</t>
  </si>
  <si>
    <t>30-Goa</t>
  </si>
  <si>
    <t>Gujarat</t>
  </si>
  <si>
    <t>24</t>
  </si>
  <si>
    <t>IN-GJ</t>
  </si>
  <si>
    <t>GJ</t>
  </si>
  <si>
    <t>GUJ</t>
  </si>
  <si>
    <t>IN-GUJ</t>
  </si>
  <si>
    <t>IN.GUJ</t>
  </si>
  <si>
    <t>24-Gujarat</t>
  </si>
  <si>
    <t>Haryana</t>
  </si>
  <si>
    <t>06</t>
  </si>
  <si>
    <t>IN-HR</t>
  </si>
  <si>
    <t>HR</t>
  </si>
  <si>
    <t>06-Haryana</t>
  </si>
  <si>
    <t>Himachal Pradesh</t>
  </si>
  <si>
    <t>02</t>
  </si>
  <si>
    <t>IN-HP</t>
  </si>
  <si>
    <t>HP</t>
  </si>
  <si>
    <t>HimachalPradesh</t>
  </si>
  <si>
    <t>Himachal</t>
  </si>
  <si>
    <t>02-Himachal Pradesh</t>
  </si>
  <si>
    <t>Jammu and Kashmir</t>
  </si>
  <si>
    <t>01</t>
  </si>
  <si>
    <t>IN-JK</t>
  </si>
  <si>
    <t>JK</t>
  </si>
  <si>
    <t>Jammu &amp; Kashmir</t>
  </si>
  <si>
    <t>JammuKashmir</t>
  </si>
  <si>
    <t>Jammu</t>
  </si>
  <si>
    <t>Jharkhand</t>
  </si>
  <si>
    <t>20</t>
  </si>
  <si>
    <t>IN-JH</t>
  </si>
  <si>
    <t>JH</t>
  </si>
  <si>
    <t>20-Jharkhand</t>
  </si>
  <si>
    <t>Karnataka</t>
  </si>
  <si>
    <t>29</t>
  </si>
  <si>
    <t>IN-KA</t>
  </si>
  <si>
    <t>KA</t>
  </si>
  <si>
    <t>KRN</t>
  </si>
  <si>
    <t>IN-KRN</t>
  </si>
  <si>
    <t>IN.KRN</t>
  </si>
  <si>
    <t>29-Karnataka</t>
  </si>
  <si>
    <t>Kerala</t>
  </si>
  <si>
    <t>32</t>
  </si>
  <si>
    <t>IN-KL</t>
  </si>
  <si>
    <t>KL</t>
  </si>
  <si>
    <t>KER</t>
  </si>
  <si>
    <t>IN-KER</t>
  </si>
  <si>
    <t>IN.KER</t>
  </si>
  <si>
    <t>32-Kerala</t>
  </si>
  <si>
    <t>Lakshadweep</t>
  </si>
  <si>
    <t>31</t>
  </si>
  <si>
    <t>IN-LD</t>
  </si>
  <si>
    <t>LD</t>
  </si>
  <si>
    <t>LKP</t>
  </si>
  <si>
    <t>31-Lakshdweep</t>
  </si>
  <si>
    <t>Madhya Pradesh</t>
  </si>
  <si>
    <t>23</t>
  </si>
  <si>
    <t>IN-MP</t>
  </si>
  <si>
    <t>MP</t>
  </si>
  <si>
    <t>MadhyaPradesh</t>
  </si>
  <si>
    <t>23-Madhya Pradesh</t>
  </si>
  <si>
    <t>Maharashtra</t>
  </si>
  <si>
    <t>27</t>
  </si>
  <si>
    <t>IN-MH</t>
  </si>
  <si>
    <t>MH</t>
  </si>
  <si>
    <t>MAH</t>
  </si>
  <si>
    <t>IN-MAH</t>
  </si>
  <si>
    <t>IN.MAH</t>
  </si>
  <si>
    <t>27-Maharashtra</t>
  </si>
  <si>
    <t>Manipur</t>
  </si>
  <si>
    <t>14</t>
  </si>
  <si>
    <t>IN-MN</t>
  </si>
  <si>
    <t>MN</t>
  </si>
  <si>
    <t>MNP</t>
  </si>
  <si>
    <t>IN-MNP</t>
  </si>
  <si>
    <t>IN.MNP</t>
  </si>
  <si>
    <t>14-Manipur</t>
  </si>
  <si>
    <t>Meghalaya</t>
  </si>
  <si>
    <t>17</t>
  </si>
  <si>
    <t>IN-ML</t>
  </si>
  <si>
    <t>ML</t>
  </si>
  <si>
    <t>MEG</t>
  </si>
  <si>
    <t>IN-MEG</t>
  </si>
  <si>
    <t>IN.MEG</t>
  </si>
  <si>
    <t>17-Meghalaya</t>
  </si>
  <si>
    <t>Mizoram</t>
  </si>
  <si>
    <t>15</t>
  </si>
  <si>
    <t>IN-MZ</t>
  </si>
  <si>
    <t>MZ</t>
  </si>
  <si>
    <t>MIZ</t>
  </si>
  <si>
    <t>IN-MIZ</t>
  </si>
  <si>
    <t>IN.MIZ</t>
  </si>
  <si>
    <t>15-Mizoram</t>
  </si>
  <si>
    <t>Nagaland</t>
  </si>
  <si>
    <t>13</t>
  </si>
  <si>
    <t>IN-NL</t>
  </si>
  <si>
    <t>NL</t>
  </si>
  <si>
    <t>NLD</t>
  </si>
  <si>
    <t>IN-NLD</t>
  </si>
  <si>
    <t>IN.NLD</t>
  </si>
  <si>
    <t>13-Nagaland</t>
  </si>
  <si>
    <t>Odisha</t>
  </si>
  <si>
    <t>21</t>
  </si>
  <si>
    <t>IN-OR</t>
  </si>
  <si>
    <t>OR</t>
  </si>
  <si>
    <t>OD</t>
  </si>
  <si>
    <t>IN-OD</t>
  </si>
  <si>
    <t>Orissa</t>
  </si>
  <si>
    <t>21-Odisha</t>
  </si>
  <si>
    <t>Puducherry</t>
  </si>
  <si>
    <t>34</t>
  </si>
  <si>
    <t>IN-PY</t>
  </si>
  <si>
    <t>PY</t>
  </si>
  <si>
    <t>PDY</t>
  </si>
  <si>
    <t>IN-PDY</t>
  </si>
  <si>
    <t>IN.PDY</t>
  </si>
  <si>
    <t>34-Pondicherry</t>
  </si>
  <si>
    <t>Punjab</t>
  </si>
  <si>
    <t>03</t>
  </si>
  <si>
    <t>IN-PB</t>
  </si>
  <si>
    <t>PB</t>
  </si>
  <si>
    <t>03-Punjab</t>
  </si>
  <si>
    <t>Rajasthan</t>
  </si>
  <si>
    <t>08</t>
  </si>
  <si>
    <t>IN-RJ</t>
  </si>
  <si>
    <t>RJ</t>
  </si>
  <si>
    <t>RAJ</t>
  </si>
  <si>
    <t>IN-RAJ</t>
  </si>
  <si>
    <t>IN.RAJ</t>
  </si>
  <si>
    <t>08-Rajasthan</t>
  </si>
  <si>
    <t>Sikkim</t>
  </si>
  <si>
    <t>11</t>
  </si>
  <si>
    <t>IN-SK</t>
  </si>
  <si>
    <t>SK</t>
  </si>
  <si>
    <t>SKM</t>
  </si>
  <si>
    <t>IN-SKM</t>
  </si>
  <si>
    <t>IN.SKM</t>
  </si>
  <si>
    <t>11-Sikkim</t>
  </si>
  <si>
    <t>Tamil Nadu</t>
  </si>
  <si>
    <t>33</t>
  </si>
  <si>
    <t>IN-TN</t>
  </si>
  <si>
    <t>TN</t>
  </si>
  <si>
    <t>TamilNadu</t>
  </si>
  <si>
    <t>33-Tamil Nadu</t>
  </si>
  <si>
    <t>Telangana</t>
  </si>
  <si>
    <t>36</t>
  </si>
  <si>
    <t>IN-TG</t>
  </si>
  <si>
    <t>TG</t>
  </si>
  <si>
    <t>TS</t>
  </si>
  <si>
    <t>IN-TS</t>
  </si>
  <si>
    <t>36-Telengana</t>
  </si>
  <si>
    <t>Tripura</t>
  </si>
  <si>
    <t>16</t>
  </si>
  <si>
    <t>IN-TR</t>
  </si>
  <si>
    <t>TR</t>
  </si>
  <si>
    <t>TRP</t>
  </si>
  <si>
    <t>IN-TRP</t>
  </si>
  <si>
    <t>IN.TRP</t>
  </si>
  <si>
    <t>16-Tripura</t>
  </si>
  <si>
    <t>Uttar Pradesh</t>
  </si>
  <si>
    <t>09</t>
  </si>
  <si>
    <t>IN-UP</t>
  </si>
  <si>
    <t>UP</t>
  </si>
  <si>
    <t>UttarPradesh</t>
  </si>
  <si>
    <t>09-Uttar Pradesh</t>
  </si>
  <si>
    <t>Uttarakhand</t>
  </si>
  <si>
    <t>05</t>
  </si>
  <si>
    <t>IN-UT</t>
  </si>
  <si>
    <t>UT</t>
  </si>
  <si>
    <t>UK</t>
  </si>
  <si>
    <t>IN-UK</t>
  </si>
  <si>
    <t>UA</t>
  </si>
  <si>
    <t>IN-UA</t>
  </si>
  <si>
    <t>05-Uttarakhand</t>
  </si>
  <si>
    <t>West Bengal</t>
  </si>
  <si>
    <t>19</t>
  </si>
  <si>
    <t>IN-WB</t>
  </si>
  <si>
    <t>WB</t>
  </si>
  <si>
    <t>19-West Bengal</t>
  </si>
  <si>
    <t>Other Territory</t>
  </si>
  <si>
    <t>IN-OT</t>
  </si>
  <si>
    <t>OT</t>
  </si>
  <si>
    <t>Others</t>
  </si>
  <si>
    <t>Other</t>
  </si>
  <si>
    <t>98 - Other Territory</t>
  </si>
  <si>
    <t>Ladakh</t>
  </si>
  <si>
    <t>LA</t>
  </si>
  <si>
    <t>38-Ladakh</t>
  </si>
  <si>
    <t>HEADERS</t>
  </si>
  <si>
    <t>VALUES</t>
  </si>
  <si>
    <t xml:space="preserve">SYNONYMS </t>
  </si>
  <si>
    <t>B2CS_TYPE</t>
  </si>
  <si>
    <t>E</t>
  </si>
  <si>
    <t>e</t>
  </si>
  <si>
    <t>OE</t>
  </si>
  <si>
    <t>oe</t>
  </si>
  <si>
    <t>EXEMP_DESCRIPTION_TYPE</t>
  </si>
  <si>
    <t>INTER_STATE_SUPPLIES_TO_REGISTERED_PERSONS</t>
  </si>
  <si>
    <t>inter_state_supplies_to_registered_persons</t>
  </si>
  <si>
    <t>inter state supplies to registered persons</t>
  </si>
  <si>
    <t xml:space="preserve">inter-state supplies to registered persons
</t>
  </si>
  <si>
    <t xml:space="preserve">inter-state supplies to registered
</t>
  </si>
  <si>
    <t>INTRA_STATE_SUPPLIES_TO_REGISTERED_PERSONS</t>
  </si>
  <si>
    <t>intra_state_supplies_to_registered_persons</t>
  </si>
  <si>
    <t>intra state supplies to registered persons</t>
  </si>
  <si>
    <t xml:space="preserve">intra-state supplies to registered persons 
</t>
  </si>
  <si>
    <t xml:space="preserve">intra-state supplies to registered
</t>
  </si>
  <si>
    <t>INTER_STATE_SUPPLIES_TO_UNREGISTERED_PERSONS</t>
  </si>
  <si>
    <t>inter_state_supplies_to_unregistered_persons</t>
  </si>
  <si>
    <t>inter state supplies to unregistered persons</t>
  </si>
  <si>
    <t xml:space="preserve">inter-state supplies to unregistered persons 
</t>
  </si>
  <si>
    <t xml:space="preserve">inter-state supplies to unregistered
</t>
  </si>
  <si>
    <t>INTRA_STATE_SUPPLIES_TO_UNREGISTERED_PERSONS</t>
  </si>
  <si>
    <t>intra_state_supplies_to_unregistered_persons</t>
  </si>
  <si>
    <t>intra state supplies to unregistered persons</t>
  </si>
  <si>
    <t xml:space="preserve">intra-state supplies to unregistered persons 
</t>
  </si>
  <si>
    <t xml:space="preserve">intra-state supplies to unregistered.
</t>
  </si>
  <si>
    <t>EXPORT_TYPE</t>
  </si>
  <si>
    <t>EXPORT_WITH_PAYMENT_OF_GST</t>
  </si>
  <si>
    <t>export_with_payment_of_gst</t>
  </si>
  <si>
    <t>export_with_igst_payment</t>
  </si>
  <si>
    <t>export_with_payment_of_igst</t>
  </si>
  <si>
    <t>export_with_gst_payment</t>
  </si>
  <si>
    <t>exwp</t>
  </si>
  <si>
    <t>expwp</t>
  </si>
  <si>
    <t>EXPORT_WITHOUT_PAYMENT_OF_GST</t>
  </si>
  <si>
    <t>export_without_payment_of_gst</t>
  </si>
  <si>
    <t>export_without_igst_payment</t>
  </si>
  <si>
    <t>export_without_payment_of_igst</t>
  </si>
  <si>
    <t>expwop</t>
  </si>
  <si>
    <t>exwop</t>
  </si>
  <si>
    <t>DEEMED_EXPORT</t>
  </si>
  <si>
    <t>deemed_export, sez_with_payment_of_gst</t>
  </si>
  <si>
    <t>deemed_exports</t>
  </si>
  <si>
    <t>dexp</t>
  </si>
  <si>
    <t>demeed_exp</t>
  </si>
  <si>
    <t>SEZ_WITHOUT_PAYMENT_OF_GST</t>
  </si>
  <si>
    <t>sez_without_payment_of_gst</t>
  </si>
  <si>
    <t>sez_without_payment_of_igst</t>
  </si>
  <si>
    <t>sez_without_igst_payment</t>
  </si>
  <si>
    <t>sezwop</t>
  </si>
  <si>
    <t>sez_without_payment</t>
  </si>
  <si>
    <t>sez_without_gst_payment</t>
  </si>
  <si>
    <t>SEZ_WITH_PAYMENT_OF_GST</t>
  </si>
  <si>
    <t>sez_with_payment_of_gst</t>
  </si>
  <si>
    <t>sez_with_payment_of_igst</t>
  </si>
  <si>
    <t>sez_with_igst_payment</t>
  </si>
  <si>
    <t>sezwp</t>
  </si>
  <si>
    <t>sez_with_payment</t>
  </si>
  <si>
    <t>sez_with_gst_payment</t>
  </si>
  <si>
    <t>INTRA_STATE_SUPPLY_ATTRACTING_IGST</t>
  </si>
  <si>
    <t>intra_state_supply_attracting_igst</t>
  </si>
  <si>
    <t>intra_state_supplies_attracting_igst</t>
  </si>
  <si>
    <t>intra_state_supply</t>
  </si>
  <si>
    <t>intra_state_supplies</t>
  </si>
  <si>
    <t>INVOICE_TYPE</t>
  </si>
  <si>
    <t>REGULAR</t>
  </si>
  <si>
    <t>regular</t>
  </si>
  <si>
    <t>SEZ_SUPPLIES_WITH_PAYMENT</t>
  </si>
  <si>
    <t>sez_supplies_with_payment</t>
  </si>
  <si>
    <t>sez_supplies_with_payment_of_gst</t>
  </si>
  <si>
    <t>sez_supplies_with_payment_of_igst</t>
  </si>
  <si>
    <t>sez_supplies_with_igst_payment</t>
  </si>
  <si>
    <t>SEZ_SUPPLIES_WITHOUT_PAYMENT</t>
  </si>
  <si>
    <t>sez_supplies_without_payment</t>
  </si>
  <si>
    <t>sez_supplies_without_payment_of_gst</t>
  </si>
  <si>
    <t>sez_supplies_without_payment_of_igst</t>
  </si>
  <si>
    <t>sez_supplies_without_igst_payment</t>
  </si>
  <si>
    <t>DEEMED_EXP</t>
  </si>
  <si>
    <t>deemed_exp</t>
  </si>
  <si>
    <t>deemed_export</t>
  </si>
  <si>
    <t>INTRA_STATE_SUPPLIES_ATTRACTING_IGST</t>
  </si>
  <si>
    <t>inter_state_supplies_attracting_igst</t>
  </si>
  <si>
    <t>UR_TYPE</t>
  </si>
  <si>
    <t>B2CL</t>
  </si>
  <si>
    <t>b2cl</t>
  </si>
  <si>
    <t>EXPWP</t>
  </si>
  <si>
    <t>export_with_payment</t>
  </si>
  <si>
    <t>EXPWOP</t>
  </si>
  <si>
    <t>export_without_payment</t>
  </si>
  <si>
    <t>NATURE_OF_DOCUMENT_TYPE</t>
  </si>
  <si>
    <t>CREDIT_NOTE</t>
  </si>
  <si>
    <t>credit_note</t>
  </si>
  <si>
    <t>credit</t>
  </si>
  <si>
    <t>creditnote</t>
  </si>
  <si>
    <t>cn</t>
  </si>
  <si>
    <t>c</t>
  </si>
  <si>
    <t>DEBIT_NOTE</t>
  </si>
  <si>
    <t>debit_note</t>
  </si>
  <si>
    <t>debit</t>
  </si>
  <si>
    <t>debitnote</t>
  </si>
  <si>
    <t>dn</t>
  </si>
  <si>
    <t>d</t>
  </si>
  <si>
    <t>DELIVERY_CHALLAN_FOR_JOB_WORK</t>
  </si>
  <si>
    <t>delivery_challan_for_job_work</t>
  </si>
  <si>
    <t>dc_for_job_work</t>
  </si>
  <si>
    <t>job_work_dc</t>
  </si>
  <si>
    <t>DELIVERY_CHALLAN_FOR_SUPPLY_ON_APPROVAL</t>
  </si>
  <si>
    <t>delivery_challan_for_supply_on_approval</t>
  </si>
  <si>
    <t>DELIVERY_CHALLAN_IN_CASE_OF_LIQUID_GAS</t>
  </si>
  <si>
    <t>delivery_challan_in_case_of_liquid_gas</t>
  </si>
  <si>
    <t>DELIVERY_CHALLAN_IN_CASE_OTHER_THAN_BY_WAY_OF_SUPPLY</t>
  </si>
  <si>
    <t>delivery_challan_in_case_other_than_by_way_of_supply</t>
  </si>
  <si>
    <t>INVOICE_FOR_INWARD_SUPPLY_FROM_UIN</t>
  </si>
  <si>
    <t>invoice_for_inward_supply_from_uin</t>
  </si>
  <si>
    <t>INVOICE_FOR_OUTWARD_SUPPLY</t>
  </si>
  <si>
    <t>invoice_for_outward_supply</t>
  </si>
  <si>
    <t>tax_invoice</t>
  </si>
  <si>
    <t>taxinvoice</t>
  </si>
  <si>
    <t>invoiceforoutwardsupply</t>
  </si>
  <si>
    <t>invoice_for_sales</t>
  </si>
  <si>
    <t>tax_invoices</t>
  </si>
  <si>
    <t>PAYMENT_VOUCHER</t>
  </si>
  <si>
    <t>payment_voucher</t>
  </si>
  <si>
    <t>RECEIPT_VOUCHER</t>
  </si>
  <si>
    <t>receipt_voucher</t>
  </si>
  <si>
    <t>REFUND_VOUCHER</t>
  </si>
  <si>
    <t>refund_voucher</t>
  </si>
  <si>
    <t>REVISED_INVOICE</t>
  </si>
  <si>
    <t>revised_invoice</t>
  </si>
  <si>
    <t>MONTH_TYPE</t>
  </si>
  <si>
    <t>jan</t>
  </si>
  <si>
    <t>january</t>
  </si>
  <si>
    <t>feb</t>
  </si>
  <si>
    <t>feburary</t>
  </si>
  <si>
    <t>mar</t>
  </si>
  <si>
    <t>march</t>
  </si>
  <si>
    <t>apr</t>
  </si>
  <si>
    <t>april</t>
  </si>
  <si>
    <t>may</t>
  </si>
  <si>
    <t>jun</t>
  </si>
  <si>
    <t>june</t>
  </si>
  <si>
    <t>july</t>
  </si>
  <si>
    <t>aug</t>
  </si>
  <si>
    <t>august</t>
  </si>
  <si>
    <t>sept</t>
  </si>
  <si>
    <t>september</t>
  </si>
  <si>
    <t>oct</t>
  </si>
  <si>
    <t>october</t>
  </si>
  <si>
    <t>nov</t>
  </si>
  <si>
    <t>november</t>
  </si>
  <si>
    <t>dec</t>
  </si>
  <si>
    <t>december</t>
  </si>
  <si>
    <t>FINANCIAL_YEAR_TYPE</t>
  </si>
  <si>
    <t>2017-18</t>
  </si>
  <si>
    <t>2017-2018</t>
  </si>
  <si>
    <t>2018-19</t>
  </si>
  <si>
    <t>2018-2019</t>
  </si>
  <si>
    <t>2019-20</t>
  </si>
  <si>
    <t>2019-2020</t>
  </si>
  <si>
    <t>2020-21</t>
  </si>
  <si>
    <t>2020-2021</t>
  </si>
  <si>
    <t>2021-22</t>
  </si>
  <si>
    <t>2021-2022</t>
  </si>
  <si>
    <t>2022-23</t>
  </si>
  <si>
    <t>2022-2023</t>
  </si>
  <si>
    <t>2023-24</t>
  </si>
  <si>
    <t>2023-2024</t>
  </si>
  <si>
    <t>RETURN_QUARTER_TYPE</t>
  </si>
  <si>
    <t>jan-mar</t>
  </si>
  <si>
    <t>apr-jun</t>
  </si>
  <si>
    <t>jul-sept</t>
  </si>
  <si>
    <t>oct-dec</t>
  </si>
  <si>
    <t>q1</t>
  </si>
  <si>
    <t>q2</t>
  </si>
  <si>
    <t>q3</t>
  </si>
  <si>
    <t>q4</t>
  </si>
  <si>
    <t>UNIT_OF_MEASUREMENT_TYPE</t>
  </si>
  <si>
    <t>BAG-BAGS</t>
  </si>
  <si>
    <t>bag-bags</t>
  </si>
  <si>
    <t>bag</t>
  </si>
  <si>
    <t>bg</t>
  </si>
  <si>
    <t>bags</t>
  </si>
  <si>
    <t>bgs</t>
  </si>
  <si>
    <t>BAL-BALE</t>
  </si>
  <si>
    <t>bal-bale</t>
  </si>
  <si>
    <t>bal</t>
  </si>
  <si>
    <t>bale</t>
  </si>
  <si>
    <t>bales</t>
  </si>
  <si>
    <t>bals</t>
  </si>
  <si>
    <t>BDL-BUNDLES</t>
  </si>
  <si>
    <t>bdl-bundles</t>
  </si>
  <si>
    <t>bdl</t>
  </si>
  <si>
    <t>bundle</t>
  </si>
  <si>
    <t>bundles</t>
  </si>
  <si>
    <t>bdls</t>
  </si>
  <si>
    <t>BKL-BUCKLES</t>
  </si>
  <si>
    <t>bkl-buckles</t>
  </si>
  <si>
    <t>bkl</t>
  </si>
  <si>
    <t>buckles</t>
  </si>
  <si>
    <t>bkls</t>
  </si>
  <si>
    <t>buckle</t>
  </si>
  <si>
    <t>BOU-BILLION OF UNITS</t>
  </si>
  <si>
    <t>bou-billion of units</t>
  </si>
  <si>
    <t>bou</t>
  </si>
  <si>
    <t>billion of unit</t>
  </si>
  <si>
    <t>billion of units</t>
  </si>
  <si>
    <t>billion</t>
  </si>
  <si>
    <t>bous</t>
  </si>
  <si>
    <t>bu</t>
  </si>
  <si>
    <t>BOX-BOX</t>
  </si>
  <si>
    <t>box-box</t>
  </si>
  <si>
    <t>box</t>
  </si>
  <si>
    <t>boxes</t>
  </si>
  <si>
    <t>box-boxes</t>
  </si>
  <si>
    <t>BTL-BOTTLES</t>
  </si>
  <si>
    <t>btl-bottles</t>
  </si>
  <si>
    <t>btl</t>
  </si>
  <si>
    <t>bottle</t>
  </si>
  <si>
    <t>bottles</t>
  </si>
  <si>
    <t>btls</t>
  </si>
  <si>
    <t>BUN-BUNCHES</t>
  </si>
  <si>
    <t>bun-bunches</t>
  </si>
  <si>
    <t>bunches</t>
  </si>
  <si>
    <t>bun</t>
  </si>
  <si>
    <t>bunch</t>
  </si>
  <si>
    <t>CAN-CANS</t>
  </si>
  <si>
    <t>can-cans</t>
  </si>
  <si>
    <t>can</t>
  </si>
  <si>
    <t>cans</t>
  </si>
  <si>
    <t>CBM-CUBIC METERS</t>
  </si>
  <si>
    <t>cbm-cubic meters</t>
  </si>
  <si>
    <t>cbm</t>
  </si>
  <si>
    <t>cubic meter</t>
  </si>
  <si>
    <t>cubic meters</t>
  </si>
  <si>
    <t>cbms</t>
  </si>
  <si>
    <t>CCM-CUBIC CENTIMETERS</t>
  </si>
  <si>
    <t>ccm-cubic centimeters</t>
  </si>
  <si>
    <t>ccm</t>
  </si>
  <si>
    <t>cubic centimeters</t>
  </si>
  <si>
    <t>cubic centimeter</t>
  </si>
  <si>
    <t>ccms</t>
  </si>
  <si>
    <t>CMS-CENTIMETERS</t>
  </si>
  <si>
    <t>cms-centimeters</t>
  </si>
  <si>
    <t>cms</t>
  </si>
  <si>
    <t>centimeter</t>
  </si>
  <si>
    <t>centimeters</t>
  </si>
  <si>
    <t>CTN-CARTONS</t>
  </si>
  <si>
    <t>ctn-cartons</t>
  </si>
  <si>
    <t>ctn</t>
  </si>
  <si>
    <t>carton</t>
  </si>
  <si>
    <t>cartons</t>
  </si>
  <si>
    <t>DOZ-DOZENS</t>
  </si>
  <si>
    <t>doz-dozens</t>
  </si>
  <si>
    <t>doz</t>
  </si>
  <si>
    <t>doz-dozen</t>
  </si>
  <si>
    <t>dozen</t>
  </si>
  <si>
    <t>dozens</t>
  </si>
  <si>
    <t>DRM-DRUMS</t>
  </si>
  <si>
    <t>drm-drums</t>
  </si>
  <si>
    <t>drm</t>
  </si>
  <si>
    <t>drum</t>
  </si>
  <si>
    <t>drm-drum</t>
  </si>
  <si>
    <t>drums</t>
  </si>
  <si>
    <t>GGK-GREAT GROSS</t>
  </si>
  <si>
    <t>ggk-great gross</t>
  </si>
  <si>
    <t>ggk</t>
  </si>
  <si>
    <t>great gross</t>
  </si>
  <si>
    <t>gg</t>
  </si>
  <si>
    <t>gr</t>
  </si>
  <si>
    <t>GMS-GRAMMES</t>
  </si>
  <si>
    <t>gms-grammes</t>
  </si>
  <si>
    <t>gms</t>
  </si>
  <si>
    <t>grammes</t>
  </si>
  <si>
    <t>GRS-GROSS</t>
  </si>
  <si>
    <t>grs-gross</t>
  </si>
  <si>
    <t>grs</t>
  </si>
  <si>
    <t>gross</t>
  </si>
  <si>
    <t>GYD-GROSS YARDS</t>
  </si>
  <si>
    <t>gyd-gross yards</t>
  </si>
  <si>
    <t>gyd</t>
  </si>
  <si>
    <t>gross yards</t>
  </si>
  <si>
    <t>gross yard</t>
  </si>
  <si>
    <t>gyds</t>
  </si>
  <si>
    <t>KGS-KILOGRAMS</t>
  </si>
  <si>
    <t>kgs-kilograms</t>
  </si>
  <si>
    <t>kgs</t>
  </si>
  <si>
    <t>kilograms</t>
  </si>
  <si>
    <t>kg</t>
  </si>
  <si>
    <t>kilogram</t>
  </si>
  <si>
    <t>kgs-kilogram</t>
  </si>
  <si>
    <t>KLR-KILOLITRE</t>
  </si>
  <si>
    <t>klr-kilolitre</t>
  </si>
  <si>
    <t>KME-KILOMETRE</t>
  </si>
  <si>
    <t>kme-kilometre</t>
  </si>
  <si>
    <t>kme</t>
  </si>
  <si>
    <t>kilometre</t>
  </si>
  <si>
    <t>kilometres</t>
  </si>
  <si>
    <t>km</t>
  </si>
  <si>
    <t>kms</t>
  </si>
  <si>
    <t>LTR-LITRES</t>
  </si>
  <si>
    <t>ltr-litres</t>
  </si>
  <si>
    <t>litre</t>
  </si>
  <si>
    <t>ltr</t>
  </si>
  <si>
    <t>liter</t>
  </si>
  <si>
    <t>litres</t>
  </si>
  <si>
    <t>MLT-MILILITRE</t>
  </si>
  <si>
    <t>mlt-mililitre</t>
  </si>
  <si>
    <t>mlt</t>
  </si>
  <si>
    <t>Milliliter</t>
  </si>
  <si>
    <t>MTR-METERS</t>
  </si>
  <si>
    <t>mtr-meters</t>
  </si>
  <si>
    <t>mtr</t>
  </si>
  <si>
    <t>meter</t>
  </si>
  <si>
    <t>meters</t>
  </si>
  <si>
    <t>mt</t>
  </si>
  <si>
    <t>mtrs</t>
  </si>
  <si>
    <t>MTS-METRIC TON</t>
  </si>
  <si>
    <t>mts-metric ton</t>
  </si>
  <si>
    <t>mts</t>
  </si>
  <si>
    <t>metricton</t>
  </si>
  <si>
    <t>metric ton</t>
  </si>
  <si>
    <t>NOS-NUMBERS</t>
  </si>
  <si>
    <t>nos-numbers</t>
  </si>
  <si>
    <t>no</t>
  </si>
  <si>
    <t>nos</t>
  </si>
  <si>
    <t>num</t>
  </si>
  <si>
    <t>nums</t>
  </si>
  <si>
    <t>no-number</t>
  </si>
  <si>
    <t>nmb</t>
  </si>
  <si>
    <t>PAC-PACKS</t>
  </si>
  <si>
    <t>pac-packs</t>
  </si>
  <si>
    <t>pck</t>
  </si>
  <si>
    <t>packs</t>
  </si>
  <si>
    <t>pac</t>
  </si>
  <si>
    <t>pk-packs</t>
  </si>
  <si>
    <t>PCS-PIECES</t>
  </si>
  <si>
    <t>pcs-pieces</t>
  </si>
  <si>
    <t>pcs</t>
  </si>
  <si>
    <t>pic</t>
  </si>
  <si>
    <t>pic-pieces</t>
  </si>
  <si>
    <t>pieces</t>
  </si>
  <si>
    <t>pis</t>
  </si>
  <si>
    <t>PRS-PAIRS</t>
  </si>
  <si>
    <t>prs-pairs</t>
  </si>
  <si>
    <t>pair</t>
  </si>
  <si>
    <t>prs</t>
  </si>
  <si>
    <t>pairs</t>
  </si>
  <si>
    <t>prs-pair</t>
  </si>
  <si>
    <t>QTL-QUINTAL</t>
  </si>
  <si>
    <t>qtl-quintal</t>
  </si>
  <si>
    <t>qtl</t>
  </si>
  <si>
    <t>quintal</t>
  </si>
  <si>
    <t>ROL-ROLLS</t>
  </si>
  <si>
    <t>rol-rolls</t>
  </si>
  <si>
    <t>rol</t>
  </si>
  <si>
    <t>roll</t>
  </si>
  <si>
    <t>rol-roll</t>
  </si>
  <si>
    <t>SET-SETS</t>
  </si>
  <si>
    <t>set-sets</t>
  </si>
  <si>
    <t>set</t>
  </si>
  <si>
    <t>sets</t>
  </si>
  <si>
    <t>set-set</t>
  </si>
  <si>
    <t>SQF-SQUARE FEET</t>
  </si>
  <si>
    <t>sqf-square feet</t>
  </si>
  <si>
    <t>sqf</t>
  </si>
  <si>
    <t>square-feet</t>
  </si>
  <si>
    <t>squarefeet</t>
  </si>
  <si>
    <t>sqf-square-feet</t>
  </si>
  <si>
    <t>SQM-SQUARE METERS</t>
  </si>
  <si>
    <t>sqm-square meters</t>
  </si>
  <si>
    <t>sqm</t>
  </si>
  <si>
    <t>squaremeter</t>
  </si>
  <si>
    <t>squaremeters</t>
  </si>
  <si>
    <t>square-meters</t>
  </si>
  <si>
    <t>SQY-SQUARE YARDS</t>
  </si>
  <si>
    <t>sqy-square yards</t>
  </si>
  <si>
    <t>sqy</t>
  </si>
  <si>
    <t>squareyard</t>
  </si>
  <si>
    <t>square yard</t>
  </si>
  <si>
    <t>square yards</t>
  </si>
  <si>
    <t>squareyards</t>
  </si>
  <si>
    <t>TBS-TABLETS</t>
  </si>
  <si>
    <t>tbs-tablets</t>
  </si>
  <si>
    <t>tbs</t>
  </si>
  <si>
    <t>tablets</t>
  </si>
  <si>
    <t>tablet</t>
  </si>
  <si>
    <t>tbs-tablet</t>
  </si>
  <si>
    <t>TGM-TEN GROSS</t>
  </si>
  <si>
    <t>tgm-ten gross</t>
  </si>
  <si>
    <t>ten gross</t>
  </si>
  <si>
    <t>ten-gross</t>
  </si>
  <si>
    <t>tgm</t>
  </si>
  <si>
    <t>tgm-gross</t>
  </si>
  <si>
    <t>THD-THOUSANDS</t>
  </si>
  <si>
    <t>thd-thousands</t>
  </si>
  <si>
    <t>thd</t>
  </si>
  <si>
    <t>thousand</t>
  </si>
  <si>
    <t>thousands</t>
  </si>
  <si>
    <t>thd-thousand</t>
  </si>
  <si>
    <t>TON-TONNES</t>
  </si>
  <si>
    <t>ton-tonnes</t>
  </si>
  <si>
    <t>ton</t>
  </si>
  <si>
    <t>tones</t>
  </si>
  <si>
    <t>tone</t>
  </si>
  <si>
    <t>tonnes</t>
  </si>
  <si>
    <t>ton-tonne</t>
  </si>
  <si>
    <t>TUB-TUBES</t>
  </si>
  <si>
    <t>tub-tubes</t>
  </si>
  <si>
    <t>tub</t>
  </si>
  <si>
    <t>tube</t>
  </si>
  <si>
    <t>tubes</t>
  </si>
  <si>
    <t>tubs</t>
  </si>
  <si>
    <t>UGS-US GALLONS</t>
  </si>
  <si>
    <t>ugs-us gallons</t>
  </si>
  <si>
    <t>us gallons</t>
  </si>
  <si>
    <t>ugs</t>
  </si>
  <si>
    <t>gallon</t>
  </si>
  <si>
    <t>us</t>
  </si>
  <si>
    <t>gallons</t>
  </si>
  <si>
    <t>UNT-UNITS</t>
  </si>
  <si>
    <t>unt-units</t>
  </si>
  <si>
    <t>unit</t>
  </si>
  <si>
    <t>units</t>
  </si>
  <si>
    <t>unt</t>
  </si>
  <si>
    <t>ut-units</t>
  </si>
  <si>
    <t>unt-unit</t>
  </si>
  <si>
    <t>YDS-YARDS</t>
  </si>
  <si>
    <t>yds-yards</t>
  </si>
  <si>
    <t>yds</t>
  </si>
  <si>
    <t>yrd</t>
  </si>
  <si>
    <t>yard</t>
  </si>
  <si>
    <t>yards</t>
  </si>
  <si>
    <t>OTH-OTHERS</t>
  </si>
  <si>
    <t>oth-others</t>
  </si>
  <si>
    <t>oth</t>
  </si>
  <si>
    <t>others</t>
  </si>
  <si>
    <t>other</t>
  </si>
  <si>
    <t>NA</t>
  </si>
  <si>
    <t>STATE_TYPE</t>
  </si>
  <si>
    <t>35-andaman &amp; nicobar islands</t>
  </si>
  <si>
    <t>35-andaman and nicobar islands</t>
  </si>
  <si>
    <t>35-andaman</t>
  </si>
  <si>
    <t>35-nicobarislands</t>
  </si>
  <si>
    <t>35-an</t>
  </si>
  <si>
    <t>an</t>
  </si>
  <si>
    <t>andaman &amp; nicobar islands</t>
  </si>
  <si>
    <t>andaman and nicobar islands</t>
  </si>
  <si>
    <t>andaman nicobar islands</t>
  </si>
  <si>
    <t>andamanandnicobarislands</t>
  </si>
  <si>
    <t>andaman</t>
  </si>
  <si>
    <t>nicobarislands</t>
  </si>
  <si>
    <t>andamannicobar</t>
  </si>
  <si>
    <t>in-an</t>
  </si>
  <si>
    <t>in.an</t>
  </si>
  <si>
    <t>37-andhra pradesh</t>
  </si>
  <si>
    <t>37-ap</t>
  </si>
  <si>
    <t>andhra</t>
  </si>
  <si>
    <t>andhra pradesh</t>
  </si>
  <si>
    <t>andhrapradesh</t>
  </si>
  <si>
    <t>ap</t>
  </si>
  <si>
    <t>in-ap</t>
  </si>
  <si>
    <t>in.ap</t>
  </si>
  <si>
    <t>12-arunachal pradesh</t>
  </si>
  <si>
    <t>12-ar</t>
  </si>
  <si>
    <t>ar</t>
  </si>
  <si>
    <t>arunachal pradesh</t>
  </si>
  <si>
    <t>arunachalpradesh</t>
  </si>
  <si>
    <t>in-ar</t>
  </si>
  <si>
    <t>in.ar</t>
  </si>
  <si>
    <t>18-assam</t>
  </si>
  <si>
    <t>18-as</t>
  </si>
  <si>
    <t>as</t>
  </si>
  <si>
    <t>assam</t>
  </si>
  <si>
    <t>in-as</t>
  </si>
  <si>
    <t>in.as</t>
  </si>
  <si>
    <t>10-bihar</t>
  </si>
  <si>
    <t>10-br</t>
  </si>
  <si>
    <t>bihar</t>
  </si>
  <si>
    <t>br</t>
  </si>
  <si>
    <t>in-br</t>
  </si>
  <si>
    <t>in.br</t>
  </si>
  <si>
    <t>04-chandigarh</t>
  </si>
  <si>
    <t>04-ch</t>
  </si>
  <si>
    <t>04-chd</t>
  </si>
  <si>
    <t>ch</t>
  </si>
  <si>
    <t>chandigarh</t>
  </si>
  <si>
    <t>chd</t>
  </si>
  <si>
    <t>in-ch</t>
  </si>
  <si>
    <t>in-chd</t>
  </si>
  <si>
    <t>in.ch</t>
  </si>
  <si>
    <t>in.chd</t>
  </si>
  <si>
    <t>22-chhattisgarh</t>
  </si>
  <si>
    <t>22-cg</t>
  </si>
  <si>
    <t>22-ct</t>
  </si>
  <si>
    <t>cg</t>
  </si>
  <si>
    <t>chatisgarh</t>
  </si>
  <si>
    <t>chattisgarh</t>
  </si>
  <si>
    <t>chhatisgarh</t>
  </si>
  <si>
    <t>chhatishgarh</t>
  </si>
  <si>
    <t>chhattisgarh</t>
  </si>
  <si>
    <t>ct</t>
  </si>
  <si>
    <t>in-cg</t>
  </si>
  <si>
    <t>in-ct</t>
  </si>
  <si>
    <t>in.cg</t>
  </si>
  <si>
    <t>in.ct</t>
  </si>
  <si>
    <t>26-dadra &amp; nagar haveli</t>
  </si>
  <si>
    <t>26-dadra &amp; nagar haveli &amp; daman &amp; diu</t>
  </si>
  <si>
    <t>26-dadra and nagar haveli</t>
  </si>
  <si>
    <t>26-dadra &amp; nagar haveli and daman &amp; diu</t>
  </si>
  <si>
    <t>26-dadra and nagar haveli and daman and diu</t>
  </si>
  <si>
    <t>26-daman &amp; diu</t>
  </si>
  <si>
    <t>26-dh</t>
  </si>
  <si>
    <t>26-dn</t>
  </si>
  <si>
    <t>26-dnh</t>
  </si>
  <si>
    <t>dadra &amp; nagar haveli</t>
  </si>
  <si>
    <t>dadra &amp; nagar haveli &amp; daman &amp; diu</t>
  </si>
  <si>
    <t>dadra and nagar haveli</t>
  </si>
  <si>
    <t>dadranagarhaveli</t>
  </si>
  <si>
    <t>dh</t>
  </si>
  <si>
    <t>dnh</t>
  </si>
  <si>
    <t>in-dh</t>
  </si>
  <si>
    <t>in-dn</t>
  </si>
  <si>
    <t>VALUE</t>
  </si>
  <si>
    <t>in-dnh</t>
  </si>
  <si>
    <t>old</t>
  </si>
  <si>
    <t>in.dh</t>
  </si>
  <si>
    <t>in.dn</t>
  </si>
  <si>
    <t>in.dnh</t>
  </si>
  <si>
    <t>25-daman &amp; diu</t>
  </si>
  <si>
    <t>25-daman and diu</t>
  </si>
  <si>
    <t>25-dd</t>
  </si>
  <si>
    <t>daman</t>
  </si>
  <si>
    <t>daman &amp; diu</t>
  </si>
  <si>
    <t>daman and diu</t>
  </si>
  <si>
    <t>damandiu</t>
  </si>
  <si>
    <t>dd</t>
  </si>
  <si>
    <t>in-dd</t>
  </si>
  <si>
    <t>in.dd</t>
  </si>
  <si>
    <t>07-delhi</t>
  </si>
  <si>
    <t>07-dl</t>
  </si>
  <si>
    <t>07-del</t>
  </si>
  <si>
    <t>del</t>
  </si>
  <si>
    <t>delhi</t>
  </si>
  <si>
    <t>dl</t>
  </si>
  <si>
    <t>in-del</t>
  </si>
  <si>
    <t>in-dl</t>
  </si>
  <si>
    <t>in.del</t>
  </si>
  <si>
    <t>in.dl</t>
  </si>
  <si>
    <t>30-goa</t>
  </si>
  <si>
    <t>30-ga</t>
  </si>
  <si>
    <t>ga</t>
  </si>
  <si>
    <t>goa</t>
  </si>
  <si>
    <t>in-ga</t>
  </si>
  <si>
    <t>in.ga</t>
  </si>
  <si>
    <t>24-gujarat</t>
  </si>
  <si>
    <t>24-gj</t>
  </si>
  <si>
    <t>24-guj</t>
  </si>
  <si>
    <t>gj</t>
  </si>
  <si>
    <t>guj</t>
  </si>
  <si>
    <t>gujarat</t>
  </si>
  <si>
    <t>in-gj</t>
  </si>
  <si>
    <t>in-guj</t>
  </si>
  <si>
    <t>in.gj</t>
  </si>
  <si>
    <t>in.guj</t>
  </si>
  <si>
    <t>06-haryana</t>
  </si>
  <si>
    <t>06-hr</t>
  </si>
  <si>
    <t>haryana</t>
  </si>
  <si>
    <t>hr</t>
  </si>
  <si>
    <t>in-hr</t>
  </si>
  <si>
    <t>in.hr</t>
  </si>
  <si>
    <t>02-himachal pradesh</t>
  </si>
  <si>
    <t>02-hp</t>
  </si>
  <si>
    <t>himachal</t>
  </si>
  <si>
    <t>himachal pradesh</t>
  </si>
  <si>
    <t>himachalpradesh</t>
  </si>
  <si>
    <t>hp</t>
  </si>
  <si>
    <t>in-hp</t>
  </si>
  <si>
    <t>in.hp</t>
  </si>
  <si>
    <t>01-jammu &amp; kashmir</t>
  </si>
  <si>
    <t>01-jammu and kashmir</t>
  </si>
  <si>
    <t>01-jk</t>
  </si>
  <si>
    <t>in-jk</t>
  </si>
  <si>
    <t>in.jk</t>
  </si>
  <si>
    <t>jammu</t>
  </si>
  <si>
    <t>jammu &amp; kashmir</t>
  </si>
  <si>
    <t>jammu and kashmir</t>
  </si>
  <si>
    <t>jammukashmir</t>
  </si>
  <si>
    <t>jk</t>
  </si>
  <si>
    <t>20-jharkhand</t>
  </si>
  <si>
    <t>20-jh</t>
  </si>
  <si>
    <t>in-jh</t>
  </si>
  <si>
    <t>in.jh</t>
  </si>
  <si>
    <t>jh</t>
  </si>
  <si>
    <t>jharkhand</t>
  </si>
  <si>
    <t>29-karnataka</t>
  </si>
  <si>
    <t>29-ka</t>
  </si>
  <si>
    <t>in-ka</t>
  </si>
  <si>
    <t>in-krn</t>
  </si>
  <si>
    <t>in.ka</t>
  </si>
  <si>
    <t>in.krn</t>
  </si>
  <si>
    <t>ka</t>
  </si>
  <si>
    <t>karnataka</t>
  </si>
  <si>
    <t>krn</t>
  </si>
  <si>
    <t>32-kerala</t>
  </si>
  <si>
    <t>32-kl</t>
  </si>
  <si>
    <t>32-ker</t>
  </si>
  <si>
    <t>in-ker</t>
  </si>
  <si>
    <t>in-kl</t>
  </si>
  <si>
    <t>in.ker</t>
  </si>
  <si>
    <t>in.kl</t>
  </si>
  <si>
    <t>ker</t>
  </si>
  <si>
    <t>kerala</t>
  </si>
  <si>
    <t>kl</t>
  </si>
  <si>
    <t>ladakh</t>
  </si>
  <si>
    <t>38-lk</t>
  </si>
  <si>
    <t>38-ladakh</t>
  </si>
  <si>
    <t>97-other territory</t>
  </si>
  <si>
    <t>other territory</t>
  </si>
  <si>
    <t>ot</t>
  </si>
  <si>
    <t>97-ot</t>
  </si>
  <si>
    <t>in-ot</t>
  </si>
  <si>
    <t>in.ot</t>
  </si>
  <si>
    <t>31-lakshdweep</t>
  </si>
  <si>
    <t>31-ld</t>
  </si>
  <si>
    <t>31-lkp</t>
  </si>
  <si>
    <t>in-ld</t>
  </si>
  <si>
    <t>in.ld</t>
  </si>
  <si>
    <t>lakhswadeep</t>
  </si>
  <si>
    <t>lakshadweep</t>
  </si>
  <si>
    <t>ld</t>
  </si>
  <si>
    <t>lkp</t>
  </si>
  <si>
    <t>23-madhya pradesh</t>
  </si>
  <si>
    <t>23-mp</t>
  </si>
  <si>
    <t>in-mp</t>
  </si>
  <si>
    <t>in.mp</t>
  </si>
  <si>
    <t>madhya pradesh</t>
  </si>
  <si>
    <t>madhyapradesh</t>
  </si>
  <si>
    <t>mp</t>
  </si>
  <si>
    <t>27-maharashtra</t>
  </si>
  <si>
    <t>27-mh</t>
  </si>
  <si>
    <t>27-mah</t>
  </si>
  <si>
    <t>in-mah</t>
  </si>
  <si>
    <t>in-mh</t>
  </si>
  <si>
    <t>in.mah</t>
  </si>
  <si>
    <t>in.mh</t>
  </si>
  <si>
    <t>mah</t>
  </si>
  <si>
    <t>maharashtra</t>
  </si>
  <si>
    <t>maharastra</t>
  </si>
  <si>
    <t>maharasthra</t>
  </si>
  <si>
    <t>maharashtraa</t>
  </si>
  <si>
    <t>mh</t>
  </si>
  <si>
    <t>14-manipur</t>
  </si>
  <si>
    <t>14-mn</t>
  </si>
  <si>
    <t>14-mnp</t>
  </si>
  <si>
    <t>in-mn</t>
  </si>
  <si>
    <t>in-mnp</t>
  </si>
  <si>
    <t>in.mn</t>
  </si>
  <si>
    <t>in.mnp</t>
  </si>
  <si>
    <t>manipur</t>
  </si>
  <si>
    <t>manipoor</t>
  </si>
  <si>
    <t>mn</t>
  </si>
  <si>
    <t>mnp</t>
  </si>
  <si>
    <t>17-meghalaya</t>
  </si>
  <si>
    <t>17-megalaya</t>
  </si>
  <si>
    <t>17-meg</t>
  </si>
  <si>
    <t>17-ml</t>
  </si>
  <si>
    <t>in-meg</t>
  </si>
  <si>
    <t>in-ml</t>
  </si>
  <si>
    <t>in.meg</t>
  </si>
  <si>
    <t>in.ml</t>
  </si>
  <si>
    <t>meg</t>
  </si>
  <si>
    <t>meghalaya</t>
  </si>
  <si>
    <t>ml</t>
  </si>
  <si>
    <t>15-mizoram</t>
  </si>
  <si>
    <t>15-miz</t>
  </si>
  <si>
    <t>15-mz</t>
  </si>
  <si>
    <t>in-miz</t>
  </si>
  <si>
    <t>in-mz</t>
  </si>
  <si>
    <t>in.miz</t>
  </si>
  <si>
    <t>in.mz</t>
  </si>
  <si>
    <t>miz</t>
  </si>
  <si>
    <t>mizoram</t>
  </si>
  <si>
    <t>mz</t>
  </si>
  <si>
    <t>13-nagaland</t>
  </si>
  <si>
    <t>13-nl</t>
  </si>
  <si>
    <t>13-nld</t>
  </si>
  <si>
    <t>in-nl</t>
  </si>
  <si>
    <t>in-nld</t>
  </si>
  <si>
    <t>in.nl</t>
  </si>
  <si>
    <t>in.nld</t>
  </si>
  <si>
    <t>nagaland</t>
  </si>
  <si>
    <t>nl</t>
  </si>
  <si>
    <t>nld</t>
  </si>
  <si>
    <t>21-odisha</t>
  </si>
  <si>
    <t>21-odishaa</t>
  </si>
  <si>
    <t>21-orissa</t>
  </si>
  <si>
    <t>21-od</t>
  </si>
  <si>
    <t>21-or</t>
  </si>
  <si>
    <t>in-od</t>
  </si>
  <si>
    <t>in-or</t>
  </si>
  <si>
    <t>in.od</t>
  </si>
  <si>
    <t>in.or</t>
  </si>
  <si>
    <t>od</t>
  </si>
  <si>
    <t>odisha</t>
  </si>
  <si>
    <t>or</t>
  </si>
  <si>
    <t>orissa</t>
  </si>
  <si>
    <t>34-pondicherry</t>
  </si>
  <si>
    <t>34-pondichery</t>
  </si>
  <si>
    <t>34-puducherry</t>
  </si>
  <si>
    <t>34-pdy</t>
  </si>
  <si>
    <t>34-py</t>
  </si>
  <si>
    <t>in-pdy</t>
  </si>
  <si>
    <t>in-py</t>
  </si>
  <si>
    <t>in.pdy</t>
  </si>
  <si>
    <t>in.py</t>
  </si>
  <si>
    <t>pdy</t>
  </si>
  <si>
    <t>pondicherry</t>
  </si>
  <si>
    <t>pondichery</t>
  </si>
  <si>
    <t>puducherry</t>
  </si>
  <si>
    <t>py</t>
  </si>
  <si>
    <t>03-punjab</t>
  </si>
  <si>
    <t>03-pb</t>
  </si>
  <si>
    <t>in-pb</t>
  </si>
  <si>
    <t>in.pb</t>
  </si>
  <si>
    <t>pb</t>
  </si>
  <si>
    <t>punjab</t>
  </si>
  <si>
    <t>08-rajasthan</t>
  </si>
  <si>
    <t>08-raj</t>
  </si>
  <si>
    <t>08-rj</t>
  </si>
  <si>
    <t>in-raj</t>
  </si>
  <si>
    <t>in-rj</t>
  </si>
  <si>
    <t>in.raj</t>
  </si>
  <si>
    <t>in.rj</t>
  </si>
  <si>
    <t>raj</t>
  </si>
  <si>
    <t>rajasthan</t>
  </si>
  <si>
    <t>rajastan</t>
  </si>
  <si>
    <t>rj</t>
  </si>
  <si>
    <t>11-sikkim</t>
  </si>
  <si>
    <t>11-sk</t>
  </si>
  <si>
    <t>11-skm</t>
  </si>
  <si>
    <t>in-sk</t>
  </si>
  <si>
    <t>in-skm</t>
  </si>
  <si>
    <t>in.sk</t>
  </si>
  <si>
    <t>in.skm</t>
  </si>
  <si>
    <t>sikkim</t>
  </si>
  <si>
    <t>sikim</t>
  </si>
  <si>
    <t>sk</t>
  </si>
  <si>
    <t>skm</t>
  </si>
  <si>
    <t>33-tamil nadu</t>
  </si>
  <si>
    <t>33-tn</t>
  </si>
  <si>
    <t>33-tmn</t>
  </si>
  <si>
    <t>in-tmn</t>
  </si>
  <si>
    <t>in.tmn</t>
  </si>
  <si>
    <t>in-tn</t>
  </si>
  <si>
    <t>in.tn</t>
  </si>
  <si>
    <t>tamil nadu</t>
  </si>
  <si>
    <t>tamilnadu</t>
  </si>
  <si>
    <t>tn</t>
  </si>
  <si>
    <t>tmn</t>
  </si>
  <si>
    <t>16/9/2021</t>
  </si>
  <si>
    <t>36-telangana</t>
  </si>
  <si>
    <t>36-ts</t>
  </si>
  <si>
    <t>36-tg</t>
  </si>
  <si>
    <t>in-tg</t>
  </si>
  <si>
    <t>in-ts</t>
  </si>
  <si>
    <t>in.tg</t>
  </si>
  <si>
    <t>in.ts</t>
  </si>
  <si>
    <t>telangana</t>
  </si>
  <si>
    <t>telengana</t>
  </si>
  <si>
    <t>tg</t>
  </si>
  <si>
    <t>ts</t>
  </si>
  <si>
    <t>16-tripura</t>
  </si>
  <si>
    <t>16-tr</t>
  </si>
  <si>
    <t>16-trp</t>
  </si>
  <si>
    <t>in-tr</t>
  </si>
  <si>
    <t>in-trp</t>
  </si>
  <si>
    <t>in.tr</t>
  </si>
  <si>
    <t>in.trp</t>
  </si>
  <si>
    <t>tr</t>
  </si>
  <si>
    <t>tripura</t>
  </si>
  <si>
    <t>tripuraa</t>
  </si>
  <si>
    <t>tripurra</t>
  </si>
  <si>
    <t>trp</t>
  </si>
  <si>
    <t>05-uttarakhand</t>
  </si>
  <si>
    <t>05-uttarakand</t>
  </si>
  <si>
    <t>05-uttarakhaand</t>
  </si>
  <si>
    <t>05-ut</t>
  </si>
  <si>
    <t>05-ua</t>
  </si>
  <si>
    <t>05-uk</t>
  </si>
  <si>
    <t>in-ua</t>
  </si>
  <si>
    <t>in-uk</t>
  </si>
  <si>
    <t>in-ut</t>
  </si>
  <si>
    <t>in.uk</t>
  </si>
  <si>
    <t>in.ut</t>
  </si>
  <si>
    <t>ua</t>
  </si>
  <si>
    <t>uk</t>
  </si>
  <si>
    <t>ut</t>
  </si>
  <si>
    <t>uttarakhand</t>
  </si>
  <si>
    <t>uttarakand</t>
  </si>
  <si>
    <t>uttarakhaand</t>
  </si>
  <si>
    <t>09-uttar pradesh</t>
  </si>
  <si>
    <t>09-utar pradesh</t>
  </si>
  <si>
    <t>09-uttarpradesh</t>
  </si>
  <si>
    <t>09-up</t>
  </si>
  <si>
    <t>in-up</t>
  </si>
  <si>
    <t>in.up</t>
  </si>
  <si>
    <t>up</t>
  </si>
  <si>
    <t>uttar pradesh</t>
  </si>
  <si>
    <t>uttarpradesh</t>
  </si>
  <si>
    <t>utarpradesh</t>
  </si>
  <si>
    <t>19-west bengal</t>
  </si>
  <si>
    <t>19-westbengal</t>
  </si>
  <si>
    <t>19-west bangal</t>
  </si>
  <si>
    <t>19-wb</t>
  </si>
  <si>
    <t>in-wb</t>
  </si>
  <si>
    <t>in.wb</t>
  </si>
  <si>
    <t>wb</t>
  </si>
  <si>
    <t>west bengal</t>
  </si>
  <si>
    <t>westbengal</t>
  </si>
  <si>
    <t>westbangal</t>
  </si>
  <si>
    <t>foreigncountry</t>
  </si>
  <si>
    <t>other country</t>
  </si>
  <si>
    <t>96-foreign country</t>
  </si>
  <si>
    <t>96-other country</t>
  </si>
  <si>
    <t>outside india</t>
  </si>
  <si>
    <t>96-fc</t>
  </si>
  <si>
    <t>96-oc</t>
  </si>
  <si>
    <t>fc</t>
  </si>
  <si>
    <t>oc</t>
  </si>
  <si>
    <t>in.oc</t>
  </si>
  <si>
    <t>in-oc</t>
  </si>
  <si>
    <t>in.fc</t>
  </si>
  <si>
    <t>in-fc</t>
  </si>
  <si>
    <t>PORT_CODE</t>
  </si>
  <si>
    <t>INABG1</t>
  </si>
  <si>
    <t>inabg1</t>
  </si>
  <si>
    <t>INACH1</t>
  </si>
  <si>
    <t>inach1</t>
  </si>
  <si>
    <t>INADA6</t>
  </si>
  <si>
    <t>inada6</t>
  </si>
  <si>
    <t>INADI1</t>
  </si>
  <si>
    <t>inadi1</t>
  </si>
  <si>
    <t>INAGI1</t>
  </si>
  <si>
    <t>inagi1</t>
  </si>
  <si>
    <t>INAGR4</t>
  </si>
  <si>
    <t>inagr4</t>
  </si>
  <si>
    <t>INAGR5</t>
  </si>
  <si>
    <t>inagr5</t>
  </si>
  <si>
    <t>INAGR6</t>
  </si>
  <si>
    <t>inagr6</t>
  </si>
  <si>
    <t>INAGTB</t>
  </si>
  <si>
    <t>inagtb</t>
  </si>
  <si>
    <t>INAGX4</t>
  </si>
  <si>
    <t>inagx4</t>
  </si>
  <si>
    <t>INAHD6</t>
  </si>
  <si>
    <t>inahd6</t>
  </si>
  <si>
    <t>INAIG6</t>
  </si>
  <si>
    <t>inaig6</t>
  </si>
  <si>
    <t>INAII6</t>
  </si>
  <si>
    <t>inaii6</t>
  </si>
  <si>
    <t>INAIK6</t>
  </si>
  <si>
    <t>inaik6</t>
  </si>
  <si>
    <t>INAIR6</t>
  </si>
  <si>
    <t>inair6</t>
  </si>
  <si>
    <t>INAJE6</t>
  </si>
  <si>
    <t>inaje6</t>
  </si>
  <si>
    <t>INAJJ6</t>
  </si>
  <si>
    <t>inajj6</t>
  </si>
  <si>
    <t>INAJL4</t>
  </si>
  <si>
    <t>inajl4</t>
  </si>
  <si>
    <t>INAJM6</t>
  </si>
  <si>
    <t>inajm6</t>
  </si>
  <si>
    <t>INAKB6</t>
  </si>
  <si>
    <t>inakb6</t>
  </si>
  <si>
    <t>INAKD4</t>
  </si>
  <si>
    <t>inakd4</t>
  </si>
  <si>
    <t>INAKP6</t>
  </si>
  <si>
    <t>inakp6</t>
  </si>
  <si>
    <t>INAKR6</t>
  </si>
  <si>
    <t>inakr6</t>
  </si>
  <si>
    <t>INAKV6</t>
  </si>
  <si>
    <t>inakv6</t>
  </si>
  <si>
    <t>INALA1</t>
  </si>
  <si>
    <t>inala1</t>
  </si>
  <si>
    <t>INALF1</t>
  </si>
  <si>
    <t>inalf1</t>
  </si>
  <si>
    <t>INAMD4</t>
  </si>
  <si>
    <t>inamd4</t>
  </si>
  <si>
    <t>INAMD5</t>
  </si>
  <si>
    <t>inamd5</t>
  </si>
  <si>
    <t>INAMD6</t>
  </si>
  <si>
    <t>inamd6</t>
  </si>
  <si>
    <t>INAMG6</t>
  </si>
  <si>
    <t>inamg6</t>
  </si>
  <si>
    <t>INAMI1</t>
  </si>
  <si>
    <t>inami1</t>
  </si>
  <si>
    <t>INAMK6</t>
  </si>
  <si>
    <t>inamk6</t>
  </si>
  <si>
    <t>INANG1</t>
  </si>
  <si>
    <t>inang1</t>
  </si>
  <si>
    <t>INANL1</t>
  </si>
  <si>
    <t>inanl1</t>
  </si>
  <si>
    <t>INAPI6</t>
  </si>
  <si>
    <t>inapi6</t>
  </si>
  <si>
    <t>INAPL6</t>
  </si>
  <si>
    <t>inapl6</t>
  </si>
  <si>
    <t>INAPT6</t>
  </si>
  <si>
    <t>inapt6</t>
  </si>
  <si>
    <t>INARR6</t>
  </si>
  <si>
    <t>inarr6</t>
  </si>
  <si>
    <t>INASR2</t>
  </si>
  <si>
    <t>inasr2</t>
  </si>
  <si>
    <t>INASR6</t>
  </si>
  <si>
    <t>inasr6</t>
  </si>
  <si>
    <t>INATQ4</t>
  </si>
  <si>
    <t>inatq4</t>
  </si>
  <si>
    <t>INATQ6</t>
  </si>
  <si>
    <t>inatq6</t>
  </si>
  <si>
    <t>INATRB</t>
  </si>
  <si>
    <t>inatrb</t>
  </si>
  <si>
    <t>INATT2</t>
  </si>
  <si>
    <t>inatt2</t>
  </si>
  <si>
    <t>INAWM6</t>
  </si>
  <si>
    <t>inawm6</t>
  </si>
  <si>
    <t>INAWS6</t>
  </si>
  <si>
    <t>inaws6</t>
  </si>
  <si>
    <t>INAWW6</t>
  </si>
  <si>
    <t>inaww6</t>
  </si>
  <si>
    <t>INAZK1</t>
  </si>
  <si>
    <t>inazk1</t>
  </si>
  <si>
    <t>INBAG6</t>
  </si>
  <si>
    <t>inbag6</t>
  </si>
  <si>
    <t>INBAI6</t>
  </si>
  <si>
    <t>inbai6</t>
  </si>
  <si>
    <t>INBAM6</t>
  </si>
  <si>
    <t>inbam6</t>
  </si>
  <si>
    <t>INBAP6</t>
  </si>
  <si>
    <t>inbap6</t>
  </si>
  <si>
    <t>INBAT6</t>
  </si>
  <si>
    <t>inbat6</t>
  </si>
  <si>
    <t>INBAU6</t>
  </si>
  <si>
    <t>inbau6</t>
  </si>
  <si>
    <t>INBAW6</t>
  </si>
  <si>
    <t>inbaw6</t>
  </si>
  <si>
    <t>INBBI4</t>
  </si>
  <si>
    <t>inbbi4</t>
  </si>
  <si>
    <t>INBBM6</t>
  </si>
  <si>
    <t>inbbm6</t>
  </si>
  <si>
    <t>INBBP1</t>
  </si>
  <si>
    <t>inbbp1</t>
  </si>
  <si>
    <t>INBBS6</t>
  </si>
  <si>
    <t>inbbs6</t>
  </si>
  <si>
    <t>INBCH6</t>
  </si>
  <si>
    <t>inbch6</t>
  </si>
  <si>
    <t>INBCO6</t>
  </si>
  <si>
    <t>inbco6</t>
  </si>
  <si>
    <t>INBCP6</t>
  </si>
  <si>
    <t>inbcp6</t>
  </si>
  <si>
    <t>INBDB6</t>
  </si>
  <si>
    <t>inbdb6</t>
  </si>
  <si>
    <t>INBDG1</t>
  </si>
  <si>
    <t>inbdg1</t>
  </si>
  <si>
    <t>INBDH6</t>
  </si>
  <si>
    <t>inbdh6</t>
  </si>
  <si>
    <t>INBDI6</t>
  </si>
  <si>
    <t>inbdi6</t>
  </si>
  <si>
    <t>INBDM6</t>
  </si>
  <si>
    <t>inbdm6</t>
  </si>
  <si>
    <t>INBDQ1</t>
  </si>
  <si>
    <t>inbdq1</t>
  </si>
  <si>
    <t>INBDR1</t>
  </si>
  <si>
    <t>inbdr1</t>
  </si>
  <si>
    <t>INBED1</t>
  </si>
  <si>
    <t>inbed1</t>
  </si>
  <si>
    <t>INBEK4</t>
  </si>
  <si>
    <t>inbek4</t>
  </si>
  <si>
    <t>INBEP4</t>
  </si>
  <si>
    <t>inbep4</t>
  </si>
  <si>
    <t>INBET1</t>
  </si>
  <si>
    <t>inbet1</t>
  </si>
  <si>
    <t>INBEY1</t>
  </si>
  <si>
    <t>inbey1</t>
  </si>
  <si>
    <t>INBFR6</t>
  </si>
  <si>
    <t>inbfr6</t>
  </si>
  <si>
    <t>INBGK6</t>
  </si>
  <si>
    <t>inbgk6</t>
  </si>
  <si>
    <t>INBGMB</t>
  </si>
  <si>
    <t>inbgmb</t>
  </si>
  <si>
    <t>INBGQ6</t>
  </si>
  <si>
    <t>inbgq6</t>
  </si>
  <si>
    <t>INBGUB</t>
  </si>
  <si>
    <t>inbgub</t>
  </si>
  <si>
    <t>INBGW1</t>
  </si>
  <si>
    <t>inbgw1</t>
  </si>
  <si>
    <t>INBHC6</t>
  </si>
  <si>
    <t>inbhc6</t>
  </si>
  <si>
    <t>INBHD6</t>
  </si>
  <si>
    <t>inbhd6</t>
  </si>
  <si>
    <t>INBHJ4</t>
  </si>
  <si>
    <t>inbhj4</t>
  </si>
  <si>
    <t>INBHL6</t>
  </si>
  <si>
    <t>inbhl6</t>
  </si>
  <si>
    <t>INBHM1</t>
  </si>
  <si>
    <t>inbhm1</t>
  </si>
  <si>
    <t>INBHO4</t>
  </si>
  <si>
    <t>inbho4</t>
  </si>
  <si>
    <t>INBHS6</t>
  </si>
  <si>
    <t>inbhs6</t>
  </si>
  <si>
    <t>INBHU1</t>
  </si>
  <si>
    <t>inbhu1</t>
  </si>
  <si>
    <t>INBHU4</t>
  </si>
  <si>
    <t>inbhu4</t>
  </si>
  <si>
    <t>INBKB4</t>
  </si>
  <si>
    <t>inbkb4</t>
  </si>
  <si>
    <t>INBKR1</t>
  </si>
  <si>
    <t>inbkr1</t>
  </si>
  <si>
    <t>INBKT1</t>
  </si>
  <si>
    <t>inbkt1</t>
  </si>
  <si>
    <t>INBLC6</t>
  </si>
  <si>
    <t>inblc6</t>
  </si>
  <si>
    <t>INBLE6</t>
  </si>
  <si>
    <t>inble6</t>
  </si>
  <si>
    <t>INBLJ6</t>
  </si>
  <si>
    <t>inblj6</t>
  </si>
  <si>
    <t>INBLK1</t>
  </si>
  <si>
    <t>inblk1</t>
  </si>
  <si>
    <t>INBLM1</t>
  </si>
  <si>
    <t>inblm1</t>
  </si>
  <si>
    <t>INBLP1</t>
  </si>
  <si>
    <t>inblp1</t>
  </si>
  <si>
    <t>INBLR4</t>
  </si>
  <si>
    <t>inblr4</t>
  </si>
  <si>
    <t>INBLR5</t>
  </si>
  <si>
    <t>inblr5</t>
  </si>
  <si>
    <t>INBLR6</t>
  </si>
  <si>
    <t>inblr6</t>
  </si>
  <si>
    <t>INBLTB</t>
  </si>
  <si>
    <t>inbltb</t>
  </si>
  <si>
    <t>INBLV6</t>
  </si>
  <si>
    <t>inblv6</t>
  </si>
  <si>
    <t>INBMA6</t>
  </si>
  <si>
    <t>inbma6</t>
  </si>
  <si>
    <t>INBMR2</t>
  </si>
  <si>
    <t>inbmr2</t>
  </si>
  <si>
    <t>INBNC6</t>
  </si>
  <si>
    <t>inbnc6</t>
  </si>
  <si>
    <t>INBND1</t>
  </si>
  <si>
    <t>inbnd1</t>
  </si>
  <si>
    <t>INBNG6</t>
  </si>
  <si>
    <t>inbng6</t>
  </si>
  <si>
    <t>INBNK6</t>
  </si>
  <si>
    <t>inbnk6</t>
  </si>
  <si>
    <t>INBNP1</t>
  </si>
  <si>
    <t>inbnp1</t>
  </si>
  <si>
    <t>INBNRB</t>
  </si>
  <si>
    <t>inbnrb</t>
  </si>
  <si>
    <t>INBNT6</t>
  </si>
  <si>
    <t>inbnt6</t>
  </si>
  <si>
    <t>INBNW6</t>
  </si>
  <si>
    <t>inbnw6</t>
  </si>
  <si>
    <t>INBNX6</t>
  </si>
  <si>
    <t>inbnx6</t>
  </si>
  <si>
    <t>INBNYB</t>
  </si>
  <si>
    <t>inbnyb</t>
  </si>
  <si>
    <t>INBOK6</t>
  </si>
  <si>
    <t>inbok6</t>
  </si>
  <si>
    <t>INBOLB</t>
  </si>
  <si>
    <t>inbolb</t>
  </si>
  <si>
    <t>INBOM1</t>
  </si>
  <si>
    <t>inbom1</t>
  </si>
  <si>
    <t>INBOM4</t>
  </si>
  <si>
    <t>inbom4</t>
  </si>
  <si>
    <t>INBOM5</t>
  </si>
  <si>
    <t>inbom5</t>
  </si>
  <si>
    <t>INBOM6</t>
  </si>
  <si>
    <t>inbom6</t>
  </si>
  <si>
    <t>INBPL5</t>
  </si>
  <si>
    <t>inbpl5</t>
  </si>
  <si>
    <t>INBPS5</t>
  </si>
  <si>
    <t>inbps5</t>
  </si>
  <si>
    <t>INBRAB</t>
  </si>
  <si>
    <t>inbrab</t>
  </si>
  <si>
    <t>INBRC6</t>
  </si>
  <si>
    <t>inbrc6</t>
  </si>
  <si>
    <t>INBRH1</t>
  </si>
  <si>
    <t>inbrh1</t>
  </si>
  <si>
    <t>INBRI6</t>
  </si>
  <si>
    <t>inbri6</t>
  </si>
  <si>
    <t>INBRL6</t>
  </si>
  <si>
    <t>inbrl6</t>
  </si>
  <si>
    <t>INBRM1</t>
  </si>
  <si>
    <t>inbrm1</t>
  </si>
  <si>
    <t>INBRS6</t>
  </si>
  <si>
    <t>inbrs6</t>
  </si>
  <si>
    <t>INBRY1</t>
  </si>
  <si>
    <t>inbry1</t>
  </si>
  <si>
    <t>INBSAB</t>
  </si>
  <si>
    <t>inbsab</t>
  </si>
  <si>
    <t>INBSB6</t>
  </si>
  <si>
    <t>inbsb6</t>
  </si>
  <si>
    <t>INBSL6</t>
  </si>
  <si>
    <t>inbsl6</t>
  </si>
  <si>
    <t>INBSN1</t>
  </si>
  <si>
    <t>inbsn1</t>
  </si>
  <si>
    <t>INBSR1</t>
  </si>
  <si>
    <t>inbsr1</t>
  </si>
  <si>
    <t>INBSW6</t>
  </si>
  <si>
    <t>inbsw6</t>
  </si>
  <si>
    <t>INBTK1</t>
  </si>
  <si>
    <t>inbtk1</t>
  </si>
  <si>
    <t>INBTMB</t>
  </si>
  <si>
    <t>inbtmb</t>
  </si>
  <si>
    <t>INBTR1</t>
  </si>
  <si>
    <t>inbtr1</t>
  </si>
  <si>
    <t>INBUD1</t>
  </si>
  <si>
    <t>inbud1</t>
  </si>
  <si>
    <t>INBUL6</t>
  </si>
  <si>
    <t>inbul6</t>
  </si>
  <si>
    <t>INBUP4</t>
  </si>
  <si>
    <t>inbup4</t>
  </si>
  <si>
    <t>INBUP6</t>
  </si>
  <si>
    <t>inbup6</t>
  </si>
  <si>
    <t>INBVC6</t>
  </si>
  <si>
    <t>inbvc6</t>
  </si>
  <si>
    <t>INBWD6</t>
  </si>
  <si>
    <t>inbwd6</t>
  </si>
  <si>
    <t>INBWN1</t>
  </si>
  <si>
    <t>inbwn1</t>
  </si>
  <si>
    <t>INBXR6</t>
  </si>
  <si>
    <t>inbxr6</t>
  </si>
  <si>
    <t>INBYT1</t>
  </si>
  <si>
    <t>inbyt1</t>
  </si>
  <si>
    <t>INCAG6</t>
  </si>
  <si>
    <t>incag6</t>
  </si>
  <si>
    <t>INCAM1</t>
  </si>
  <si>
    <t>incam1</t>
  </si>
  <si>
    <t>INCAP1</t>
  </si>
  <si>
    <t>incap1</t>
  </si>
  <si>
    <t>INCAR1</t>
  </si>
  <si>
    <t>incar1</t>
  </si>
  <si>
    <t>INCAS6</t>
  </si>
  <si>
    <t>incas6</t>
  </si>
  <si>
    <t>INCBC6</t>
  </si>
  <si>
    <t>incbc6</t>
  </si>
  <si>
    <t>INCBD4</t>
  </si>
  <si>
    <t>incbd4</t>
  </si>
  <si>
    <t>INCBDB</t>
  </si>
  <si>
    <t>incbdb</t>
  </si>
  <si>
    <t>INCBE6</t>
  </si>
  <si>
    <t>incbe6</t>
  </si>
  <si>
    <t>INCBL1</t>
  </si>
  <si>
    <t>incbl1</t>
  </si>
  <si>
    <t>INCBS6</t>
  </si>
  <si>
    <t>incbs6</t>
  </si>
  <si>
    <t>INCCH6</t>
  </si>
  <si>
    <t>incch6</t>
  </si>
  <si>
    <t>INCCI6</t>
  </si>
  <si>
    <t>incci6</t>
  </si>
  <si>
    <t>INCCJ1</t>
  </si>
  <si>
    <t>inccj1</t>
  </si>
  <si>
    <t>INCCJ4</t>
  </si>
  <si>
    <t>inccj4</t>
  </si>
  <si>
    <t>INCCP6</t>
  </si>
  <si>
    <t>inccp6</t>
  </si>
  <si>
    <t>INCCQ6</t>
  </si>
  <si>
    <t>inccq6</t>
  </si>
  <si>
    <t>INCCT6</t>
  </si>
  <si>
    <t>incct6</t>
  </si>
  <si>
    <t>INCCU1</t>
  </si>
  <si>
    <t>inccu1</t>
  </si>
  <si>
    <t>INCCU4</t>
  </si>
  <si>
    <t>inccu4</t>
  </si>
  <si>
    <t>INCCU5</t>
  </si>
  <si>
    <t>inccu5</t>
  </si>
  <si>
    <t>INCCW6</t>
  </si>
  <si>
    <t>inccw6</t>
  </si>
  <si>
    <t>INCDC6</t>
  </si>
  <si>
    <t>incdc6</t>
  </si>
  <si>
    <t>INCDD6</t>
  </si>
  <si>
    <t>incdd6</t>
  </si>
  <si>
    <t>INCDL1</t>
  </si>
  <si>
    <t>incdl1</t>
  </si>
  <si>
    <t>INCDP1</t>
  </si>
  <si>
    <t>incdp1</t>
  </si>
  <si>
    <t>INCDP4</t>
  </si>
  <si>
    <t>incdp4</t>
  </si>
  <si>
    <t>INCDP6</t>
  </si>
  <si>
    <t>incdp6</t>
  </si>
  <si>
    <t>INCDQ6</t>
  </si>
  <si>
    <t>incdq6</t>
  </si>
  <si>
    <t>INCDR6</t>
  </si>
  <si>
    <t>incdr6</t>
  </si>
  <si>
    <t>INCEC6</t>
  </si>
  <si>
    <t>incec6</t>
  </si>
  <si>
    <t>INCGA6</t>
  </si>
  <si>
    <t>incga6</t>
  </si>
  <si>
    <t>INCGE6</t>
  </si>
  <si>
    <t>incge6</t>
  </si>
  <si>
    <t>INCGI6</t>
  </si>
  <si>
    <t>incgi6</t>
  </si>
  <si>
    <t>INCGL6</t>
  </si>
  <si>
    <t>incgl6</t>
  </si>
  <si>
    <t>INCHE6</t>
  </si>
  <si>
    <t>inche6</t>
  </si>
  <si>
    <t>INCHJ6</t>
  </si>
  <si>
    <t>inchj6</t>
  </si>
  <si>
    <t>INCHL1</t>
  </si>
  <si>
    <t>inchl1</t>
  </si>
  <si>
    <t>INCHMB</t>
  </si>
  <si>
    <t>inchmb</t>
  </si>
  <si>
    <t>INCHN6</t>
  </si>
  <si>
    <t>inchn6</t>
  </si>
  <si>
    <t>INCHPB</t>
  </si>
  <si>
    <t>inchpb</t>
  </si>
  <si>
    <t>INCHR1</t>
  </si>
  <si>
    <t>inchr1</t>
  </si>
  <si>
    <t>INCJA6</t>
  </si>
  <si>
    <t>incja6</t>
  </si>
  <si>
    <t>INCJB4</t>
  </si>
  <si>
    <t>incjb4</t>
  </si>
  <si>
    <t>INCJB6</t>
  </si>
  <si>
    <t>incjb6</t>
  </si>
  <si>
    <t>INCJC6</t>
  </si>
  <si>
    <t>incjc6</t>
  </si>
  <si>
    <t>INCJD6</t>
  </si>
  <si>
    <t>incjd6</t>
  </si>
  <si>
    <t>INCJE6</t>
  </si>
  <si>
    <t>incje6</t>
  </si>
  <si>
    <t>INCJF6</t>
  </si>
  <si>
    <t>incjf6</t>
  </si>
  <si>
    <t>INCJH6</t>
  </si>
  <si>
    <t>incjh6</t>
  </si>
  <si>
    <t>INCJI6</t>
  </si>
  <si>
    <t>incji6</t>
  </si>
  <si>
    <t>INCJJ6</t>
  </si>
  <si>
    <t>incjj6</t>
  </si>
  <si>
    <t>INCJN6</t>
  </si>
  <si>
    <t>incjn6</t>
  </si>
  <si>
    <t>INCJO6</t>
  </si>
  <si>
    <t>incjo6</t>
  </si>
  <si>
    <t>INCJS6</t>
  </si>
  <si>
    <t>incjs6</t>
  </si>
  <si>
    <t>INCLK6</t>
  </si>
  <si>
    <t>inclk6</t>
  </si>
  <si>
    <t>INCLU6</t>
  </si>
  <si>
    <t>inclu6</t>
  </si>
  <si>
    <t>INCLX6</t>
  </si>
  <si>
    <t>inclx6</t>
  </si>
  <si>
    <t>INCMB1</t>
  </si>
  <si>
    <t>incmb1</t>
  </si>
  <si>
    <t>INCML6</t>
  </si>
  <si>
    <t>incml6</t>
  </si>
  <si>
    <t>INCNB1</t>
  </si>
  <si>
    <t>incnb1</t>
  </si>
  <si>
    <t>INCNC6</t>
  </si>
  <si>
    <t>incnc6</t>
  </si>
  <si>
    <t>INCNN1</t>
  </si>
  <si>
    <t>incnn1</t>
  </si>
  <si>
    <t>INCOA6</t>
  </si>
  <si>
    <t>incoa6</t>
  </si>
  <si>
    <t>INCOH4</t>
  </si>
  <si>
    <t>incoh4</t>
  </si>
  <si>
    <t>INCOK1</t>
  </si>
  <si>
    <t>incok1</t>
  </si>
  <si>
    <t>INCOK4</t>
  </si>
  <si>
    <t>incok4</t>
  </si>
  <si>
    <t>INCOK6</t>
  </si>
  <si>
    <t>incok6</t>
  </si>
  <si>
    <t>INCOL1</t>
  </si>
  <si>
    <t>incol1</t>
  </si>
  <si>
    <t>INCOO1</t>
  </si>
  <si>
    <t>incoo1</t>
  </si>
  <si>
    <t>INCOP6</t>
  </si>
  <si>
    <t>incop6</t>
  </si>
  <si>
    <t>INCPC6</t>
  </si>
  <si>
    <t>incpc6</t>
  </si>
  <si>
    <t>INCPL6</t>
  </si>
  <si>
    <t>incpl6</t>
  </si>
  <si>
    <t>INCPR6</t>
  </si>
  <si>
    <t>incpr6</t>
  </si>
  <si>
    <t>INCRL6</t>
  </si>
  <si>
    <t>incrl6</t>
  </si>
  <si>
    <t>INCRN1</t>
  </si>
  <si>
    <t>incrn1</t>
  </si>
  <si>
    <t>INCRW6</t>
  </si>
  <si>
    <t>incrw6</t>
  </si>
  <si>
    <t>INCRXB</t>
  </si>
  <si>
    <t>incrxb</t>
  </si>
  <si>
    <t>INCSP6</t>
  </si>
  <si>
    <t>incsp6</t>
  </si>
  <si>
    <t>INCSV6</t>
  </si>
  <si>
    <t>incsv6</t>
  </si>
  <si>
    <t>INCTI1</t>
  </si>
  <si>
    <t>incti1</t>
  </si>
  <si>
    <t>INCUM1</t>
  </si>
  <si>
    <t>incum1</t>
  </si>
  <si>
    <t>INDAE4</t>
  </si>
  <si>
    <t>indae4</t>
  </si>
  <si>
    <t>INDAH1</t>
  </si>
  <si>
    <t>indah1</t>
  </si>
  <si>
    <t>INDAI4</t>
  </si>
  <si>
    <t>indai4</t>
  </si>
  <si>
    <t>INDAM1</t>
  </si>
  <si>
    <t>indam1</t>
  </si>
  <si>
    <t>INDAM4</t>
  </si>
  <si>
    <t>indam4</t>
  </si>
  <si>
    <t>INDAR6</t>
  </si>
  <si>
    <t>indar6</t>
  </si>
  <si>
    <t>INDBD4</t>
  </si>
  <si>
    <t>indbd4</t>
  </si>
  <si>
    <t>INDBS6</t>
  </si>
  <si>
    <t>indbs6</t>
  </si>
  <si>
    <t>INDDL6</t>
  </si>
  <si>
    <t>inddl6</t>
  </si>
  <si>
    <t>INDEA6</t>
  </si>
  <si>
    <t>indea6</t>
  </si>
  <si>
    <t>INDED4</t>
  </si>
  <si>
    <t>inded4</t>
  </si>
  <si>
    <t>INDEF6</t>
  </si>
  <si>
    <t>indef6</t>
  </si>
  <si>
    <t>INDEG1</t>
  </si>
  <si>
    <t>indeg1</t>
  </si>
  <si>
    <t>INDEH6</t>
  </si>
  <si>
    <t>indeh6</t>
  </si>
  <si>
    <t>INDEI6</t>
  </si>
  <si>
    <t>indei6</t>
  </si>
  <si>
    <t>INDEJ6</t>
  </si>
  <si>
    <t>indej6</t>
  </si>
  <si>
    <t>INDEL4</t>
  </si>
  <si>
    <t>indel4</t>
  </si>
  <si>
    <t>INDEL5</t>
  </si>
  <si>
    <t>indel5</t>
  </si>
  <si>
    <t>INDEM6</t>
  </si>
  <si>
    <t>indem6</t>
  </si>
  <si>
    <t>INDEN6</t>
  </si>
  <si>
    <t>inden6</t>
  </si>
  <si>
    <t>INDEP4</t>
  </si>
  <si>
    <t>indep4</t>
  </si>
  <si>
    <t>INDER6</t>
  </si>
  <si>
    <t>inder6</t>
  </si>
  <si>
    <t>INDES6</t>
  </si>
  <si>
    <t>indes6</t>
  </si>
  <si>
    <t>INDET6</t>
  </si>
  <si>
    <t>indet6</t>
  </si>
  <si>
    <t>INDEU6</t>
  </si>
  <si>
    <t>indeu6</t>
  </si>
  <si>
    <t>INDEW6</t>
  </si>
  <si>
    <t>indew6</t>
  </si>
  <si>
    <t>INDGI6</t>
  </si>
  <si>
    <t>indgi6</t>
  </si>
  <si>
    <t>INDGT6</t>
  </si>
  <si>
    <t>indgt6</t>
  </si>
  <si>
    <t>INDHA6</t>
  </si>
  <si>
    <t>indha6</t>
  </si>
  <si>
    <t>INDHBB</t>
  </si>
  <si>
    <t>indhbb</t>
  </si>
  <si>
    <t>INDHLB</t>
  </si>
  <si>
    <t>indhlb</t>
  </si>
  <si>
    <t>INDHM4</t>
  </si>
  <si>
    <t>indhm4</t>
  </si>
  <si>
    <t>INDHN1</t>
  </si>
  <si>
    <t>indhn1</t>
  </si>
  <si>
    <t>INDHP1</t>
  </si>
  <si>
    <t>indhp1</t>
  </si>
  <si>
    <t>INDHR1</t>
  </si>
  <si>
    <t>indhr1</t>
  </si>
  <si>
    <t>INDHU1</t>
  </si>
  <si>
    <t>indhu1</t>
  </si>
  <si>
    <t>INDIB4</t>
  </si>
  <si>
    <t>indib4</t>
  </si>
  <si>
    <t>INDID6</t>
  </si>
  <si>
    <t>indid6</t>
  </si>
  <si>
    <t>INDIG1</t>
  </si>
  <si>
    <t>indig1</t>
  </si>
  <si>
    <t>INDIG6</t>
  </si>
  <si>
    <t>indig6</t>
  </si>
  <si>
    <t>INDIT6</t>
  </si>
  <si>
    <t>indit6</t>
  </si>
  <si>
    <t>INDIU1</t>
  </si>
  <si>
    <t>indiu1</t>
  </si>
  <si>
    <t>INDIU4</t>
  </si>
  <si>
    <t>indiu4</t>
  </si>
  <si>
    <t>INDIV1</t>
  </si>
  <si>
    <t>indiv1</t>
  </si>
  <si>
    <t>INDLAB</t>
  </si>
  <si>
    <t>indlab</t>
  </si>
  <si>
    <t>INDLH6</t>
  </si>
  <si>
    <t>indlh6</t>
  </si>
  <si>
    <t>INDLI2</t>
  </si>
  <si>
    <t>indli2</t>
  </si>
  <si>
    <t>INDLOB</t>
  </si>
  <si>
    <t>indlob</t>
  </si>
  <si>
    <t>INDLUB</t>
  </si>
  <si>
    <t>indlub</t>
  </si>
  <si>
    <t>INDMA1</t>
  </si>
  <si>
    <t>indma1</t>
  </si>
  <si>
    <t>INDMRB</t>
  </si>
  <si>
    <t>indmrb</t>
  </si>
  <si>
    <t>INDMT1</t>
  </si>
  <si>
    <t>indmt1</t>
  </si>
  <si>
    <t>INDMU4</t>
  </si>
  <si>
    <t>indmu4</t>
  </si>
  <si>
    <t>INDPC4</t>
  </si>
  <si>
    <t>indpc4</t>
  </si>
  <si>
    <t>INDPR6</t>
  </si>
  <si>
    <t>indpr6</t>
  </si>
  <si>
    <t>INDRC6</t>
  </si>
  <si>
    <t>indrc6</t>
  </si>
  <si>
    <t>INDRGB</t>
  </si>
  <si>
    <t>indrgb</t>
  </si>
  <si>
    <t>INDRK1</t>
  </si>
  <si>
    <t>indrk1</t>
  </si>
  <si>
    <t>INDRL1</t>
  </si>
  <si>
    <t>indrl1</t>
  </si>
  <si>
    <t>INDRU6</t>
  </si>
  <si>
    <t>indru6</t>
  </si>
  <si>
    <t>INDSK1</t>
  </si>
  <si>
    <t>indsk1</t>
  </si>
  <si>
    <t>INDSM6</t>
  </si>
  <si>
    <t>indsm6</t>
  </si>
  <si>
    <t>INDTW1</t>
  </si>
  <si>
    <t>indtw1</t>
  </si>
  <si>
    <t>INDUR6</t>
  </si>
  <si>
    <t>indur6</t>
  </si>
  <si>
    <t>INDWA1</t>
  </si>
  <si>
    <t>indwa1</t>
  </si>
  <si>
    <t>INDWKB</t>
  </si>
  <si>
    <t>indwkb</t>
  </si>
  <si>
    <t>INDWN6</t>
  </si>
  <si>
    <t>indwn6</t>
  </si>
  <si>
    <t>INDWR6</t>
  </si>
  <si>
    <t>indwr6</t>
  </si>
  <si>
    <t>INENR1</t>
  </si>
  <si>
    <t>inenr1</t>
  </si>
  <si>
    <t>INERP6</t>
  </si>
  <si>
    <t>inerp6</t>
  </si>
  <si>
    <t>INERV6</t>
  </si>
  <si>
    <t>inerv6</t>
  </si>
  <si>
    <t>INESH1</t>
  </si>
  <si>
    <t>inesh1</t>
  </si>
  <si>
    <t>INFBD6</t>
  </si>
  <si>
    <t>infbd6</t>
  </si>
  <si>
    <t>INFBE6</t>
  </si>
  <si>
    <t>infbe6</t>
  </si>
  <si>
    <t>INFBM6</t>
  </si>
  <si>
    <t>infbm6</t>
  </si>
  <si>
    <t>INFBP6</t>
  </si>
  <si>
    <t>infbp6</t>
  </si>
  <si>
    <t>INFBRB</t>
  </si>
  <si>
    <t>infbrb</t>
  </si>
  <si>
    <t>INFBS6</t>
  </si>
  <si>
    <t>infbs6</t>
  </si>
  <si>
    <t>INFCH5</t>
  </si>
  <si>
    <t>infch5</t>
  </si>
  <si>
    <t>INFLT6</t>
  </si>
  <si>
    <t>inflt6</t>
  </si>
  <si>
    <t>INFMA6</t>
  </si>
  <si>
    <t>infma6</t>
  </si>
  <si>
    <t>INFMH6</t>
  </si>
  <si>
    <t>infmh6</t>
  </si>
  <si>
    <t>INFMJ6</t>
  </si>
  <si>
    <t>infmj6</t>
  </si>
  <si>
    <t>INFMS6</t>
  </si>
  <si>
    <t>infms6</t>
  </si>
  <si>
    <t>INGAIB</t>
  </si>
  <si>
    <t>ingaib</t>
  </si>
  <si>
    <t>INGALB</t>
  </si>
  <si>
    <t>ingalb</t>
  </si>
  <si>
    <t>INGAO6</t>
  </si>
  <si>
    <t>ingao6</t>
  </si>
  <si>
    <t>INGAS6</t>
  </si>
  <si>
    <t>ingas6</t>
  </si>
  <si>
    <t>INGAU1</t>
  </si>
  <si>
    <t>ingau1</t>
  </si>
  <si>
    <t>INGAU2</t>
  </si>
  <si>
    <t>ingau2</t>
  </si>
  <si>
    <t>INGAU4</t>
  </si>
  <si>
    <t>ingau4</t>
  </si>
  <si>
    <t>INGAU5</t>
  </si>
  <si>
    <t>ingau5</t>
  </si>
  <si>
    <t>INGAW2</t>
  </si>
  <si>
    <t>ingaw2</t>
  </si>
  <si>
    <t>INGAY4</t>
  </si>
  <si>
    <t>ingay4</t>
  </si>
  <si>
    <t>INGDL6</t>
  </si>
  <si>
    <t>ingdl6</t>
  </si>
  <si>
    <t>INGDM6</t>
  </si>
  <si>
    <t>ingdm6</t>
  </si>
  <si>
    <t>INGDP6</t>
  </si>
  <si>
    <t>ingdp6</t>
  </si>
  <si>
    <t>INGED2</t>
  </si>
  <si>
    <t>inged2</t>
  </si>
  <si>
    <t>INGGA1</t>
  </si>
  <si>
    <t>ingga1</t>
  </si>
  <si>
    <t>INGGB6</t>
  </si>
  <si>
    <t>inggb6</t>
  </si>
  <si>
    <t>INGGC6</t>
  </si>
  <si>
    <t>inggc6</t>
  </si>
  <si>
    <t>INGGD6</t>
  </si>
  <si>
    <t>inggd6</t>
  </si>
  <si>
    <t>INGGE6</t>
  </si>
  <si>
    <t>ingge6</t>
  </si>
  <si>
    <t>INGGF6</t>
  </si>
  <si>
    <t>inggf6</t>
  </si>
  <si>
    <t>INGGG6</t>
  </si>
  <si>
    <t>inggg6</t>
  </si>
  <si>
    <t>INGGI6</t>
  </si>
  <si>
    <t>inggi6</t>
  </si>
  <si>
    <t>INGGL6</t>
  </si>
  <si>
    <t>inggl6</t>
  </si>
  <si>
    <t>INGGM6</t>
  </si>
  <si>
    <t>inggm6</t>
  </si>
  <si>
    <t>INGGN2</t>
  </si>
  <si>
    <t>inggn2</t>
  </si>
  <si>
    <t>INGGO6</t>
  </si>
  <si>
    <t>inggo6</t>
  </si>
  <si>
    <t>INGGP6</t>
  </si>
  <si>
    <t>inggp6</t>
  </si>
  <si>
    <t>INGGS6</t>
  </si>
  <si>
    <t>inggs6</t>
  </si>
  <si>
    <t>INGGU6</t>
  </si>
  <si>
    <t>inggu6</t>
  </si>
  <si>
    <t>INGGV1</t>
  </si>
  <si>
    <t>inggv1</t>
  </si>
  <si>
    <t>INGHA1</t>
  </si>
  <si>
    <t>ingha1</t>
  </si>
  <si>
    <t>INGHC6</t>
  </si>
  <si>
    <t>inghc6</t>
  </si>
  <si>
    <t>INGHPB</t>
  </si>
  <si>
    <t>inghpb</t>
  </si>
  <si>
    <t>INGHR6</t>
  </si>
  <si>
    <t>inghr6</t>
  </si>
  <si>
    <t>INGHWB</t>
  </si>
  <si>
    <t>inghwb</t>
  </si>
  <si>
    <t>INGID6</t>
  </si>
  <si>
    <t>ingid6</t>
  </si>
  <si>
    <t>INGIN6</t>
  </si>
  <si>
    <t>ingin6</t>
  </si>
  <si>
    <t>INGJIB</t>
  </si>
  <si>
    <t>ingjib</t>
  </si>
  <si>
    <t>INGJXB</t>
  </si>
  <si>
    <t>ingjxb</t>
  </si>
  <si>
    <t>INGKJ2</t>
  </si>
  <si>
    <t>ingkj2</t>
  </si>
  <si>
    <t>INGKJB</t>
  </si>
  <si>
    <t>ingkjb</t>
  </si>
  <si>
    <t>INGLY6</t>
  </si>
  <si>
    <t>ingly6</t>
  </si>
  <si>
    <t>INGMI6</t>
  </si>
  <si>
    <t>ingmi6</t>
  </si>
  <si>
    <t>INGNA6</t>
  </si>
  <si>
    <t>ingna6</t>
  </si>
  <si>
    <t>INGNC6</t>
  </si>
  <si>
    <t>ingnc6</t>
  </si>
  <si>
    <t>INGNG6</t>
  </si>
  <si>
    <t>ingng6</t>
  </si>
  <si>
    <t>INGNL6</t>
  </si>
  <si>
    <t>ingnl6</t>
  </si>
  <si>
    <t>INGNP6</t>
  </si>
  <si>
    <t>ingnp6</t>
  </si>
  <si>
    <t>INGNR6</t>
  </si>
  <si>
    <t>ingnr6</t>
  </si>
  <si>
    <t>INGNT6</t>
  </si>
  <si>
    <t>ingnt6</t>
  </si>
  <si>
    <t>INGOI4</t>
  </si>
  <si>
    <t>ingoi4</t>
  </si>
  <si>
    <t>INGOP4</t>
  </si>
  <si>
    <t>ingop4</t>
  </si>
  <si>
    <t>INGPB6</t>
  </si>
  <si>
    <t>ingpb6</t>
  </si>
  <si>
    <t>INGPR1</t>
  </si>
  <si>
    <t>ingpr1</t>
  </si>
  <si>
    <t>INGRD6</t>
  </si>
  <si>
    <t>ingrd6</t>
  </si>
  <si>
    <t>INGRL6</t>
  </si>
  <si>
    <t>ingrl6</t>
  </si>
  <si>
    <t>INGRN6</t>
  </si>
  <si>
    <t>ingrn6</t>
  </si>
  <si>
    <t>INGRR6</t>
  </si>
  <si>
    <t>ingrr6</t>
  </si>
  <si>
    <t>INGRS6</t>
  </si>
  <si>
    <t>ingrs6</t>
  </si>
  <si>
    <t>INGRW6</t>
  </si>
  <si>
    <t>ingrw6</t>
  </si>
  <si>
    <t>INGTGB</t>
  </si>
  <si>
    <t>ingtgb</t>
  </si>
  <si>
    <t>INGTI6</t>
  </si>
  <si>
    <t>ingti6</t>
  </si>
  <si>
    <t>INGTR2</t>
  </si>
  <si>
    <t>ingtr2</t>
  </si>
  <si>
    <t>INGTS6</t>
  </si>
  <si>
    <t>ingts6</t>
  </si>
  <si>
    <t>INGTZB</t>
  </si>
  <si>
    <t>ingtzb</t>
  </si>
  <si>
    <t>INGUX4</t>
  </si>
  <si>
    <t>ingux4</t>
  </si>
  <si>
    <t>INGWL4</t>
  </si>
  <si>
    <t>ingwl4</t>
  </si>
  <si>
    <t>INGWL6</t>
  </si>
  <si>
    <t>ingwl6</t>
  </si>
  <si>
    <t>INGWM4</t>
  </si>
  <si>
    <t>ingwm4</t>
  </si>
  <si>
    <t>INHAL1</t>
  </si>
  <si>
    <t>inhal1</t>
  </si>
  <si>
    <t>INHAN6</t>
  </si>
  <si>
    <t>inhan6</t>
  </si>
  <si>
    <t>INHAO6</t>
  </si>
  <si>
    <t>inhao6</t>
  </si>
  <si>
    <t>INHAS6</t>
  </si>
  <si>
    <t>inhas6</t>
  </si>
  <si>
    <t>INHBB6</t>
  </si>
  <si>
    <t>inhbb6</t>
  </si>
  <si>
    <t>INHBX4</t>
  </si>
  <si>
    <t>inhbx4</t>
  </si>
  <si>
    <t>INHDD6</t>
  </si>
  <si>
    <t>inhdd6</t>
  </si>
  <si>
    <t>INHEB6</t>
  </si>
  <si>
    <t>inheb6</t>
  </si>
  <si>
    <t>INHEI6</t>
  </si>
  <si>
    <t>inhei6</t>
  </si>
  <si>
    <t>INHEM6</t>
  </si>
  <si>
    <t>inhem6</t>
  </si>
  <si>
    <t>INHGLB</t>
  </si>
  <si>
    <t>inhglb</t>
  </si>
  <si>
    <t>INHGT1</t>
  </si>
  <si>
    <t>inhgt1</t>
  </si>
  <si>
    <t>INHIR6</t>
  </si>
  <si>
    <t>inhir6</t>
  </si>
  <si>
    <t>INHJR4</t>
  </si>
  <si>
    <t>inhjr4</t>
  </si>
  <si>
    <t>INHLD2</t>
  </si>
  <si>
    <t>inhld2</t>
  </si>
  <si>
    <t>INHLE6</t>
  </si>
  <si>
    <t>inhle6</t>
  </si>
  <si>
    <t>INHLIB</t>
  </si>
  <si>
    <t>inhlib</t>
  </si>
  <si>
    <t>INHND1</t>
  </si>
  <si>
    <t>inhnd1</t>
  </si>
  <si>
    <t>INHON1</t>
  </si>
  <si>
    <t>inhon1</t>
  </si>
  <si>
    <t>INHPI6</t>
  </si>
  <si>
    <t>inhpi6</t>
  </si>
  <si>
    <t>INHRN1</t>
  </si>
  <si>
    <t>inhrn1</t>
  </si>
  <si>
    <t>INHSF6</t>
  </si>
  <si>
    <t>inhsf6</t>
  </si>
  <si>
    <t>INHSP6</t>
  </si>
  <si>
    <t>inhsp6</t>
  </si>
  <si>
    <t>INHSS4</t>
  </si>
  <si>
    <t>inhss4</t>
  </si>
  <si>
    <t>INHST6</t>
  </si>
  <si>
    <t>inhst6</t>
  </si>
  <si>
    <t>INHSU6</t>
  </si>
  <si>
    <t>inhsu6</t>
  </si>
  <si>
    <t>INHTSB</t>
  </si>
  <si>
    <t>inhtsb</t>
  </si>
  <si>
    <t>INHUR6</t>
  </si>
  <si>
    <t>inhur6</t>
  </si>
  <si>
    <t>INHWR1</t>
  </si>
  <si>
    <t>inhwr1</t>
  </si>
  <si>
    <t>INHYB6</t>
  </si>
  <si>
    <t>inhyb6</t>
  </si>
  <si>
    <t>INHYD4</t>
  </si>
  <si>
    <t>inhyd4</t>
  </si>
  <si>
    <t>INHYD5</t>
  </si>
  <si>
    <t>inhyd5</t>
  </si>
  <si>
    <t>INHYD6</t>
  </si>
  <si>
    <t>inhyd6</t>
  </si>
  <si>
    <t>INHZA1</t>
  </si>
  <si>
    <t>inhza1</t>
  </si>
  <si>
    <t>INHZA6</t>
  </si>
  <si>
    <t>inhza6</t>
  </si>
  <si>
    <t>INIDR4</t>
  </si>
  <si>
    <t>inidr4</t>
  </si>
  <si>
    <t>INIDR6</t>
  </si>
  <si>
    <t>inidr6</t>
  </si>
  <si>
    <t>INIGU6</t>
  </si>
  <si>
    <t>inigu6</t>
  </si>
  <si>
    <t>INILP6</t>
  </si>
  <si>
    <t>inilp6</t>
  </si>
  <si>
    <t>INIMF4</t>
  </si>
  <si>
    <t>inimf4</t>
  </si>
  <si>
    <t>ININB6</t>
  </si>
  <si>
    <t>ininb6</t>
  </si>
  <si>
    <t>ININD6</t>
  </si>
  <si>
    <t>inind6</t>
  </si>
  <si>
    <t>ININI6</t>
  </si>
  <si>
    <t>inini6</t>
  </si>
  <si>
    <t>ININN6</t>
  </si>
  <si>
    <t>ininn6</t>
  </si>
  <si>
    <t>ININT6</t>
  </si>
  <si>
    <t>inint6</t>
  </si>
  <si>
    <t>INISK4</t>
  </si>
  <si>
    <t>inisk4</t>
  </si>
  <si>
    <t>INISK6</t>
  </si>
  <si>
    <t>inisk6</t>
  </si>
  <si>
    <t>INIXA4</t>
  </si>
  <si>
    <t>inixa4</t>
  </si>
  <si>
    <t>INIXB4</t>
  </si>
  <si>
    <t>inixb4</t>
  </si>
  <si>
    <t>INIXC4</t>
  </si>
  <si>
    <t>inixc4</t>
  </si>
  <si>
    <t>INIXD4</t>
  </si>
  <si>
    <t>inixd4</t>
  </si>
  <si>
    <t>INIXE1</t>
  </si>
  <si>
    <t>inixe1</t>
  </si>
  <si>
    <t>INIXE4</t>
  </si>
  <si>
    <t>inixe4</t>
  </si>
  <si>
    <t>INIXG4</t>
  </si>
  <si>
    <t>inixg4</t>
  </si>
  <si>
    <t>INIXH4</t>
  </si>
  <si>
    <t>inixh4</t>
  </si>
  <si>
    <t>INIXI4</t>
  </si>
  <si>
    <t>inixi4</t>
  </si>
  <si>
    <t>INIXJ4</t>
  </si>
  <si>
    <t>inixj4</t>
  </si>
  <si>
    <t>INIXK4</t>
  </si>
  <si>
    <t>inixk4</t>
  </si>
  <si>
    <t>INIXL4</t>
  </si>
  <si>
    <t>inixl4</t>
  </si>
  <si>
    <t>INIXL5</t>
  </si>
  <si>
    <t>inixl5</t>
  </si>
  <si>
    <t>INIXM4</t>
  </si>
  <si>
    <t>inixm4</t>
  </si>
  <si>
    <t>INIXM6</t>
  </si>
  <si>
    <t>inixm6</t>
  </si>
  <si>
    <t>INIXN4</t>
  </si>
  <si>
    <t>inixn4</t>
  </si>
  <si>
    <t>INIXP4</t>
  </si>
  <si>
    <t>inixp4</t>
  </si>
  <si>
    <t>INIXQ4</t>
  </si>
  <si>
    <t>inixq4</t>
  </si>
  <si>
    <t>INIXR4</t>
  </si>
  <si>
    <t>inixr4</t>
  </si>
  <si>
    <t>INIXS4</t>
  </si>
  <si>
    <t>inixs4</t>
  </si>
  <si>
    <t>INIXT4</t>
  </si>
  <si>
    <t>inixt4</t>
  </si>
  <si>
    <t>INIXU4</t>
  </si>
  <si>
    <t>inixu4</t>
  </si>
  <si>
    <t>INIXW4</t>
  </si>
  <si>
    <t>inixw4</t>
  </si>
  <si>
    <t>INIXW6</t>
  </si>
  <si>
    <t>inixw6</t>
  </si>
  <si>
    <t>INIXY1</t>
  </si>
  <si>
    <t>inixy1</t>
  </si>
  <si>
    <t>INIXY4</t>
  </si>
  <si>
    <t>inixy4</t>
  </si>
  <si>
    <t>INIXY6</t>
  </si>
  <si>
    <t>inixy6</t>
  </si>
  <si>
    <t>INIXZ1</t>
  </si>
  <si>
    <t>inixz1</t>
  </si>
  <si>
    <t>INIXZ4</t>
  </si>
  <si>
    <t>inixz4</t>
  </si>
  <si>
    <t>INJAI4</t>
  </si>
  <si>
    <t>injai4</t>
  </si>
  <si>
    <t>INJAI5</t>
  </si>
  <si>
    <t>injai5</t>
  </si>
  <si>
    <t>INJAI6</t>
  </si>
  <si>
    <t>injai6</t>
  </si>
  <si>
    <t>INJAK1</t>
  </si>
  <si>
    <t>injak1</t>
  </si>
  <si>
    <t>INJAL6</t>
  </si>
  <si>
    <t>injal6</t>
  </si>
  <si>
    <t>INJAYB</t>
  </si>
  <si>
    <t>injayb</t>
  </si>
  <si>
    <t>INJBD1</t>
  </si>
  <si>
    <t>injbd1</t>
  </si>
  <si>
    <t>INJBL6</t>
  </si>
  <si>
    <t>injbl6</t>
  </si>
  <si>
    <t>INJBNB</t>
  </si>
  <si>
    <t>injbnb</t>
  </si>
  <si>
    <t>INJDA1</t>
  </si>
  <si>
    <t>injda1</t>
  </si>
  <si>
    <t>INJDH4</t>
  </si>
  <si>
    <t>injdh4</t>
  </si>
  <si>
    <t>INJDH6</t>
  </si>
  <si>
    <t>injdh6</t>
  </si>
  <si>
    <t>INJGA4</t>
  </si>
  <si>
    <t>injga4</t>
  </si>
  <si>
    <t>INJGB4</t>
  </si>
  <si>
    <t>injgb4</t>
  </si>
  <si>
    <t>INJGD1</t>
  </si>
  <si>
    <t>injgd1</t>
  </si>
  <si>
    <t>INJGI6</t>
  </si>
  <si>
    <t>injgi6</t>
  </si>
  <si>
    <t>INJHA6</t>
  </si>
  <si>
    <t>injha6</t>
  </si>
  <si>
    <t>INJHOB</t>
  </si>
  <si>
    <t>injhob</t>
  </si>
  <si>
    <t>INJHV6</t>
  </si>
  <si>
    <t>injhv6</t>
  </si>
  <si>
    <t>INJIGB</t>
  </si>
  <si>
    <t>injigb</t>
  </si>
  <si>
    <t>INJJK6</t>
  </si>
  <si>
    <t>injjk6</t>
  </si>
  <si>
    <t>INJKA6</t>
  </si>
  <si>
    <t>injka6</t>
  </si>
  <si>
    <t>INJLR4</t>
  </si>
  <si>
    <t>injlr4</t>
  </si>
  <si>
    <t>INJNJ6</t>
  </si>
  <si>
    <t>injnj6</t>
  </si>
  <si>
    <t>INJNR4</t>
  </si>
  <si>
    <t>injnr4</t>
  </si>
  <si>
    <t>INJNR6</t>
  </si>
  <si>
    <t>injnr6</t>
  </si>
  <si>
    <t>INJPGB</t>
  </si>
  <si>
    <t>injpgb</t>
  </si>
  <si>
    <t>INJPI6</t>
  </si>
  <si>
    <t>injpi6</t>
  </si>
  <si>
    <t>INJPV6</t>
  </si>
  <si>
    <t>injpv6</t>
  </si>
  <si>
    <t>INJPW6</t>
  </si>
  <si>
    <t>injpw6</t>
  </si>
  <si>
    <t>INJRH4</t>
  </si>
  <si>
    <t>injrh4</t>
  </si>
  <si>
    <t>INJSA4</t>
  </si>
  <si>
    <t>injsa4</t>
  </si>
  <si>
    <t>INJSG6</t>
  </si>
  <si>
    <t>injsg6</t>
  </si>
  <si>
    <t>INJSM6</t>
  </si>
  <si>
    <t>injsm6</t>
  </si>
  <si>
    <t>INJSZ6</t>
  </si>
  <si>
    <t>injsz6</t>
  </si>
  <si>
    <t>INJTP1</t>
  </si>
  <si>
    <t>injtp1</t>
  </si>
  <si>
    <t>INJUC6</t>
  </si>
  <si>
    <t>injuc6</t>
  </si>
  <si>
    <t>INJUX6</t>
  </si>
  <si>
    <t>injux6</t>
  </si>
  <si>
    <t>INJWAB</t>
  </si>
  <si>
    <t>injwab</t>
  </si>
  <si>
    <t>INKAK1</t>
  </si>
  <si>
    <t>inkak1</t>
  </si>
  <si>
    <t>INKAK6</t>
  </si>
  <si>
    <t>inkak6</t>
  </si>
  <si>
    <t>INKAL1</t>
  </si>
  <si>
    <t>inkal1</t>
  </si>
  <si>
    <t>INKAP6</t>
  </si>
  <si>
    <t>inkap6</t>
  </si>
  <si>
    <t>INKAR6</t>
  </si>
  <si>
    <t>inkar6</t>
  </si>
  <si>
    <t>INKAT1</t>
  </si>
  <si>
    <t>inkat1</t>
  </si>
  <si>
    <t>INKBC6</t>
  </si>
  <si>
    <t>inkbc6</t>
  </si>
  <si>
    <t>INKBT1</t>
  </si>
  <si>
    <t>inkbt1</t>
  </si>
  <si>
    <t>INKCG6</t>
  </si>
  <si>
    <t>inkcg6</t>
  </si>
  <si>
    <t>INKDD6</t>
  </si>
  <si>
    <t>inkdd6</t>
  </si>
  <si>
    <t>INKDI1</t>
  </si>
  <si>
    <t>inkdi1</t>
  </si>
  <si>
    <t>INKDL6</t>
  </si>
  <si>
    <t>inkdl6</t>
  </si>
  <si>
    <t>INKDN1</t>
  </si>
  <si>
    <t>inkdn1</t>
  </si>
  <si>
    <t>INKDP1</t>
  </si>
  <si>
    <t>inkdp1</t>
  </si>
  <si>
    <t>INKELB</t>
  </si>
  <si>
    <t>inkelb</t>
  </si>
  <si>
    <t>INKGG6</t>
  </si>
  <si>
    <t>inkgg6</t>
  </si>
  <si>
    <t>INKGJ1</t>
  </si>
  <si>
    <t>inkgj1</t>
  </si>
  <si>
    <t>INKHD6</t>
  </si>
  <si>
    <t>inkhd6</t>
  </si>
  <si>
    <t>INKIW1</t>
  </si>
  <si>
    <t>inkiw1</t>
  </si>
  <si>
    <t>INKJA6</t>
  </si>
  <si>
    <t>inkja6</t>
  </si>
  <si>
    <t>INKJB6</t>
  </si>
  <si>
    <t>inkjb6</t>
  </si>
  <si>
    <t>INKJD6</t>
  </si>
  <si>
    <t>inkjd6</t>
  </si>
  <si>
    <t>INKJG6</t>
  </si>
  <si>
    <t>inkjg6</t>
  </si>
  <si>
    <t>INKJH6</t>
  </si>
  <si>
    <t>inkjh6</t>
  </si>
  <si>
    <t>INKJIB</t>
  </si>
  <si>
    <t>inkjib</t>
  </si>
  <si>
    <t>INKJM6</t>
  </si>
  <si>
    <t>inkjm6</t>
  </si>
  <si>
    <t>INKJR6</t>
  </si>
  <si>
    <t>inkjr6</t>
  </si>
  <si>
    <t>INKKR1</t>
  </si>
  <si>
    <t>inkkr1</t>
  </si>
  <si>
    <t>INKKU6</t>
  </si>
  <si>
    <t>inkku6</t>
  </si>
  <si>
    <t>INKLB6</t>
  </si>
  <si>
    <t>inklb6</t>
  </si>
  <si>
    <t>INKLC6</t>
  </si>
  <si>
    <t>inklc6</t>
  </si>
  <si>
    <t>INKLG6</t>
  </si>
  <si>
    <t>inklg6</t>
  </si>
  <si>
    <t>INKLH4</t>
  </si>
  <si>
    <t>inklh4</t>
  </si>
  <si>
    <t>INKLI6</t>
  </si>
  <si>
    <t>inkli6</t>
  </si>
  <si>
    <t>INKLK6</t>
  </si>
  <si>
    <t>inklk6</t>
  </si>
  <si>
    <t>INKLM6</t>
  </si>
  <si>
    <t>inklm6</t>
  </si>
  <si>
    <t>INKLN6</t>
  </si>
  <si>
    <t>inkln6</t>
  </si>
  <si>
    <t>INKLS6</t>
  </si>
  <si>
    <t>inkls6</t>
  </si>
  <si>
    <t>INKLY1</t>
  </si>
  <si>
    <t>inkly1</t>
  </si>
  <si>
    <t>INKMAB</t>
  </si>
  <si>
    <t>inkmab</t>
  </si>
  <si>
    <t>INKMB1</t>
  </si>
  <si>
    <t>inkmb1</t>
  </si>
  <si>
    <t>INKMI6</t>
  </si>
  <si>
    <t>inkmi6</t>
  </si>
  <si>
    <t>INKML6</t>
  </si>
  <si>
    <t>inkml6</t>
  </si>
  <si>
    <t>INKND1</t>
  </si>
  <si>
    <t>inknd1</t>
  </si>
  <si>
    <t>INKNK6</t>
  </si>
  <si>
    <t>inknk6</t>
  </si>
  <si>
    <t>INKNLB</t>
  </si>
  <si>
    <t>inknlb</t>
  </si>
  <si>
    <t>INKNU4</t>
  </si>
  <si>
    <t>inknu4</t>
  </si>
  <si>
    <t>INKNU5</t>
  </si>
  <si>
    <t>inknu5</t>
  </si>
  <si>
    <t>INKNU6</t>
  </si>
  <si>
    <t>inknu6</t>
  </si>
  <si>
    <t>INKOC5</t>
  </si>
  <si>
    <t>inkoc5</t>
  </si>
  <si>
    <t>INKOD1</t>
  </si>
  <si>
    <t>inkod1</t>
  </si>
  <si>
    <t>INKOI1</t>
  </si>
  <si>
    <t>inkoi1</t>
  </si>
  <si>
    <t>INKOK1</t>
  </si>
  <si>
    <t>inkok1</t>
  </si>
  <si>
    <t>INKON1</t>
  </si>
  <si>
    <t>inkon1</t>
  </si>
  <si>
    <t>INKPK6</t>
  </si>
  <si>
    <t>inkpk6</t>
  </si>
  <si>
    <t>INKRI1</t>
  </si>
  <si>
    <t>inkri1</t>
  </si>
  <si>
    <t>INKRK1</t>
  </si>
  <si>
    <t>inkrk1</t>
  </si>
  <si>
    <t>INKRM6</t>
  </si>
  <si>
    <t>inkrm6</t>
  </si>
  <si>
    <t>INKRN1</t>
  </si>
  <si>
    <t>inkrn1</t>
  </si>
  <si>
    <t>INKRP1</t>
  </si>
  <si>
    <t>inkrp1</t>
  </si>
  <si>
    <t>INKRW1</t>
  </si>
  <si>
    <t>inkrw1</t>
  </si>
  <si>
    <t>INKSG1</t>
  </si>
  <si>
    <t>inksg1</t>
  </si>
  <si>
    <t>INKSH1</t>
  </si>
  <si>
    <t>inksh1</t>
  </si>
  <si>
    <t>INKSP1</t>
  </si>
  <si>
    <t>inksp1</t>
  </si>
  <si>
    <t>INKTD1</t>
  </si>
  <si>
    <t>inktd1</t>
  </si>
  <si>
    <t>INKTGB</t>
  </si>
  <si>
    <t>inktgb</t>
  </si>
  <si>
    <t>INKTI1</t>
  </si>
  <si>
    <t>inkti1</t>
  </si>
  <si>
    <t>INKTRB</t>
  </si>
  <si>
    <t>inktrb</t>
  </si>
  <si>
    <t>INKTT6</t>
  </si>
  <si>
    <t>inktt6</t>
  </si>
  <si>
    <t>INKTU4</t>
  </si>
  <si>
    <t>inktu4</t>
  </si>
  <si>
    <t>INKTU6</t>
  </si>
  <si>
    <t>inktu6</t>
  </si>
  <si>
    <t>INKTW1</t>
  </si>
  <si>
    <t>inktw1</t>
  </si>
  <si>
    <t>INKTY6</t>
  </si>
  <si>
    <t>inkty6</t>
  </si>
  <si>
    <t>INKUK1</t>
  </si>
  <si>
    <t>inkuk1</t>
  </si>
  <si>
    <t>INKUK6</t>
  </si>
  <si>
    <t>inkuk6</t>
  </si>
  <si>
    <t>INKUR6</t>
  </si>
  <si>
    <t>inkur6</t>
  </si>
  <si>
    <t>INKUU4</t>
  </si>
  <si>
    <t>inkuu4</t>
  </si>
  <si>
    <t>INKVI1</t>
  </si>
  <si>
    <t>inkvi1</t>
  </si>
  <si>
    <t>INKVL1</t>
  </si>
  <si>
    <t>inkvl1</t>
  </si>
  <si>
    <t>INKVR6</t>
  </si>
  <si>
    <t>inkvr6</t>
  </si>
  <si>
    <t>INKVT1</t>
  </si>
  <si>
    <t>inkvt1</t>
  </si>
  <si>
    <t>INKWAB</t>
  </si>
  <si>
    <t>inkwab</t>
  </si>
  <si>
    <t>INKWGB</t>
  </si>
  <si>
    <t>inkwgb</t>
  </si>
  <si>
    <t>INKWHB</t>
  </si>
  <si>
    <t>inkwhb</t>
  </si>
  <si>
    <t>INKXJ2</t>
  </si>
  <si>
    <t>inkxj2</t>
  </si>
  <si>
    <t>INKYM6</t>
  </si>
  <si>
    <t>inkym6</t>
  </si>
  <si>
    <t>INKZE6</t>
  </si>
  <si>
    <t>inkze6</t>
  </si>
  <si>
    <t>INKZP6</t>
  </si>
  <si>
    <t>inkzp6</t>
  </si>
  <si>
    <t>INKZT6</t>
  </si>
  <si>
    <t>inkzt6</t>
  </si>
  <si>
    <t>INLCH6</t>
  </si>
  <si>
    <t>inlch6</t>
  </si>
  <si>
    <t>INLDA4</t>
  </si>
  <si>
    <t>inlda4</t>
  </si>
  <si>
    <t>INLDH6</t>
  </si>
  <si>
    <t>inldh6</t>
  </si>
  <si>
    <t>INLGLB</t>
  </si>
  <si>
    <t>inlglb</t>
  </si>
  <si>
    <t>INLKO4</t>
  </si>
  <si>
    <t>inlko4</t>
  </si>
  <si>
    <t>INLKQB</t>
  </si>
  <si>
    <t>inlkqb</t>
  </si>
  <si>
    <t>INLON6</t>
  </si>
  <si>
    <t>inlon6</t>
  </si>
  <si>
    <t>INLPB6</t>
  </si>
  <si>
    <t>inlpb6</t>
  </si>
  <si>
    <t>INLPC6</t>
  </si>
  <si>
    <t>inlpc6</t>
  </si>
  <si>
    <t>INLPD6</t>
  </si>
  <si>
    <t>inlpd6</t>
  </si>
  <si>
    <t>INLPG6</t>
  </si>
  <si>
    <t>inlpg6</t>
  </si>
  <si>
    <t>INLPI6</t>
  </si>
  <si>
    <t>inlpi6</t>
  </si>
  <si>
    <t>INLPJ6</t>
  </si>
  <si>
    <t>inlpj6</t>
  </si>
  <si>
    <t>INLPM6</t>
  </si>
  <si>
    <t>inlpm6</t>
  </si>
  <si>
    <t>INLPR1</t>
  </si>
  <si>
    <t>inlpr1</t>
  </si>
  <si>
    <t>INLPS6</t>
  </si>
  <si>
    <t>inlps6</t>
  </si>
  <si>
    <t>INLPW6</t>
  </si>
  <si>
    <t>inlpw6</t>
  </si>
  <si>
    <t>INLTBB</t>
  </si>
  <si>
    <t>inltbb</t>
  </si>
  <si>
    <t>INLUD6</t>
  </si>
  <si>
    <t>inlud6</t>
  </si>
  <si>
    <t>INLUH4</t>
  </si>
  <si>
    <t>inluh4</t>
  </si>
  <si>
    <t>INLUH5</t>
  </si>
  <si>
    <t>inluh5</t>
  </si>
  <si>
    <t>INLUH6</t>
  </si>
  <si>
    <t>inluh6</t>
  </si>
  <si>
    <t>INLWG6</t>
  </si>
  <si>
    <t>inlwg6</t>
  </si>
  <si>
    <t>INMAA1</t>
  </si>
  <si>
    <t>inmaa1</t>
  </si>
  <si>
    <t>INMAA4</t>
  </si>
  <si>
    <t>inmaa4</t>
  </si>
  <si>
    <t>INMAA5</t>
  </si>
  <si>
    <t>inmaa5</t>
  </si>
  <si>
    <t>INMAA6</t>
  </si>
  <si>
    <t>inmaa6</t>
  </si>
  <si>
    <t>INMAB6</t>
  </si>
  <si>
    <t>inmab6</t>
  </si>
  <si>
    <t>INMAE6</t>
  </si>
  <si>
    <t>inmae6</t>
  </si>
  <si>
    <t>INMAH1</t>
  </si>
  <si>
    <t>inmah1</t>
  </si>
  <si>
    <t>INMAI6</t>
  </si>
  <si>
    <t>inmai6</t>
  </si>
  <si>
    <t>INMAL1</t>
  </si>
  <si>
    <t>inmal1</t>
  </si>
  <si>
    <t>INMAP1</t>
  </si>
  <si>
    <t>inmap1</t>
  </si>
  <si>
    <t>INMAQ6</t>
  </si>
  <si>
    <t>inmaq6</t>
  </si>
  <si>
    <t>INMAS6</t>
  </si>
  <si>
    <t>inmas6</t>
  </si>
  <si>
    <t>INMBC6</t>
  </si>
  <si>
    <t>inmbc6</t>
  </si>
  <si>
    <t>INMBD6</t>
  </si>
  <si>
    <t>inmbd6</t>
  </si>
  <si>
    <t>INMBS6</t>
  </si>
  <si>
    <t>inmbs6</t>
  </si>
  <si>
    <t>INMCI1</t>
  </si>
  <si>
    <t>inmci1</t>
  </si>
  <si>
    <t>INMDA1</t>
  </si>
  <si>
    <t>inmda1</t>
  </si>
  <si>
    <t>INMDD6</t>
  </si>
  <si>
    <t>inmdd6</t>
  </si>
  <si>
    <t>INMDE6</t>
  </si>
  <si>
    <t>inmde6</t>
  </si>
  <si>
    <t>INMDG6</t>
  </si>
  <si>
    <t>inmdg6</t>
  </si>
  <si>
    <t>INMDK1</t>
  </si>
  <si>
    <t>inmdk1</t>
  </si>
  <si>
    <t>INMDP1</t>
  </si>
  <si>
    <t>inmdp1</t>
  </si>
  <si>
    <t>INMDU6</t>
  </si>
  <si>
    <t>inmdu6</t>
  </si>
  <si>
    <t>INMDV1</t>
  </si>
  <si>
    <t>inmdv1</t>
  </si>
  <si>
    <t>INMDW1</t>
  </si>
  <si>
    <t>inmdw1</t>
  </si>
  <si>
    <t>INMEA6</t>
  </si>
  <si>
    <t>inmea6</t>
  </si>
  <si>
    <t>INMEC6</t>
  </si>
  <si>
    <t>inmec6</t>
  </si>
  <si>
    <t>INMGHB</t>
  </si>
  <si>
    <t>inmghb</t>
  </si>
  <si>
    <t>INMGR1</t>
  </si>
  <si>
    <t>inmgr1</t>
  </si>
  <si>
    <t>INMHA1</t>
  </si>
  <si>
    <t>inmha1</t>
  </si>
  <si>
    <t>INMHDB</t>
  </si>
  <si>
    <t>inmhdb</t>
  </si>
  <si>
    <t>INMHE1</t>
  </si>
  <si>
    <t>inmhe1</t>
  </si>
  <si>
    <t>INMHGB</t>
  </si>
  <si>
    <t>inmhgb</t>
  </si>
  <si>
    <t>INMHN2</t>
  </si>
  <si>
    <t>inmhn2</t>
  </si>
  <si>
    <t>INMKCB</t>
  </si>
  <si>
    <t>inmkcb</t>
  </si>
  <si>
    <t>INMKD6</t>
  </si>
  <si>
    <t>inmkd6</t>
  </si>
  <si>
    <t>INMLI1</t>
  </si>
  <si>
    <t>inmli1</t>
  </si>
  <si>
    <t>INMLP1</t>
  </si>
  <si>
    <t>inmlp1</t>
  </si>
  <si>
    <t>INMLW1</t>
  </si>
  <si>
    <t>inmlw1</t>
  </si>
  <si>
    <t>INMNB2</t>
  </si>
  <si>
    <t>inmnb2</t>
  </si>
  <si>
    <t>INMNR1</t>
  </si>
  <si>
    <t>inmnr1</t>
  </si>
  <si>
    <t>INMNUB</t>
  </si>
  <si>
    <t>inmnub</t>
  </si>
  <si>
    <t>INMNW1</t>
  </si>
  <si>
    <t>inmnw1</t>
  </si>
  <si>
    <t>INMOH4</t>
  </si>
  <si>
    <t>inmoh4</t>
  </si>
  <si>
    <t>INMOR2</t>
  </si>
  <si>
    <t>inmor2</t>
  </si>
  <si>
    <t>INMPC1</t>
  </si>
  <si>
    <t>inmpc1</t>
  </si>
  <si>
    <t>INMPR6</t>
  </si>
  <si>
    <t>inmpr6</t>
  </si>
  <si>
    <t>INMQK6</t>
  </si>
  <si>
    <t>inmqk6</t>
  </si>
  <si>
    <t>INMRA1</t>
  </si>
  <si>
    <t>inmra1</t>
  </si>
  <si>
    <t>INMRD1</t>
  </si>
  <si>
    <t>inmrd1</t>
  </si>
  <si>
    <t>INMREB</t>
  </si>
  <si>
    <t>inmreb</t>
  </si>
  <si>
    <t>INMRG4</t>
  </si>
  <si>
    <t>inmrg4</t>
  </si>
  <si>
    <t>INMRJ6</t>
  </si>
  <si>
    <t>inmrj6</t>
  </si>
  <si>
    <t>INMRM1</t>
  </si>
  <si>
    <t>inmrm1</t>
  </si>
  <si>
    <t>INMSR6</t>
  </si>
  <si>
    <t>inmsr6</t>
  </si>
  <si>
    <t>INMTW1</t>
  </si>
  <si>
    <t>inmtw1</t>
  </si>
  <si>
    <t>INMUC6</t>
  </si>
  <si>
    <t>inmuc6</t>
  </si>
  <si>
    <t>INMUL6</t>
  </si>
  <si>
    <t>inmul6</t>
  </si>
  <si>
    <t>INMUN1</t>
  </si>
  <si>
    <t>inmun1</t>
  </si>
  <si>
    <t>INMUR1</t>
  </si>
  <si>
    <t>inmur1</t>
  </si>
  <si>
    <t>INMUZ6</t>
  </si>
  <si>
    <t>inmuz6</t>
  </si>
  <si>
    <t>INMWA6</t>
  </si>
  <si>
    <t>inmwa6</t>
  </si>
  <si>
    <t>INMYB1</t>
  </si>
  <si>
    <t>inmyb1</t>
  </si>
  <si>
    <t>INMYL6</t>
  </si>
  <si>
    <t>inmyl6</t>
  </si>
  <si>
    <t>INMYO6</t>
  </si>
  <si>
    <t>inmyo6</t>
  </si>
  <si>
    <t>INMYQ4</t>
  </si>
  <si>
    <t>inmyq4</t>
  </si>
  <si>
    <t>INMZA4</t>
  </si>
  <si>
    <t>inmza4</t>
  </si>
  <si>
    <t>INMZU4</t>
  </si>
  <si>
    <t>inmzu4</t>
  </si>
  <si>
    <t>INNAG4</t>
  </si>
  <si>
    <t>innag4</t>
  </si>
  <si>
    <t>INNAG6</t>
  </si>
  <si>
    <t>innag6</t>
  </si>
  <si>
    <t>INNAN1</t>
  </si>
  <si>
    <t>innan1</t>
  </si>
  <si>
    <t>INNAV1</t>
  </si>
  <si>
    <t>innav1</t>
  </si>
  <si>
    <t>INNDA6</t>
  </si>
  <si>
    <t>innda6</t>
  </si>
  <si>
    <t>INNDC4</t>
  </si>
  <si>
    <t>inndc4</t>
  </si>
  <si>
    <t>INNDG1</t>
  </si>
  <si>
    <t>inndg1</t>
  </si>
  <si>
    <t>INNDP1</t>
  </si>
  <si>
    <t>inndp1</t>
  </si>
  <si>
    <t>INNEE1</t>
  </si>
  <si>
    <t>innee1</t>
  </si>
  <si>
    <t>INNEL1</t>
  </si>
  <si>
    <t>innel1</t>
  </si>
  <si>
    <t>INNGB6</t>
  </si>
  <si>
    <t>inngb6</t>
  </si>
  <si>
    <t>INNGKB</t>
  </si>
  <si>
    <t>inngkb</t>
  </si>
  <si>
    <t>INNGO6</t>
  </si>
  <si>
    <t>inngo6</t>
  </si>
  <si>
    <t>INNGP6</t>
  </si>
  <si>
    <t>inngp6</t>
  </si>
  <si>
    <t>INNGRB</t>
  </si>
  <si>
    <t>inngrb</t>
  </si>
  <si>
    <t>INNGSB</t>
  </si>
  <si>
    <t>inngsb</t>
  </si>
  <si>
    <t>INNKI6</t>
  </si>
  <si>
    <t>innki6</t>
  </si>
  <si>
    <t>INNKNB</t>
  </si>
  <si>
    <t>innknb</t>
  </si>
  <si>
    <t>INNML1</t>
  </si>
  <si>
    <t>innml1</t>
  </si>
  <si>
    <t>INNMTB</t>
  </si>
  <si>
    <t>innmtb</t>
  </si>
  <si>
    <t>INNNN6</t>
  </si>
  <si>
    <t>innnn6</t>
  </si>
  <si>
    <t>INNPGB</t>
  </si>
  <si>
    <t>innpgb</t>
  </si>
  <si>
    <t>INNPT1</t>
  </si>
  <si>
    <t>innpt1</t>
  </si>
  <si>
    <t>INNRP6</t>
  </si>
  <si>
    <t>innrp6</t>
  </si>
  <si>
    <t>INNSA1</t>
  </si>
  <si>
    <t>innsa1</t>
  </si>
  <si>
    <t>INNSK6</t>
  </si>
  <si>
    <t>innsk6</t>
  </si>
  <si>
    <t>INNTLB</t>
  </si>
  <si>
    <t>inntlb</t>
  </si>
  <si>
    <t>INNTVB</t>
  </si>
  <si>
    <t>inntvb</t>
  </si>
  <si>
    <t>INNUR6</t>
  </si>
  <si>
    <t>innur6</t>
  </si>
  <si>
    <t>INNVB1</t>
  </si>
  <si>
    <t>innvb1</t>
  </si>
  <si>
    <t>INNVP1</t>
  </si>
  <si>
    <t>innvp1</t>
  </si>
  <si>
    <t>INNVT1</t>
  </si>
  <si>
    <t>innvt1</t>
  </si>
  <si>
    <t>INNVY4</t>
  </si>
  <si>
    <t>innvy4</t>
  </si>
  <si>
    <t>INNWP1</t>
  </si>
  <si>
    <t>innwp1</t>
  </si>
  <si>
    <t>INNYP6</t>
  </si>
  <si>
    <t>innyp6</t>
  </si>
  <si>
    <t>INOKH1</t>
  </si>
  <si>
    <t>inokh1</t>
  </si>
  <si>
    <t>INOMN4</t>
  </si>
  <si>
    <t>inomn4</t>
  </si>
  <si>
    <t>INOMU1</t>
  </si>
  <si>
    <t>inomu1</t>
  </si>
  <si>
    <t>INONJ1</t>
  </si>
  <si>
    <t>inonj1</t>
  </si>
  <si>
    <t>INPAB4</t>
  </si>
  <si>
    <t>inpab4</t>
  </si>
  <si>
    <t>INPAK6</t>
  </si>
  <si>
    <t>inpak6</t>
  </si>
  <si>
    <t>INPAN1</t>
  </si>
  <si>
    <t>inpan1</t>
  </si>
  <si>
    <t>INPAO6</t>
  </si>
  <si>
    <t>inpao6</t>
  </si>
  <si>
    <t>INPAP2</t>
  </si>
  <si>
    <t>inpap2</t>
  </si>
  <si>
    <t>INPAT4</t>
  </si>
  <si>
    <t>inpat4</t>
  </si>
  <si>
    <t>INPAV1</t>
  </si>
  <si>
    <t>inpav1</t>
  </si>
  <si>
    <t>INPAV2</t>
  </si>
  <si>
    <t>inpav2</t>
  </si>
  <si>
    <t>INPBD1</t>
  </si>
  <si>
    <t>inpbd1</t>
  </si>
  <si>
    <t>INPBD4</t>
  </si>
  <si>
    <t>inpbd4</t>
  </si>
  <si>
    <t>INPBLB</t>
  </si>
  <si>
    <t>inpblb</t>
  </si>
  <si>
    <t>INPDD1</t>
  </si>
  <si>
    <t>inpdd1</t>
  </si>
  <si>
    <t>INPEK6</t>
  </si>
  <si>
    <t>inpek6</t>
  </si>
  <si>
    <t>INPGH4</t>
  </si>
  <si>
    <t>inpgh4</t>
  </si>
  <si>
    <t>INPHBB</t>
  </si>
  <si>
    <t>inphbb</t>
  </si>
  <si>
    <t>INPID1</t>
  </si>
  <si>
    <t>inpid1</t>
  </si>
  <si>
    <t>INPIN1</t>
  </si>
  <si>
    <t>inpin1</t>
  </si>
  <si>
    <t>INPIT6</t>
  </si>
  <si>
    <t>inpit6</t>
  </si>
  <si>
    <t>INPKD6</t>
  </si>
  <si>
    <t>inpkd6</t>
  </si>
  <si>
    <t>INPKR6</t>
  </si>
  <si>
    <t>inpkr6</t>
  </si>
  <si>
    <t>INPMB1</t>
  </si>
  <si>
    <t>inpmb1</t>
  </si>
  <si>
    <t>INPMP6</t>
  </si>
  <si>
    <t>inpmp6</t>
  </si>
  <si>
    <t>INPMT6</t>
  </si>
  <si>
    <t>inpmt6</t>
  </si>
  <si>
    <t>INPNB6</t>
  </si>
  <si>
    <t>inpnb6</t>
  </si>
  <si>
    <t>INPNE6</t>
  </si>
  <si>
    <t>inpne6</t>
  </si>
  <si>
    <t>INPNF5</t>
  </si>
  <si>
    <t>inpnf5</t>
  </si>
  <si>
    <t>INPNI6</t>
  </si>
  <si>
    <t>inpni6</t>
  </si>
  <si>
    <t>INPNJ1</t>
  </si>
  <si>
    <t>inpnj1</t>
  </si>
  <si>
    <t>INPNK6</t>
  </si>
  <si>
    <t>inpnk6</t>
  </si>
  <si>
    <t>INPNL6</t>
  </si>
  <si>
    <t>inpnl6</t>
  </si>
  <si>
    <t>INPNM1</t>
  </si>
  <si>
    <t>inpnm1</t>
  </si>
  <si>
    <t>INPNN1</t>
  </si>
  <si>
    <t>inpnn1</t>
  </si>
  <si>
    <t>INPNP6</t>
  </si>
  <si>
    <t>inpnp6</t>
  </si>
  <si>
    <t>INPNQ2</t>
  </si>
  <si>
    <t>inpnq2</t>
  </si>
  <si>
    <t>INPNQ4</t>
  </si>
  <si>
    <t>inpnq4</t>
  </si>
  <si>
    <t>INPNQ6</t>
  </si>
  <si>
    <t>inpnq6</t>
  </si>
  <si>
    <t>INPNTB</t>
  </si>
  <si>
    <t>inpntb</t>
  </si>
  <si>
    <t>INPNU6</t>
  </si>
  <si>
    <t>inpnu6</t>
  </si>
  <si>
    <t>INPNV6</t>
  </si>
  <si>
    <t>inpnv6</t>
  </si>
  <si>
    <t>INPNY1</t>
  </si>
  <si>
    <t>inpny1</t>
  </si>
  <si>
    <t>INPNY4</t>
  </si>
  <si>
    <t>inpny4</t>
  </si>
  <si>
    <t>INPNY6</t>
  </si>
  <si>
    <t>inpny6</t>
  </si>
  <si>
    <t>INPPG6</t>
  </si>
  <si>
    <t>inppg6</t>
  </si>
  <si>
    <t>INPPJ1</t>
  </si>
  <si>
    <t>inppj1</t>
  </si>
  <si>
    <t>INPRD6</t>
  </si>
  <si>
    <t>inprd6</t>
  </si>
  <si>
    <t>INPRG1</t>
  </si>
  <si>
    <t>inprg1</t>
  </si>
  <si>
    <t>INPRK6</t>
  </si>
  <si>
    <t>inprk6</t>
  </si>
  <si>
    <t>INPRT1</t>
  </si>
  <si>
    <t>inprt1</t>
  </si>
  <si>
    <t>INPSH1</t>
  </si>
  <si>
    <t>inpsh1</t>
  </si>
  <si>
    <t>INPSI6</t>
  </si>
  <si>
    <t>inpsi6</t>
  </si>
  <si>
    <t>INPSN6</t>
  </si>
  <si>
    <t>inpsn6</t>
  </si>
  <si>
    <t>INPSP6</t>
  </si>
  <si>
    <t>inpsp6</t>
  </si>
  <si>
    <t>INPTL6</t>
  </si>
  <si>
    <t>inptl6</t>
  </si>
  <si>
    <t>INPTN1</t>
  </si>
  <si>
    <t>inptn1</t>
  </si>
  <si>
    <t>INPTPB</t>
  </si>
  <si>
    <t>inptpb</t>
  </si>
  <si>
    <t>INPUA6</t>
  </si>
  <si>
    <t>inpua6</t>
  </si>
  <si>
    <t>INPUE6</t>
  </si>
  <si>
    <t>inpue6</t>
  </si>
  <si>
    <t>INPUI6</t>
  </si>
  <si>
    <t>inpui6</t>
  </si>
  <si>
    <t>INPUL1</t>
  </si>
  <si>
    <t>inpul1</t>
  </si>
  <si>
    <t>INPUM6</t>
  </si>
  <si>
    <t>inpum6</t>
  </si>
  <si>
    <t>INPUN6</t>
  </si>
  <si>
    <t>inpun6</t>
  </si>
  <si>
    <t>INPUR1</t>
  </si>
  <si>
    <t>inpur1</t>
  </si>
  <si>
    <t>INPUT4</t>
  </si>
  <si>
    <t>input4</t>
  </si>
  <si>
    <t>INPVL6</t>
  </si>
  <si>
    <t>inpvl6</t>
  </si>
  <si>
    <t>INPVS6</t>
  </si>
  <si>
    <t>inpvs6</t>
  </si>
  <si>
    <t>INPWL6</t>
  </si>
  <si>
    <t>inpwl6</t>
  </si>
  <si>
    <t>INPYB4</t>
  </si>
  <si>
    <t>inpyb4</t>
  </si>
  <si>
    <t>INPYS6</t>
  </si>
  <si>
    <t>inpys6</t>
  </si>
  <si>
    <t>INQRH6</t>
  </si>
  <si>
    <t>inqrh6</t>
  </si>
  <si>
    <t>INQRP6</t>
  </si>
  <si>
    <t>inqrp6</t>
  </si>
  <si>
    <t>INQUI1</t>
  </si>
  <si>
    <t>inqui1</t>
  </si>
  <si>
    <t>INRAI6</t>
  </si>
  <si>
    <t>inrai6</t>
  </si>
  <si>
    <t>INRAJ4</t>
  </si>
  <si>
    <t>inraj4</t>
  </si>
  <si>
    <t>INRAJ6</t>
  </si>
  <si>
    <t>inraj6</t>
  </si>
  <si>
    <t>INRAM1</t>
  </si>
  <si>
    <t>inram1</t>
  </si>
  <si>
    <t>INRDP2</t>
  </si>
  <si>
    <t>inrdp2</t>
  </si>
  <si>
    <t>INREA6</t>
  </si>
  <si>
    <t>inrea6</t>
  </si>
  <si>
    <t>INRED1</t>
  </si>
  <si>
    <t>inred1</t>
  </si>
  <si>
    <t>INREW4</t>
  </si>
  <si>
    <t>inrew4</t>
  </si>
  <si>
    <t>INRGBB</t>
  </si>
  <si>
    <t>inrgbb</t>
  </si>
  <si>
    <t>INRGH4</t>
  </si>
  <si>
    <t>inrgh4</t>
  </si>
  <si>
    <t>INRGJ2</t>
  </si>
  <si>
    <t>inrgj2</t>
  </si>
  <si>
    <t>INRGT1</t>
  </si>
  <si>
    <t>inrgt1</t>
  </si>
  <si>
    <t>INRGUB</t>
  </si>
  <si>
    <t>inrgub</t>
  </si>
  <si>
    <t>INRJA4</t>
  </si>
  <si>
    <t>inrja4</t>
  </si>
  <si>
    <t>INRJI4</t>
  </si>
  <si>
    <t>inrji4</t>
  </si>
  <si>
    <t>INRJN6</t>
  </si>
  <si>
    <t>inrjn6</t>
  </si>
  <si>
    <t>INRJP1</t>
  </si>
  <si>
    <t>inrjp1</t>
  </si>
  <si>
    <t>INRJR1</t>
  </si>
  <si>
    <t>inrjr1</t>
  </si>
  <si>
    <t>INRKG1</t>
  </si>
  <si>
    <t>inrkg1</t>
  </si>
  <si>
    <t>INRMD4</t>
  </si>
  <si>
    <t>inrmd4</t>
  </si>
  <si>
    <t>INRML6</t>
  </si>
  <si>
    <t>inrml6</t>
  </si>
  <si>
    <t>INRNC5</t>
  </si>
  <si>
    <t>inrnc5</t>
  </si>
  <si>
    <t>INRNG2</t>
  </si>
  <si>
    <t>inrng2</t>
  </si>
  <si>
    <t>INRNR1</t>
  </si>
  <si>
    <t>inrnr1</t>
  </si>
  <si>
    <t>INRPL6</t>
  </si>
  <si>
    <t>inrpl6</t>
  </si>
  <si>
    <t>INRPR4</t>
  </si>
  <si>
    <t>inrpr4</t>
  </si>
  <si>
    <t>INRPR6</t>
  </si>
  <si>
    <t>inrpr6</t>
  </si>
  <si>
    <t>INRPU5</t>
  </si>
  <si>
    <t>inrpu5</t>
  </si>
  <si>
    <t>INRRI1</t>
  </si>
  <si>
    <t>inrri1</t>
  </si>
  <si>
    <t>INRRK4</t>
  </si>
  <si>
    <t>inrrk4</t>
  </si>
  <si>
    <t>INRTC1</t>
  </si>
  <si>
    <t>inrtc1</t>
  </si>
  <si>
    <t>INRTC4</t>
  </si>
  <si>
    <t>inrtc4</t>
  </si>
  <si>
    <t>INRTM6</t>
  </si>
  <si>
    <t>inrtm6</t>
  </si>
  <si>
    <t>INRUP4</t>
  </si>
  <si>
    <t>inrup4</t>
  </si>
  <si>
    <t>INRVD1</t>
  </si>
  <si>
    <t>inrvd1</t>
  </si>
  <si>
    <t>INRWR1</t>
  </si>
  <si>
    <t>inrwr1</t>
  </si>
  <si>
    <t>INRXLB</t>
  </si>
  <si>
    <t>inrxlb</t>
  </si>
  <si>
    <t>INSABB</t>
  </si>
  <si>
    <t>insabb</t>
  </si>
  <si>
    <t>INSAC6</t>
  </si>
  <si>
    <t>insac6</t>
  </si>
  <si>
    <t>INSAJ6</t>
  </si>
  <si>
    <t>insaj6</t>
  </si>
  <si>
    <t>INSAL1</t>
  </si>
  <si>
    <t>insal1</t>
  </si>
  <si>
    <t>INSAS6</t>
  </si>
  <si>
    <t>insas6</t>
  </si>
  <si>
    <t>INSAU6</t>
  </si>
  <si>
    <t>insau6</t>
  </si>
  <si>
    <t>INSBC6</t>
  </si>
  <si>
    <t>insbc6</t>
  </si>
  <si>
    <t>INSBH1</t>
  </si>
  <si>
    <t>insbh1</t>
  </si>
  <si>
    <t>INSBI6</t>
  </si>
  <si>
    <t>insbi6</t>
  </si>
  <si>
    <t>INSBK6</t>
  </si>
  <si>
    <t>insbk6</t>
  </si>
  <si>
    <t>INSBL6</t>
  </si>
  <si>
    <t>insbl6</t>
  </si>
  <si>
    <t>INSBW6</t>
  </si>
  <si>
    <t>insbw6</t>
  </si>
  <si>
    <t>INSBZ1</t>
  </si>
  <si>
    <t>insbz1</t>
  </si>
  <si>
    <t>INSCH6</t>
  </si>
  <si>
    <t>insch6</t>
  </si>
  <si>
    <t>INSGF6</t>
  </si>
  <si>
    <t>insgf6</t>
  </si>
  <si>
    <t>INSHI1</t>
  </si>
  <si>
    <t>inshi1</t>
  </si>
  <si>
    <t>INSHL4</t>
  </si>
  <si>
    <t>inshl4</t>
  </si>
  <si>
    <t>INSHP1</t>
  </si>
  <si>
    <t>inshp1</t>
  </si>
  <si>
    <t>INSIK1</t>
  </si>
  <si>
    <t>insik1</t>
  </si>
  <si>
    <t>INSJR6</t>
  </si>
  <si>
    <t>insjr6</t>
  </si>
  <si>
    <t>INSKD6</t>
  </si>
  <si>
    <t>inskd6</t>
  </si>
  <si>
    <t>INSKPB</t>
  </si>
  <si>
    <t>inskpb</t>
  </si>
  <si>
    <t>INSLL6</t>
  </si>
  <si>
    <t>insll6</t>
  </si>
  <si>
    <t>INSLR2</t>
  </si>
  <si>
    <t>inslr2</t>
  </si>
  <si>
    <t>INSLRB</t>
  </si>
  <si>
    <t>inslrb</t>
  </si>
  <si>
    <t>INSLT6</t>
  </si>
  <si>
    <t>inslt6</t>
  </si>
  <si>
    <t>INSLV4</t>
  </si>
  <si>
    <t>inslv4</t>
  </si>
  <si>
    <t>INSMK6</t>
  </si>
  <si>
    <t>insmk6</t>
  </si>
  <si>
    <t>INSMPB</t>
  </si>
  <si>
    <t>insmpb</t>
  </si>
  <si>
    <t>INSMR1</t>
  </si>
  <si>
    <t>insmr1</t>
  </si>
  <si>
    <t>INSNA6</t>
  </si>
  <si>
    <t>insna6</t>
  </si>
  <si>
    <t>INSNBB</t>
  </si>
  <si>
    <t>insnbb</t>
  </si>
  <si>
    <t>INSNF6</t>
  </si>
  <si>
    <t>insnf6</t>
  </si>
  <si>
    <t>INSNG2</t>
  </si>
  <si>
    <t>insng2</t>
  </si>
  <si>
    <t>INSNI6</t>
  </si>
  <si>
    <t>insni6</t>
  </si>
  <si>
    <t>INSNLB</t>
  </si>
  <si>
    <t>insnlb</t>
  </si>
  <si>
    <t>INSNN6</t>
  </si>
  <si>
    <t>insnn6</t>
  </si>
  <si>
    <t>INSNR6</t>
  </si>
  <si>
    <t>insnr6</t>
  </si>
  <si>
    <t>INSNS6</t>
  </si>
  <si>
    <t>insns6</t>
  </si>
  <si>
    <t>INSPC6</t>
  </si>
  <si>
    <t>inspc6</t>
  </si>
  <si>
    <t>INSPE6</t>
  </si>
  <si>
    <t>inspe6</t>
  </si>
  <si>
    <t>INSRE6</t>
  </si>
  <si>
    <t>insre6</t>
  </si>
  <si>
    <t>INSRK6</t>
  </si>
  <si>
    <t>insrk6</t>
  </si>
  <si>
    <t>INSRV1</t>
  </si>
  <si>
    <t>insrv1</t>
  </si>
  <si>
    <t>INSSE4</t>
  </si>
  <si>
    <t>insse4</t>
  </si>
  <si>
    <t>INSTFB</t>
  </si>
  <si>
    <t>instfb</t>
  </si>
  <si>
    <t>INSTIB</t>
  </si>
  <si>
    <t>instib</t>
  </si>
  <si>
    <t>INSTM6</t>
  </si>
  <si>
    <t>instm6</t>
  </si>
  <si>
    <t>INSTP1</t>
  </si>
  <si>
    <t>instp1</t>
  </si>
  <si>
    <t>INSTRB</t>
  </si>
  <si>
    <t>instrb</t>
  </si>
  <si>
    <t>INSTT6</t>
  </si>
  <si>
    <t>instt6</t>
  </si>
  <si>
    <t>INSTU6</t>
  </si>
  <si>
    <t>instu6</t>
  </si>
  <si>
    <t>INSTV1</t>
  </si>
  <si>
    <t>instv1</t>
  </si>
  <si>
    <t>INSTV4</t>
  </si>
  <si>
    <t>instv4</t>
  </si>
  <si>
    <t>INSTV6</t>
  </si>
  <si>
    <t>instv6</t>
  </si>
  <si>
    <t>INSWD1</t>
  </si>
  <si>
    <t>inswd1</t>
  </si>
  <si>
    <t>INSXE6</t>
  </si>
  <si>
    <t>insxe6</t>
  </si>
  <si>
    <t>INSXR4</t>
  </si>
  <si>
    <t>insxr4</t>
  </si>
  <si>
    <t>INSXR5</t>
  </si>
  <si>
    <t>insxr5</t>
  </si>
  <si>
    <t>INSXV4</t>
  </si>
  <si>
    <t>insxv4</t>
  </si>
  <si>
    <t>INSXV6</t>
  </si>
  <si>
    <t>insxv6</t>
  </si>
  <si>
    <t>INTAD1</t>
  </si>
  <si>
    <t>intad1</t>
  </si>
  <si>
    <t>INTAS6</t>
  </si>
  <si>
    <t>intas6</t>
  </si>
  <si>
    <t>INTBC6</t>
  </si>
  <si>
    <t>intbc6</t>
  </si>
  <si>
    <t>INTBM6</t>
  </si>
  <si>
    <t>intbm6</t>
  </si>
  <si>
    <t>INTBP6</t>
  </si>
  <si>
    <t>intbp6</t>
  </si>
  <si>
    <t>INTBS6</t>
  </si>
  <si>
    <t>intbs6</t>
  </si>
  <si>
    <t>INTBT6</t>
  </si>
  <si>
    <t>intbt6</t>
  </si>
  <si>
    <t>INTCR6</t>
  </si>
  <si>
    <t>intcr6</t>
  </si>
  <si>
    <t>INTDE6</t>
  </si>
  <si>
    <t>intde6</t>
  </si>
  <si>
    <t>INTEI4</t>
  </si>
  <si>
    <t>intei4</t>
  </si>
  <si>
    <t>INTEL1</t>
  </si>
  <si>
    <t>intel1</t>
  </si>
  <si>
    <t>INTEN6</t>
  </si>
  <si>
    <t>inten6</t>
  </si>
  <si>
    <t>INTEZ4</t>
  </si>
  <si>
    <t>intez4</t>
  </si>
  <si>
    <t>INTGN6</t>
  </si>
  <si>
    <t>intgn6</t>
  </si>
  <si>
    <t>INTHA6</t>
  </si>
  <si>
    <t>intha6</t>
  </si>
  <si>
    <t>INTHL1</t>
  </si>
  <si>
    <t>inthl1</t>
  </si>
  <si>
    <t>INTHO6</t>
  </si>
  <si>
    <t>intho6</t>
  </si>
  <si>
    <t>INTIR4</t>
  </si>
  <si>
    <t>intir4</t>
  </si>
  <si>
    <t>INTIV1</t>
  </si>
  <si>
    <t>intiv1</t>
  </si>
  <si>
    <t>INTJA1</t>
  </si>
  <si>
    <t>intja1</t>
  </si>
  <si>
    <t>INTJPB</t>
  </si>
  <si>
    <t>intjpb</t>
  </si>
  <si>
    <t>INTJV4</t>
  </si>
  <si>
    <t>intjv4</t>
  </si>
  <si>
    <t>INTKD2</t>
  </si>
  <si>
    <t>intkd2</t>
  </si>
  <si>
    <t>INTKD6</t>
  </si>
  <si>
    <t>intkd6</t>
  </si>
  <si>
    <t>INTKNB</t>
  </si>
  <si>
    <t>intknb</t>
  </si>
  <si>
    <t>INTLG6</t>
  </si>
  <si>
    <t>intlg6</t>
  </si>
  <si>
    <t>INTLT6</t>
  </si>
  <si>
    <t>intlt6</t>
  </si>
  <si>
    <t>INTMI6</t>
  </si>
  <si>
    <t>intmi6</t>
  </si>
  <si>
    <t>INTMP1</t>
  </si>
  <si>
    <t>intmp1</t>
  </si>
  <si>
    <t>INTMX6</t>
  </si>
  <si>
    <t>intmx6</t>
  </si>
  <si>
    <t>INTNA1</t>
  </si>
  <si>
    <t>intna1</t>
  </si>
  <si>
    <t>INTNC6</t>
  </si>
  <si>
    <t>intnc6</t>
  </si>
  <si>
    <t>INTND1</t>
  </si>
  <si>
    <t>intnd1</t>
  </si>
  <si>
    <t>INTNGB</t>
  </si>
  <si>
    <t>intngb</t>
  </si>
  <si>
    <t>INTNI6</t>
  </si>
  <si>
    <t>intni6</t>
  </si>
  <si>
    <t>INTNK1</t>
  </si>
  <si>
    <t>intnk1</t>
  </si>
  <si>
    <t>INTNS6</t>
  </si>
  <si>
    <t>intns6</t>
  </si>
  <si>
    <t>INTPH1</t>
  </si>
  <si>
    <t>intph1</t>
  </si>
  <si>
    <t>INTPJ6</t>
  </si>
  <si>
    <t>intpj6</t>
  </si>
  <si>
    <t>INTPN1</t>
  </si>
  <si>
    <t>intpn1</t>
  </si>
  <si>
    <t>INTRA1</t>
  </si>
  <si>
    <t>intra1</t>
  </si>
  <si>
    <t>INTRL6</t>
  </si>
  <si>
    <t>intrl6</t>
  </si>
  <si>
    <t>INTRP1</t>
  </si>
  <si>
    <t>intrp1</t>
  </si>
  <si>
    <t>INTRV4</t>
  </si>
  <si>
    <t>intrv4</t>
  </si>
  <si>
    <t>INTRZ4</t>
  </si>
  <si>
    <t>intrz4</t>
  </si>
  <si>
    <t>INTSI6</t>
  </si>
  <si>
    <t>intsi6</t>
  </si>
  <si>
    <t>INTTP6</t>
  </si>
  <si>
    <t>inttp6</t>
  </si>
  <si>
    <t>INTTS1</t>
  </si>
  <si>
    <t>intts1</t>
  </si>
  <si>
    <t>INTUI6</t>
  </si>
  <si>
    <t>intui6</t>
  </si>
  <si>
    <t>INTUN1</t>
  </si>
  <si>
    <t>intun1</t>
  </si>
  <si>
    <t>INTUP6</t>
  </si>
  <si>
    <t>intup6</t>
  </si>
  <si>
    <t>INTUT1</t>
  </si>
  <si>
    <t>intut1</t>
  </si>
  <si>
    <t>INTUT6</t>
  </si>
  <si>
    <t>intut6</t>
  </si>
  <si>
    <t>INTVC6</t>
  </si>
  <si>
    <t>intvc6</t>
  </si>
  <si>
    <t>INTVT6</t>
  </si>
  <si>
    <t>intvt6</t>
  </si>
  <si>
    <t>INTYR1</t>
  </si>
  <si>
    <t>intyr1</t>
  </si>
  <si>
    <t>INUDI6</t>
  </si>
  <si>
    <t>inudi6</t>
  </si>
  <si>
    <t>INUDN6</t>
  </si>
  <si>
    <t>inudn6</t>
  </si>
  <si>
    <t>INUDR4</t>
  </si>
  <si>
    <t>inudr4</t>
  </si>
  <si>
    <t>INUDR6</t>
  </si>
  <si>
    <t>inudr6</t>
  </si>
  <si>
    <t>INUDZ6</t>
  </si>
  <si>
    <t>inudz6</t>
  </si>
  <si>
    <t>INUKL6</t>
  </si>
  <si>
    <t>inukl6</t>
  </si>
  <si>
    <t>INULPB</t>
  </si>
  <si>
    <t>inulpb</t>
  </si>
  <si>
    <t>INULW1</t>
  </si>
  <si>
    <t>inulw1</t>
  </si>
  <si>
    <t>INUMB1</t>
  </si>
  <si>
    <t>inumb1</t>
  </si>
  <si>
    <t>INUMR1</t>
  </si>
  <si>
    <t>inumr1</t>
  </si>
  <si>
    <t>INURF6</t>
  </si>
  <si>
    <t>inurf6</t>
  </si>
  <si>
    <t>INURG6</t>
  </si>
  <si>
    <t>inurg6</t>
  </si>
  <si>
    <t>INURI6</t>
  </si>
  <si>
    <t>inuri6</t>
  </si>
  <si>
    <t>INURT6</t>
  </si>
  <si>
    <t>inurt6</t>
  </si>
  <si>
    <t>INUTN1</t>
  </si>
  <si>
    <t>inutn1</t>
  </si>
  <si>
    <t>INVAD1</t>
  </si>
  <si>
    <t>invad1</t>
  </si>
  <si>
    <t>INVAL6</t>
  </si>
  <si>
    <t>inval6</t>
  </si>
  <si>
    <t>INVAP1</t>
  </si>
  <si>
    <t>invap1</t>
  </si>
  <si>
    <t>INVEN1</t>
  </si>
  <si>
    <t>inven1</t>
  </si>
  <si>
    <t>INVEP1</t>
  </si>
  <si>
    <t>invep1</t>
  </si>
  <si>
    <t>INVGA4</t>
  </si>
  <si>
    <t>invga4</t>
  </si>
  <si>
    <t>INVGA5</t>
  </si>
  <si>
    <t>invga5</t>
  </si>
  <si>
    <t>INVGR6</t>
  </si>
  <si>
    <t>invgr6</t>
  </si>
  <si>
    <t>INVKH6</t>
  </si>
  <si>
    <t>invkh6</t>
  </si>
  <si>
    <t>INVKM1</t>
  </si>
  <si>
    <t>invkm1</t>
  </si>
  <si>
    <t>INVLD6</t>
  </si>
  <si>
    <t>invld6</t>
  </si>
  <si>
    <t>INVLN6</t>
  </si>
  <si>
    <t>invln6</t>
  </si>
  <si>
    <t>INVLR6</t>
  </si>
  <si>
    <t>invlr6</t>
  </si>
  <si>
    <t>INVNG1</t>
  </si>
  <si>
    <t>invng1</t>
  </si>
  <si>
    <t>INVNS4</t>
  </si>
  <si>
    <t>invns4</t>
  </si>
  <si>
    <t>INVNS5</t>
  </si>
  <si>
    <t>invns5</t>
  </si>
  <si>
    <t>INVNS6</t>
  </si>
  <si>
    <t>invns6</t>
  </si>
  <si>
    <t>INVPI6</t>
  </si>
  <si>
    <t>invpi6</t>
  </si>
  <si>
    <t>INVRD1</t>
  </si>
  <si>
    <t>invrd1</t>
  </si>
  <si>
    <t>INVRU1</t>
  </si>
  <si>
    <t>invru1</t>
  </si>
  <si>
    <t>INVSA6</t>
  </si>
  <si>
    <t>invsa6</t>
  </si>
  <si>
    <t>INVSI1</t>
  </si>
  <si>
    <t>invsi1</t>
  </si>
  <si>
    <t>INVSK6</t>
  </si>
  <si>
    <t>invsk6</t>
  </si>
  <si>
    <t>INVSP6</t>
  </si>
  <si>
    <t>invsp6</t>
  </si>
  <si>
    <t>INVSV1</t>
  </si>
  <si>
    <t>invsv1</t>
  </si>
  <si>
    <t>INVTC6</t>
  </si>
  <si>
    <t>invtc6</t>
  </si>
  <si>
    <t>INVTZ1</t>
  </si>
  <si>
    <t>invtz1</t>
  </si>
  <si>
    <t>INVTZ4</t>
  </si>
  <si>
    <t>invtz4</t>
  </si>
  <si>
    <t>INVTZ6</t>
  </si>
  <si>
    <t>invtz6</t>
  </si>
  <si>
    <t>INVVA1</t>
  </si>
  <si>
    <t>invva1</t>
  </si>
  <si>
    <t>INVYD1</t>
  </si>
  <si>
    <t>invyd1</t>
  </si>
  <si>
    <t>INVZJ1</t>
  </si>
  <si>
    <t>invzj1</t>
  </si>
  <si>
    <t>INVZM6</t>
  </si>
  <si>
    <t>invzm6</t>
  </si>
  <si>
    <t>INVZR6</t>
  </si>
  <si>
    <t>invzr6</t>
  </si>
  <si>
    <t>INWAL6</t>
  </si>
  <si>
    <t>inwal6</t>
  </si>
  <si>
    <t>INWFD6</t>
  </si>
  <si>
    <t>inwfd6</t>
  </si>
  <si>
    <t>INWFI6</t>
  </si>
  <si>
    <t>inwfi6</t>
  </si>
  <si>
    <t>INWFT6</t>
  </si>
  <si>
    <t>inwft6</t>
  </si>
  <si>
    <t>INWGC4</t>
  </si>
  <si>
    <t>inwgc4</t>
  </si>
  <si>
    <t>INWRR6</t>
  </si>
  <si>
    <t>inwrr6</t>
  </si>
  <si>
    <t>INYMA6</t>
  </si>
  <si>
    <t>inyma6</t>
  </si>
  <si>
    <t>INYNA6</t>
  </si>
  <si>
    <t>inyna6</t>
  </si>
  <si>
    <t>INYNK6</t>
  </si>
  <si>
    <t>inynk6</t>
  </si>
  <si>
    <t>INYNL6</t>
  </si>
  <si>
    <t>inynl6</t>
  </si>
  <si>
    <t>INYNM6</t>
  </si>
  <si>
    <t>inynm6</t>
  </si>
  <si>
    <t>INYNT6</t>
  </si>
  <si>
    <t>inynt6</t>
  </si>
  <si>
    <t>INZIP6</t>
  </si>
  <si>
    <t>inzip6</t>
  </si>
  <si>
    <t>BOOLEAN_TYPE</t>
  </si>
  <si>
    <t>yes</t>
  </si>
  <si>
    <t>y</t>
  </si>
  <si>
    <t>n</t>
  </si>
  <si>
    <t xml:space="preserve">CUSTOM_HEADERS </t>
  </si>
  <si>
    <t>System Header</t>
  </si>
  <si>
    <t>User Header</t>
  </si>
  <si>
    <t>Document_Type</t>
  </si>
  <si>
    <t>Document Type Code *</t>
  </si>
  <si>
    <t>Document Type</t>
  </si>
  <si>
    <t>Document Type *</t>
  </si>
  <si>
    <t>DocumentType</t>
  </si>
  <si>
    <t>DOCTYPE</t>
  </si>
  <si>
    <t>DOC type</t>
  </si>
  <si>
    <t>Document_type_code</t>
  </si>
  <si>
    <t>DocumentTypeCode</t>
  </si>
  <si>
    <t>DOC_TYPE</t>
  </si>
  <si>
    <t>Transaction Type</t>
  </si>
  <si>
    <t>DTYP</t>
  </si>
  <si>
    <t>Doc type Desc</t>
  </si>
  <si>
    <t>TRN_CODE</t>
  </si>
  <si>
    <t>InvType</t>
  </si>
  <si>
    <t>Invoice Type NIC</t>
  </si>
  <si>
    <t>Document Type Code *(Select from Drop down List)</t>
  </si>
  <si>
    <t>DOC_TYPE_CODE</t>
  </si>
  <si>
    <t>type_of_note</t>
  </si>
  <si>
    <t>Type</t>
  </si>
  <si>
    <t>TYP</t>
  </si>
  <si>
    <t>TransType</t>
  </si>
  <si>
    <t>Invoice Type</t>
  </si>
  <si>
    <t>DOCUMNET_TYPE_CODE</t>
  </si>
  <si>
    <t>Document Type*</t>
  </si>
  <si>
    <t>DocTypeCode</t>
  </si>
  <si>
    <t>Doc Type Code.</t>
  </si>
  <si>
    <t>Type *</t>
  </si>
  <si>
    <t>SERVICE TYPE</t>
  </si>
  <si>
    <t>Sales Invoice/Service Invoice/Sales Return/Credit note</t>
  </si>
  <si>
    <t>Invoice_Sub_Type_Code</t>
  </si>
  <si>
    <t>INVOICE Type Code *</t>
  </si>
  <si>
    <t>Document_TypeRequired</t>
  </si>
  <si>
    <t>Document_Type Required</t>
  </si>
  <si>
    <t>Document Type Code*</t>
  </si>
  <si>
    <t>Document Type Code (INV/CRN/DBN)</t>
  </si>
  <si>
    <t>Document / Invoice Code *</t>
  </si>
  <si>
    <t>DOCType.</t>
  </si>
  <si>
    <t>Doc. Type</t>
  </si>
  <si>
    <t>Doc Type Code</t>
  </si>
  <si>
    <t>Document_Date</t>
  </si>
  <si>
    <t>Document Date *</t>
  </si>
  <si>
    <t>Invoice Date</t>
  </si>
  <si>
    <t>Invoice_date</t>
  </si>
  <si>
    <t>Document Date (DD/MM/YYYY) *</t>
  </si>
  <si>
    <t>DocumentDate</t>
  </si>
  <si>
    <t>Date</t>
  </si>
  <si>
    <t>Invoice Date *</t>
  </si>
  <si>
    <t>Billing date</t>
  </si>
  <si>
    <t>Inv Date</t>
  </si>
  <si>
    <t>DOCDATE</t>
  </si>
  <si>
    <t>DocumentDt</t>
  </si>
  <si>
    <t>Invoice Date*</t>
  </si>
  <si>
    <t>INV_DT</t>
  </si>
  <si>
    <t>BDT</t>
  </si>
  <si>
    <t>Dt 00040</t>
  </si>
  <si>
    <t>DocDtls_dt</t>
  </si>
  <si>
    <t>DOC_DT</t>
  </si>
  <si>
    <t>BILL_DATE</t>
  </si>
  <si>
    <t>Bill Date/ Credit Note Date</t>
  </si>
  <si>
    <t>TRN_DATE</t>
  </si>
  <si>
    <t>tax invoice date</t>
  </si>
  <si>
    <t>ST I/V Date</t>
  </si>
  <si>
    <t>Posting Date</t>
  </si>
  <si>
    <t>INVOICE DATED</t>
  </si>
  <si>
    <t>I/V Date</t>
  </si>
  <si>
    <t>Document Date (DD/MM/YYYY)*</t>
  </si>
  <si>
    <t>Docuemnt Date</t>
  </si>
  <si>
    <t>STN / Document Date</t>
  </si>
  <si>
    <t>InvoiceDate</t>
  </si>
  <si>
    <t>invoice_dt</t>
  </si>
  <si>
    <t>DT</t>
  </si>
  <si>
    <t>Document Date*</t>
  </si>
  <si>
    <t>Document Date (DD/MM</t>
  </si>
  <si>
    <t>Doc Date</t>
  </si>
  <si>
    <t>Date of Invoice (DD-MMM-YY)</t>
  </si>
  <si>
    <t>BILL DOC DATE</t>
  </si>
  <si>
    <t>Tax Invoice Date *</t>
  </si>
  <si>
    <t>INVOICE DT</t>
  </si>
  <si>
    <t>invDate2</t>
  </si>
  <si>
    <t>invDate</t>
  </si>
  <si>
    <t>GST_INVOICE_DT</t>
  </si>
  <si>
    <t>Document_DateRequired</t>
  </si>
  <si>
    <t>Document_Date Required</t>
  </si>
  <si>
    <t>Document Date(DD/MM/YYYY)*</t>
  </si>
  <si>
    <t>Document Date * (DD/MM/YYYY)</t>
  </si>
  <si>
    <t>Document Date (DD/MM/YYYY)</t>
  </si>
  <si>
    <t>Document / Invoice Date *</t>
  </si>
  <si>
    <t>doc_date</t>
  </si>
  <si>
    <t>Credit/Debit Note Date</t>
  </si>
  <si>
    <t>Credit note date</t>
  </si>
  <si>
    <t>Bill Date</t>
  </si>
  <si>
    <t>Document_Number</t>
  </si>
  <si>
    <t>Document Number *</t>
  </si>
  <si>
    <t>Invoice_no</t>
  </si>
  <si>
    <t>Invoice Number</t>
  </si>
  <si>
    <t>DocumentNumber</t>
  </si>
  <si>
    <t>Invoice No</t>
  </si>
  <si>
    <t>Invoice No.</t>
  </si>
  <si>
    <t>Invoice Number *</t>
  </si>
  <si>
    <t>Document No</t>
  </si>
  <si>
    <t>DOCNO</t>
  </si>
  <si>
    <t>Inv No</t>
  </si>
  <si>
    <t>Document_Num</t>
  </si>
  <si>
    <t>ODN Number</t>
  </si>
  <si>
    <t>Document No.</t>
  </si>
  <si>
    <t>INV_NO</t>
  </si>
  <si>
    <t>BNO</t>
  </si>
  <si>
    <t>No.</t>
  </si>
  <si>
    <t>No 00040</t>
  </si>
  <si>
    <t>Invoice No*</t>
  </si>
  <si>
    <t>ERP Bill/Credit Note No</t>
  </si>
  <si>
    <t>DocDtls_No</t>
  </si>
  <si>
    <t>Consolidated Invoice Number</t>
  </si>
  <si>
    <t>Billing Document</t>
  </si>
  <si>
    <t>BILL_NO</t>
  </si>
  <si>
    <t>Bill No</t>
  </si>
  <si>
    <t>TRN_REF_NO</t>
  </si>
  <si>
    <t>Tax invoice number</t>
  </si>
  <si>
    <t>ST Loc. I/V No.</t>
  </si>
  <si>
    <t>Local I/V No.</t>
  </si>
  <si>
    <t>GiV No</t>
  </si>
  <si>
    <t>Document no.*</t>
  </si>
  <si>
    <t>DOC_NUM</t>
  </si>
  <si>
    <t>doc_no</t>
  </si>
  <si>
    <t>TAX INVOICE NO</t>
  </si>
  <si>
    <t>STN NO / Document No</t>
  </si>
  <si>
    <t>Original Document Number</t>
  </si>
  <si>
    <t>NO</t>
  </si>
  <si>
    <t>MBH Inv No.</t>
  </si>
  <si>
    <t>InvoiceNoInt</t>
  </si>
  <si>
    <t>invNo</t>
  </si>
  <si>
    <t>Documnet Number</t>
  </si>
  <si>
    <t>Document Number*</t>
  </si>
  <si>
    <t>Doc No</t>
  </si>
  <si>
    <t>Bill.Doc.</t>
  </si>
  <si>
    <t>BILL DOCNO</t>
  </si>
  <si>
    <t>Tax Invoice Number *</t>
  </si>
  <si>
    <t>STN No.</t>
  </si>
  <si>
    <t>Serial_Number</t>
  </si>
  <si>
    <t>SERIAL NO</t>
  </si>
  <si>
    <t>SAP ODN *</t>
  </si>
  <si>
    <t>Sales_Invoice_No</t>
  </si>
  <si>
    <t>Ref.Inv.No.</t>
  </si>
  <si>
    <t>ODN No</t>
  </si>
  <si>
    <t>InvoiceNo</t>
  </si>
  <si>
    <t>INVOICE_NUMBER</t>
  </si>
  <si>
    <t>Invoice_Num</t>
  </si>
  <si>
    <t>Invoice No.*</t>
  </si>
  <si>
    <t>INVOICE NO *</t>
  </si>
  <si>
    <t>Invoice ID *</t>
  </si>
  <si>
    <t>Inv.No</t>
  </si>
  <si>
    <t>GST_INVOICE_NO</t>
  </si>
  <si>
    <t>Doument No</t>
  </si>
  <si>
    <t>DocumentNumber *</t>
  </si>
  <si>
    <t>Document_NumberRequired</t>
  </si>
  <si>
    <t>Document_Number Required</t>
  </si>
  <si>
    <t>Document / Invoice Number *</t>
  </si>
  <si>
    <t>DOC_INV_NO</t>
  </si>
  <si>
    <t>Credit/Debit Note Number</t>
  </si>
  <si>
    <t>Credit note No.</t>
  </si>
  <si>
    <t>Consolidated Invoice</t>
  </si>
  <si>
    <t>Billing Doc</t>
  </si>
  <si>
    <t>Place_of_Supply</t>
  </si>
  <si>
    <t>State Place of Supply</t>
  </si>
  <si>
    <t>POS</t>
  </si>
  <si>
    <t>State Place of Supply *</t>
  </si>
  <si>
    <t>STATE</t>
  </si>
  <si>
    <t>StateCode_Place_of_Supply</t>
  </si>
  <si>
    <t>State code Place of Supply</t>
  </si>
  <si>
    <t>Place of Supply (POS)</t>
  </si>
  <si>
    <t>PlaceOfSupply</t>
  </si>
  <si>
    <t>Location State Code</t>
  </si>
  <si>
    <t>State_name</t>
  </si>
  <si>
    <t>Place of Supply of D</t>
  </si>
  <si>
    <t>State_Place_of_Supply</t>
  </si>
  <si>
    <t>Business place</t>
  </si>
  <si>
    <t>State of supply</t>
  </si>
  <si>
    <t>STATE NAME</t>
  </si>
  <si>
    <t>Place of Supply (State Code)</t>
  </si>
  <si>
    <t>StateName</t>
  </si>
  <si>
    <t>PoS (State)</t>
  </si>
  <si>
    <t>PlaceOfSupplyStateID</t>
  </si>
  <si>
    <t>Place of</t>
  </si>
  <si>
    <t>BranchAlias</t>
  </si>
  <si>
    <t>State Code Place of Supply *</t>
  </si>
  <si>
    <t>State CODE of the GST charged</t>
  </si>
  <si>
    <t>Source of Supply</t>
  </si>
  <si>
    <t>POS State</t>
  </si>
  <si>
    <t>PLACE OF SUPPLY(POS)</t>
  </si>
  <si>
    <t>Place of Supply(Name of state)</t>
  </si>
  <si>
    <t>Place of Supply(Name of State / UT)</t>
  </si>
  <si>
    <t>place of supp</t>
  </si>
  <si>
    <t>Place</t>
  </si>
  <si>
    <t>Pl. of Sup</t>
  </si>
  <si>
    <t>Government Code</t>
  </si>
  <si>
    <t>Destination of Supply</t>
  </si>
  <si>
    <t>StateNameBU</t>
  </si>
  <si>
    <t>StateCode</t>
  </si>
  <si>
    <t>State of Place of Supply</t>
  </si>
  <si>
    <t>Plant Region</t>
  </si>
  <si>
    <t>Place of Suppy</t>
  </si>
  <si>
    <t>Place of supply (Name of State)</t>
  </si>
  <si>
    <t>Place of destination state</t>
  </si>
  <si>
    <t>LocationStateCode</t>
  </si>
  <si>
    <t>Location</t>
  </si>
  <si>
    <t>Lexmark Receiving Location</t>
  </si>
  <si>
    <t>GST Region Name</t>
  </si>
  <si>
    <t>Customer Shipping State</t>
  </si>
  <si>
    <t>CompanyStateName</t>
  </si>
  <si>
    <t>BuyerState</t>
  </si>
  <si>
    <t>Unit State</t>
  </si>
  <si>
    <t>To State Code</t>
  </si>
  <si>
    <t>Swadhaar StatePlace Of Supply as per invoice</t>
  </si>
  <si>
    <t>State-1</t>
  </si>
  <si>
    <t>STATE SUPPLY</t>
  </si>
  <si>
    <t>State Placeof Supply</t>
  </si>
  <si>
    <t>State Place of Supply */Supplier State</t>
  </si>
  <si>
    <t>State Code-Name</t>
  </si>
  <si>
    <t>STATE BILL TO</t>
  </si>
  <si>
    <t>SITE_GST_STATE_CODE</t>
  </si>
  <si>
    <t>Ship To State</t>
  </si>
  <si>
    <t>Recipient State</t>
  </si>
  <si>
    <t>Receiving Location/ Place of Supply</t>
  </si>
  <si>
    <t>Receiver State</t>
  </si>
  <si>
    <t>Purchaser Place Of Supply</t>
  </si>
  <si>
    <t>POSs</t>
  </si>
  <si>
    <t>POS State Code</t>
  </si>
  <si>
    <t>POS GST</t>
  </si>
  <si>
    <t>POS Code</t>
  </si>
  <si>
    <t>POS (only ifdifferent fromthe location ofrecipient)</t>
  </si>
  <si>
    <t>PLACE OF SUPPLY/STATE</t>
  </si>
  <si>
    <t>Place of supply*</t>
  </si>
  <si>
    <t>Place of Supply(Name of State/UT)</t>
  </si>
  <si>
    <t>Place of Supply.Name</t>
  </si>
  <si>
    <t>Place of Supply-POS</t>
  </si>
  <si>
    <t>Place of Supply-GST</t>
  </si>
  <si>
    <t>Place of supply- Our State</t>
  </si>
  <si>
    <t>Place of supply desc</t>
  </si>
  <si>
    <t>Place of Supply (State/Union Territory)</t>
  </si>
  <si>
    <t>Place of Supply (Code)</t>
  </si>
  <si>
    <t>Place Of Supplier</t>
  </si>
  <si>
    <t>Place of Service Name</t>
  </si>
  <si>
    <t>Place of \rSupply</t>
  </si>
  <si>
    <t>Order receiving State</t>
  </si>
  <si>
    <t>NEW STATE CODE</t>
  </si>
  <si>
    <t>Location_State_GSTCode</t>
  </si>
  <si>
    <t>Location_State_Code</t>
  </si>
  <si>
    <t>Location State</t>
  </si>
  <si>
    <t>KNPL State Plant Mas</t>
  </si>
  <si>
    <t>Journal Entry/Partner/State</t>
  </si>
  <si>
    <t>GST State Code</t>
  </si>
  <si>
    <t>GST Number_POS</t>
  </si>
  <si>
    <t>DESTN_STATE</t>
  </si>
  <si>
    <t>DCM STATE</t>
  </si>
  <si>
    <t>ConsumptionState</t>
  </si>
  <si>
    <t>Company type Code</t>
  </si>
  <si>
    <t>Company State</t>
  </si>
  <si>
    <t>Company GSTN</t>
  </si>
  <si>
    <t>Code State</t>
  </si>
  <si>
    <t>BUYER/SELLER STATE NAME</t>
  </si>
  <si>
    <t>Business Place GSTIN</t>
  </si>
  <si>
    <t>Business Area</t>
  </si>
  <si>
    <t>Bus.Place State</t>
  </si>
  <si>
    <t>Bill From State</t>
  </si>
  <si>
    <t>(26)Place of supply</t>
  </si>
  <si>
    <t>Is_the_item_a_good_or_service</t>
  </si>
  <si>
    <t>Is the item a GOOD (G) or SERVICE (S) *</t>
  </si>
  <si>
    <t>Is_Service</t>
  </si>
  <si>
    <t>Is_Service *</t>
  </si>
  <si>
    <t>Goods or Service</t>
  </si>
  <si>
    <t>Goods</t>
  </si>
  <si>
    <t>Is Service</t>
  </si>
  <si>
    <t>is_item_goods_or_services</t>
  </si>
  <si>
    <t>IsService</t>
  </si>
  <si>
    <t>Goods/Service</t>
  </si>
  <si>
    <t>Good (G) or Service (S)</t>
  </si>
  <si>
    <t>GOODS_SERVICE</t>
  </si>
  <si>
    <t>ItemList_IsServc</t>
  </si>
  <si>
    <t>IstheItemGOODSOrService</t>
  </si>
  <si>
    <t>Is_G_OR_S</t>
  </si>
  <si>
    <t>Is this Item Goods or Service</t>
  </si>
  <si>
    <t>Is service*</t>
  </si>
  <si>
    <t>SERV_TYPE</t>
  </si>
  <si>
    <t>IstheitemaGOOD(G)orSERVICE(S)</t>
  </si>
  <si>
    <t>Is this service</t>
  </si>
  <si>
    <t>Is the item a GOOD or SERVICE</t>
  </si>
  <si>
    <t>Is the item a GOOD (G) or SERVICE (S) *(Select from Drop down List)</t>
  </si>
  <si>
    <t>GORS</t>
  </si>
  <si>
    <t>Goods / Service</t>
  </si>
  <si>
    <t>Good/Service</t>
  </si>
  <si>
    <t>G/S 00090</t>
  </si>
  <si>
    <t>G/ S</t>
  </si>
  <si>
    <t>Item (Goods or Service)</t>
  </si>
  <si>
    <t>ISSERV</t>
  </si>
  <si>
    <t>ISGOODS</t>
  </si>
  <si>
    <t>is Item Goods or Services</t>
  </si>
  <si>
    <t>Goods_OR_Service</t>
  </si>
  <si>
    <t>goods_or_serv</t>
  </si>
  <si>
    <t>GoodOrService</t>
  </si>
  <si>
    <t>ITEM_SERVICE_FLAG</t>
  </si>
  <si>
    <t>Item Is Service</t>
  </si>
  <si>
    <t>IstheitemaGOODGorSERVICES</t>
  </si>
  <si>
    <t>Isservc 00090</t>
  </si>
  <si>
    <t>Is the Item a GOODS G or SERVICES S</t>
  </si>
  <si>
    <t>Is the item a GOOD(G) or SERVICE(S)</t>
  </si>
  <si>
    <t>Is the item a GOOD(G</t>
  </si>
  <si>
    <t>Goods/Services</t>
  </si>
  <si>
    <t>Goods/Service(G/S)</t>
  </si>
  <si>
    <t>Goods or Services</t>
  </si>
  <si>
    <t>Good/Services</t>
  </si>
  <si>
    <t>g/s</t>
  </si>
  <si>
    <t>Item_Description</t>
  </si>
  <si>
    <t>Product Description</t>
  </si>
  <si>
    <t>Item Name</t>
  </si>
  <si>
    <t>ItemDescription</t>
  </si>
  <si>
    <t>Commodity</t>
  </si>
  <si>
    <t>Material Description</t>
  </si>
  <si>
    <t>Product Name</t>
  </si>
  <si>
    <t>Product/Service Description</t>
  </si>
  <si>
    <t>TYPE</t>
  </si>
  <si>
    <t>ITEM DESC</t>
  </si>
  <si>
    <t>DESCRIPTION OF GOODS/SERVICES</t>
  </si>
  <si>
    <t>ProductDescription</t>
  </si>
  <si>
    <t>Name</t>
  </si>
  <si>
    <t>MATERIAL DESC</t>
  </si>
  <si>
    <t>Description of Services</t>
  </si>
  <si>
    <t>Item</t>
  </si>
  <si>
    <t>Material Desc.</t>
  </si>
  <si>
    <t>Description Of Goods</t>
  </si>
  <si>
    <t>ITEMNAME</t>
  </si>
  <si>
    <t>Item_Discription</t>
  </si>
  <si>
    <t>Text</t>
  </si>
  <si>
    <t>Resource Name</t>
  </si>
  <si>
    <t>Invoice Description</t>
  </si>
  <si>
    <t>Des. of Goods/Ser</t>
  </si>
  <si>
    <t>CNAME</t>
  </si>
  <si>
    <t>PRODUCT_DESCRIPTION</t>
  </si>
  <si>
    <t>PROD GR</t>
  </si>
  <si>
    <t>Prddesc 00090</t>
  </si>
  <si>
    <t>Position_AD_Category</t>
  </si>
  <si>
    <t>Particulars</t>
  </si>
  <si>
    <t>Memo/Description</t>
  </si>
  <si>
    <t>ItemList_PrdDesc</t>
  </si>
  <si>
    <t>Item/Product/Service</t>
  </si>
  <si>
    <t>Item Text</t>
  </si>
  <si>
    <t>Item Product Description</t>
  </si>
  <si>
    <t>Item Description (ITC Claim Type)</t>
  </si>
  <si>
    <t>Item / Usage Description</t>
  </si>
  <si>
    <t>Income Head (Code)</t>
  </si>
  <si>
    <t>description of product</t>
  </si>
  <si>
    <t>DESC</t>
  </si>
  <si>
    <t>Title</t>
  </si>
  <si>
    <t>Stitle</t>
  </si>
  <si>
    <t>Service Description</t>
  </si>
  <si>
    <t>Product Discripction</t>
  </si>
  <si>
    <t>Prod name</t>
  </si>
  <si>
    <t>item_name</t>
  </si>
  <si>
    <t>Item Description *</t>
  </si>
  <si>
    <t>GOODS_DESC</t>
  </si>
  <si>
    <t>Goods Description</t>
  </si>
  <si>
    <t>Description of Service</t>
  </si>
  <si>
    <t>Desc. of Goods</t>
  </si>
  <si>
    <t>CUST_PART_DESC</t>
  </si>
  <si>
    <t>UserDefinedField6</t>
  </si>
  <si>
    <t>StockItem</t>
  </si>
  <si>
    <t>Quality</t>
  </si>
  <si>
    <t>PRDDESC</t>
  </si>
  <si>
    <t>Posting Description or Narration</t>
  </si>
  <si>
    <t>Mat. Desc.</t>
  </si>
  <si>
    <t>Job-Desc-Sort</t>
  </si>
  <si>
    <t>Item Purchased</t>
  </si>
  <si>
    <t>InvItemDesc</t>
  </si>
  <si>
    <t>HSNSACDES</t>
  </si>
  <si>
    <t>HSN/SAC Description</t>
  </si>
  <si>
    <t>HSN / SAC Description</t>
  </si>
  <si>
    <t>Expenses</t>
  </si>
  <si>
    <t>Description of Goods Services</t>
  </si>
  <si>
    <t>desc_of_goods_or_serv</t>
  </si>
  <si>
    <t>Asin</t>
  </si>
  <si>
    <t>Supply Description</t>
  </si>
  <si>
    <t>SKU Description</t>
  </si>
  <si>
    <t>Services</t>
  </si>
  <si>
    <t>Production Description</t>
  </si>
  <si>
    <t>ProductGroup</t>
  </si>
  <si>
    <t>PRODUCT/ SERVICE DETAILS</t>
  </si>
  <si>
    <t>product name/type</t>
  </si>
  <si>
    <t>product discription</t>
  </si>
  <si>
    <t>Product Discerption *</t>
  </si>
  <si>
    <t>Product Desc</t>
  </si>
  <si>
    <t>Product Decription</t>
  </si>
  <si>
    <t>Product</t>
  </si>
  <si>
    <t>PRODUCCT NAME</t>
  </si>
  <si>
    <t>PROD_NAME</t>
  </si>
  <si>
    <t>PART/ OPERATION DESCRIPTION</t>
  </si>
  <si>
    <t>Part / Operation Description</t>
  </si>
  <si>
    <t>Nature_OF_Supplies</t>
  </si>
  <si>
    <t>Nature of Transaction / Expenses Description</t>
  </si>
  <si>
    <t>Nature of Supplies</t>
  </si>
  <si>
    <t>Nature of Service</t>
  </si>
  <si>
    <t>Nature Of Purchases</t>
  </si>
  <si>
    <t>NATURE OF GOODS / SERVICES PURCHASED</t>
  </si>
  <si>
    <t>Narration</t>
  </si>
  <si>
    <t>Material/Service Desc</t>
  </si>
  <si>
    <t>Material With Descrption</t>
  </si>
  <si>
    <t>Material No with Descrption</t>
  </si>
  <si>
    <t>Material Group Description</t>
  </si>
  <si>
    <t>Material Dsc.</t>
  </si>
  <si>
    <t>Material Description.</t>
  </si>
  <si>
    <t>Material Centre</t>
  </si>
  <si>
    <t>Mat. Desc. Long Text</t>
  </si>
  <si>
    <t>Line Description</t>
  </si>
  <si>
    <t>Ledger Head</t>
  </si>
  <si>
    <t>Items</t>
  </si>
  <si>
    <t>Item/Service Description</t>
  </si>
  <si>
    <t>Item/Service</t>
  </si>
  <si>
    <t>ITEM_DESCR</t>
  </si>
  <si>
    <t>ITEM DISCRIPTION</t>
  </si>
  <si>
    <t>Item Details</t>
  </si>
  <si>
    <t>Item Descrption</t>
  </si>
  <si>
    <t>Item Description (For IRN)</t>
  </si>
  <si>
    <t>Item Dec</t>
  </si>
  <si>
    <t>Inv. Description</t>
  </si>
  <si>
    <t>HSN/SACCode Description</t>
  </si>
  <si>
    <t>HSN_DESC</t>
  </si>
  <si>
    <t>HSN Desc</t>
  </si>
  <si>
    <t>Goods/Service description</t>
  </si>
  <si>
    <t>G/L Description/ Material Description</t>
  </si>
  <si>
    <t>Expenditure Head</t>
  </si>
  <si>
    <t>Dscription</t>
  </si>
  <si>
    <t>Discription</t>
  </si>
  <si>
    <t>DESCRIPTION_OF_PRODUCT</t>
  </si>
  <si>
    <t>Description ofGoods/Service</t>
  </si>
  <si>
    <t>DESCRIPTION OF SUPPLY</t>
  </si>
  <si>
    <t>Description of Goods/service</t>
  </si>
  <si>
    <t>Description of Goods/ Services</t>
  </si>
  <si>
    <t>Description of goods or services</t>
  </si>
  <si>
    <t>Description of Goods or Service as per accounts</t>
  </si>
  <si>
    <t>Description of goods and services</t>
  </si>
  <si>
    <t>Description of goods / services received</t>
  </si>
  <si>
    <t>Descriptio</t>
  </si>
  <si>
    <t>Descreption of good/service</t>
  </si>
  <si>
    <t>COMMIDITIES / DESCRIPTION</t>
  </si>
  <si>
    <t>Category description</t>
  </si>
  <si>
    <t>CATEGORY</t>
  </si>
  <si>
    <t>CAT_NAME</t>
  </si>
  <si>
    <t>Article Descrp</t>
  </si>
  <si>
    <t>(34)Description</t>
  </si>
  <si>
    <t>HSN_or_SAC_code</t>
  </si>
  <si>
    <t>HSN or SAC code *</t>
  </si>
  <si>
    <t>HSN Code</t>
  </si>
  <si>
    <t>HSN code *</t>
  </si>
  <si>
    <t>HSN</t>
  </si>
  <si>
    <t>HSN_CODE</t>
  </si>
  <si>
    <t>HSN/SAC</t>
  </si>
  <si>
    <t>HSNCODE</t>
  </si>
  <si>
    <t>SAC</t>
  </si>
  <si>
    <t>SAC Code</t>
  </si>
  <si>
    <t>HSNorSACcode</t>
  </si>
  <si>
    <t>HSN/SAC Code</t>
  </si>
  <si>
    <t>SHNO</t>
  </si>
  <si>
    <t>HSN_SAC_CODE</t>
  </si>
  <si>
    <t>HSN /SAC Code</t>
  </si>
  <si>
    <t>HNS_CODE</t>
  </si>
  <si>
    <t>ItemList_HSNCd</t>
  </si>
  <si>
    <t>Item HSN Code</t>
  </si>
  <si>
    <t>Hsncd 00090</t>
  </si>
  <si>
    <t>HSN_SAC Code</t>
  </si>
  <si>
    <t>HSN Code*</t>
  </si>
  <si>
    <t>HSN / SAC Code*</t>
  </si>
  <si>
    <t>SAC. Code</t>
  </si>
  <si>
    <t>SAC NO</t>
  </si>
  <si>
    <t>HSN_SAC</t>
  </si>
  <si>
    <t>HSN or SAC code *(Enter 8 Digit HSN Code)</t>
  </si>
  <si>
    <t>Hsn no</t>
  </si>
  <si>
    <t>itemHSN</t>
  </si>
  <si>
    <t>HSNorSAC</t>
  </si>
  <si>
    <t>HSNCD</t>
  </si>
  <si>
    <t>hsn_sc</t>
  </si>
  <si>
    <t>TeriffHead</t>
  </si>
  <si>
    <t>HSN_or_SAC_codeRequired</t>
  </si>
  <si>
    <t>HSN Number</t>
  </si>
  <si>
    <t>HSN 4Digit</t>
  </si>
  <si>
    <t>GST HSN Code</t>
  </si>
  <si>
    <t>HSN CODE</t>
  </si>
  <si>
    <t>HSN / SAC Code</t>
  </si>
  <si>
    <t>HSN_SAC_code</t>
  </si>
  <si>
    <t>HSN / SAC</t>
  </si>
  <si>
    <t>HSN/ SAC</t>
  </si>
  <si>
    <t>HSN_SC</t>
  </si>
  <si>
    <t>HSN SAC Code</t>
  </si>
  <si>
    <t>HSNORSAC</t>
  </si>
  <si>
    <t>HSN or SAC</t>
  </si>
  <si>
    <t>HSNSAC</t>
  </si>
  <si>
    <t>HSN/Service Code</t>
  </si>
  <si>
    <t>HSN_NO</t>
  </si>
  <si>
    <t>HSN of Goods or Services</t>
  </si>
  <si>
    <t>HSN CODE/SAC CODE</t>
  </si>
  <si>
    <t>HSN CODE / SAC CODE</t>
  </si>
  <si>
    <t>HSN/SAC #</t>
  </si>
  <si>
    <t>HSN SAC</t>
  </si>
  <si>
    <t>HSN No.</t>
  </si>
  <si>
    <t>Servcode</t>
  </si>
  <si>
    <t>SAC/HSN Code</t>
  </si>
  <si>
    <t>SAC /HSN</t>
  </si>
  <si>
    <t>SAC / HSN Code</t>
  </si>
  <si>
    <t>Mat HSN / Serv SAC Code</t>
  </si>
  <si>
    <t>MAST_HSN_CODE</t>
  </si>
  <si>
    <t>ITEM_HSN_CODE</t>
  </si>
  <si>
    <t>Inv Mat HSN / Serv SAC Code</t>
  </si>
  <si>
    <t>INDIA TAX HSN OR SAC CODE</t>
  </si>
  <si>
    <t>HSNSACCode</t>
  </si>
  <si>
    <t>HSN\rCode</t>
  </si>
  <si>
    <t>HSN/SACCode</t>
  </si>
  <si>
    <t>HSN/SAC_Co</t>
  </si>
  <si>
    <t>HSN/SAC Code (enter G/S if code not known)</t>
  </si>
  <si>
    <t>HSN/ SAC Code</t>
  </si>
  <si>
    <t>HSN_ SAC</t>
  </si>
  <si>
    <t>HSN or SAC code*</t>
  </si>
  <si>
    <t>HSN or SAC code (Correct)</t>
  </si>
  <si>
    <t>HSN of goods or services*</t>
  </si>
  <si>
    <t>hsn number</t>
  </si>
  <si>
    <t>HSN Details</t>
  </si>
  <si>
    <t>HSN code for goods/services</t>
  </si>
  <si>
    <t>HSN code for Goods &amp; services</t>
  </si>
  <si>
    <t>HSN /SAC</t>
  </si>
  <si>
    <t>H S N</t>
  </si>
  <si>
    <t>4 Digit HSN</t>
  </si>
  <si>
    <t>QTY</t>
  </si>
  <si>
    <t>Item Quantity</t>
  </si>
  <si>
    <t>Quantity *</t>
  </si>
  <si>
    <t>Item_Quantity</t>
  </si>
  <si>
    <t>Invoiced Quantity</t>
  </si>
  <si>
    <t>QNTY</t>
  </si>
  <si>
    <t>Invoice Quantity</t>
  </si>
  <si>
    <t>Billed Quantity</t>
  </si>
  <si>
    <t>Total Quantity</t>
  </si>
  <si>
    <t>Quantity*</t>
  </si>
  <si>
    <t>SHIPPED_QTY</t>
  </si>
  <si>
    <t>QTY_ISS</t>
  </si>
  <si>
    <t>QNT</t>
  </si>
  <si>
    <t>ItemQuantity</t>
  </si>
  <si>
    <t>Invoice Qty</t>
  </si>
  <si>
    <t>Qty.</t>
  </si>
  <si>
    <t>Qty 00090</t>
  </si>
  <si>
    <t>ItemList_Qty</t>
  </si>
  <si>
    <t>Quantity of goods purchased</t>
  </si>
  <si>
    <t>Normal/Child Qty</t>
  </si>
  <si>
    <t>ITEM_QTY</t>
  </si>
  <si>
    <t>Bill Qty</t>
  </si>
  <si>
    <t>TOTAL QTY.</t>
  </si>
  <si>
    <t>TOTAL QTY</t>
  </si>
  <si>
    <t>Quantity Of Goods Sold</t>
  </si>
  <si>
    <t>Quantity (kg.)</t>
  </si>
  <si>
    <t>QTY_IN_SINGLES</t>
  </si>
  <si>
    <t>Qty (Btls)</t>
  </si>
  <si>
    <t>Material Qty</t>
  </si>
  <si>
    <t>LineQty</t>
  </si>
  <si>
    <t>itemQty</t>
  </si>
  <si>
    <t>invoiced qty</t>
  </si>
  <si>
    <t>Inv Quantity</t>
  </si>
  <si>
    <t>Demand Quantity</t>
  </si>
  <si>
    <t>Bill Weight</t>
  </si>
  <si>
    <t>Weight</t>
  </si>
  <si>
    <t>VOUCH_QTY</t>
  </si>
  <si>
    <t>TransQty</t>
  </si>
  <si>
    <t>Total_qty</t>
  </si>
  <si>
    <t>Tota_Extra_Km</t>
  </si>
  <si>
    <t>Stock Qty</t>
  </si>
  <si>
    <t>Shipment Quantity</t>
  </si>
  <si>
    <t>Receipt Qty</t>
  </si>
  <si>
    <t>Quantity* (If its mandatory or Optional)</t>
  </si>
  <si>
    <t>Quantity Received</t>
  </si>
  <si>
    <t>QTY_SHIPPED</t>
  </si>
  <si>
    <t>QTY REC</t>
  </si>
  <si>
    <t>Qty invoiced</t>
  </si>
  <si>
    <t>Qty in Un. of Entry</t>
  </si>
  <si>
    <t>Qty in Base Unit</t>
  </si>
  <si>
    <t>Qty / Kg's</t>
  </si>
  <si>
    <t>Purc Qty</t>
  </si>
  <si>
    <t>Pur. Qtyty</t>
  </si>
  <si>
    <t>Part/Service QTY</t>
  </si>
  <si>
    <t>No Of Bags/ Unit</t>
  </si>
  <si>
    <t>Material Quantity</t>
  </si>
  <si>
    <t>Item Qty.</t>
  </si>
  <si>
    <t>Item Qty</t>
  </si>
  <si>
    <t>Invoice_Qty</t>
  </si>
  <si>
    <t>Inv Qty</t>
  </si>
  <si>
    <t>Indent Qty</t>
  </si>
  <si>
    <t>GR Quantity</t>
  </si>
  <si>
    <t>GR QTY</t>
  </si>
  <si>
    <t>FI Qty</t>
  </si>
  <si>
    <t>Item_Unit_Of_Measurement</t>
  </si>
  <si>
    <t>UOM</t>
  </si>
  <si>
    <t>Unit</t>
  </si>
  <si>
    <t>Unit *</t>
  </si>
  <si>
    <t>UQC</t>
  </si>
  <si>
    <t>Unit_of_Measurement</t>
  </si>
  <si>
    <t>UnitofMeasurement</t>
  </si>
  <si>
    <t>Item UoM</t>
  </si>
  <si>
    <t>MESURE</t>
  </si>
  <si>
    <t>Unit 00090</t>
  </si>
  <si>
    <t>ItemList_Unit</t>
  </si>
  <si>
    <t>Item Unit</t>
  </si>
  <si>
    <t>Base Unit Of Measurement</t>
  </si>
  <si>
    <t>Unit of Measurement(Select from Drop down List)</t>
  </si>
  <si>
    <t>Unit of Measurement *</t>
  </si>
  <si>
    <t>PRODUNIT</t>
  </si>
  <si>
    <t>ITEM_UOM</t>
  </si>
  <si>
    <t>WEIGHT UNIT</t>
  </si>
  <si>
    <t>Unit*</t>
  </si>
  <si>
    <t>Unit-Of-Measure</t>
  </si>
  <si>
    <t>UNIT CODE</t>
  </si>
  <si>
    <t>TOTAL QTY. UOM</t>
  </si>
  <si>
    <t>SU</t>
  </si>
  <si>
    <t>itemUnit</t>
  </si>
  <si>
    <t>UOM* (https</t>
  </si>
  <si>
    <t>Unit_ of_ measurement</t>
  </si>
  <si>
    <t>Unit Of Mesurement</t>
  </si>
  <si>
    <t>Unit of Measure</t>
  </si>
  <si>
    <t>Quantity Unit_Code</t>
  </si>
  <si>
    <t>Item Unit of Measurement (UQC)</t>
  </si>
  <si>
    <t>Item Unit OF Measurement (UOM)</t>
  </si>
  <si>
    <t>GST UoM</t>
  </si>
  <si>
    <t>Item Unit Of Measurement</t>
  </si>
  <si>
    <t>Measurement</t>
  </si>
  <si>
    <t>Item_UnitOf Measurement</t>
  </si>
  <si>
    <t>Usage unit</t>
  </si>
  <si>
    <t>Invoice UOM</t>
  </si>
  <si>
    <t>UQC (Unit of Measurement)</t>
  </si>
  <si>
    <t>Item_UoMName</t>
  </si>
  <si>
    <t>Item_UnitOfMeasurement</t>
  </si>
  <si>
    <t>UNITOFMEASUREMENT</t>
  </si>
  <si>
    <t>UnitOfMeasure</t>
  </si>
  <si>
    <t>Unit of Quantity</t>
  </si>
  <si>
    <t>Units</t>
  </si>
  <si>
    <t>UNIT_OF_MEASURE</t>
  </si>
  <si>
    <t>UNIT OF MESSUREMENT</t>
  </si>
  <si>
    <t>Unit of Measure/Unit of Measure</t>
  </si>
  <si>
    <t>Unit of Measure Code</t>
  </si>
  <si>
    <t>Item_Price</t>
  </si>
  <si>
    <t>Item Price *</t>
  </si>
  <si>
    <t>Rate</t>
  </si>
  <si>
    <t>Item Rate</t>
  </si>
  <si>
    <t>Unit Price</t>
  </si>
  <si>
    <t>Item_Rate</t>
  </si>
  <si>
    <t>Unit Price *</t>
  </si>
  <si>
    <t>tax rate</t>
  </si>
  <si>
    <t>ItemPrice</t>
  </si>
  <si>
    <t>Item Rate (Amount)</t>
  </si>
  <si>
    <t>Item Unit Price</t>
  </si>
  <si>
    <t>Rate of GST</t>
  </si>
  <si>
    <t>RATE PER PCS.</t>
  </si>
  <si>
    <t>UNIT_PRICE</t>
  </si>
  <si>
    <t>Rate/Unit</t>
  </si>
  <si>
    <t>Rate (%)</t>
  </si>
  <si>
    <t>Price</t>
  </si>
  <si>
    <t>UNIT_PRICE_WITHOUT_TAX</t>
  </si>
  <si>
    <t>Basic Value</t>
  </si>
  <si>
    <t>Unitprice 00090</t>
  </si>
  <si>
    <t>Unit Price*</t>
  </si>
  <si>
    <t>PO Rate</t>
  </si>
  <si>
    <t>ItemRate</t>
  </si>
  <si>
    <t>ItemList_UnitPrice</t>
  </si>
  <si>
    <t>Item Value</t>
  </si>
  <si>
    <t>Item Rate*</t>
  </si>
  <si>
    <t>Actual Bill Rate</t>
  </si>
  <si>
    <t>UnitPrice</t>
  </si>
  <si>
    <t>Total OC Due Airline</t>
  </si>
  <si>
    <t>Rate/gm</t>
  </si>
  <si>
    <t>Rate(%)</t>
  </si>
  <si>
    <t>Rate per Quantity</t>
  </si>
  <si>
    <t>rate of tax</t>
  </si>
  <si>
    <t>Item Price *INR</t>
  </si>
  <si>
    <t>COST/UNIT</t>
  </si>
  <si>
    <t>Base Amount / Unit Price</t>
  </si>
  <si>
    <t>Base Amount</t>
  </si>
  <si>
    <t>UNIT rate</t>
  </si>
  <si>
    <t>RATE/PCS.</t>
  </si>
  <si>
    <t>Rate/PC in INR</t>
  </si>
  <si>
    <t>Rate/kg</t>
  </si>
  <si>
    <t>Rate/Item</t>
  </si>
  <si>
    <t>Rate*</t>
  </si>
  <si>
    <t>Rate_Per_Km</t>
  </si>
  <si>
    <t>Rate Per Hour</t>
  </si>
  <si>
    <t>Rate *</t>
  </si>
  <si>
    <t>product_rate</t>
  </si>
  <si>
    <t>price/pc. net</t>
  </si>
  <si>
    <t>PERC</t>
  </si>
  <si>
    <t>Part/Service Cost</t>
  </si>
  <si>
    <t>Our Price</t>
  </si>
  <si>
    <t>Order Value (Excluding GST)</t>
  </si>
  <si>
    <t>Net Price</t>
  </si>
  <si>
    <t>Net Order Price</t>
  </si>
  <si>
    <t>Monthly Bill Rate</t>
  </si>
  <si>
    <t>ITEMTOTAL</t>
  </si>
  <si>
    <t>Item_RateRequired</t>
  </si>
  <si>
    <t>Item_Rate Required</t>
  </si>
  <si>
    <t>Item_Price(INR)</t>
  </si>
  <si>
    <t>Item Price in INR*</t>
  </si>
  <si>
    <t>Item Price in Foreign Currency</t>
  </si>
  <si>
    <t>Item price (Amount)</t>
  </si>
  <si>
    <t>Gross Amount *</t>
  </si>
  <si>
    <t>Direct Unit Cost Excl. Tax</t>
  </si>
  <si>
    <t>basic_val</t>
  </si>
  <si>
    <t>Basic Rate</t>
  </si>
  <si>
    <t>ASP Price</t>
  </si>
  <si>
    <t>Amount</t>
  </si>
  <si>
    <t>Item_Discount_Amount</t>
  </si>
  <si>
    <t>Discount</t>
  </si>
  <si>
    <t>Item Discount</t>
  </si>
  <si>
    <t>ItemDiscountAmount</t>
  </si>
  <si>
    <t>Total Item Discount Amount</t>
  </si>
  <si>
    <t>Discount amt</t>
  </si>
  <si>
    <t>ItemList_Discount</t>
  </si>
  <si>
    <t>Discount Amount</t>
  </si>
  <si>
    <t>Tot.Discount Amount</t>
  </si>
  <si>
    <t>ITEM_DISCOUNT_AMT</t>
  </si>
  <si>
    <t>TRADE DISCOUNT</t>
  </si>
  <si>
    <t>DiscountAmt</t>
  </si>
  <si>
    <t>Discount_Amount</t>
  </si>
  <si>
    <t>DISCOUNT_1</t>
  </si>
  <si>
    <t>Credit note Note Amount</t>
  </si>
  <si>
    <t>Item Taxable Value *</t>
  </si>
  <si>
    <t>Item Discount Amount in INR</t>
  </si>
  <si>
    <t>FREIGHT</t>
  </si>
  <si>
    <t>DiscountAmount</t>
  </si>
  <si>
    <t>Discount *</t>
  </si>
  <si>
    <t>Discount (Product)</t>
  </si>
  <si>
    <t>Item_Discount</t>
  </si>
  <si>
    <t>DISC_AMT</t>
  </si>
  <si>
    <t>Total_Item_Discount_Amount</t>
  </si>
  <si>
    <t>TOTAL_ITEM_DISCOUNT</t>
  </si>
  <si>
    <t>Other Amount.</t>
  </si>
  <si>
    <t>Less (Cash Discount)</t>
  </si>
  <si>
    <t>Discount Allowed</t>
  </si>
  <si>
    <t>Total Discount</t>
  </si>
  <si>
    <t>Total before discount</t>
  </si>
  <si>
    <t>Scm.Disc</t>
  </si>
  <si>
    <t>Scheme</t>
  </si>
  <si>
    <t>Non Taxable</t>
  </si>
  <si>
    <t>LineDiscount</t>
  </si>
  <si>
    <t>ItemTotalDiscount</t>
  </si>
  <si>
    <t>Item Discount Amt</t>
  </si>
  <si>
    <t>Disc Recd.</t>
  </si>
  <si>
    <t>Disc</t>
  </si>
  <si>
    <t>CASH / TRADE DISCOUNT AVG</t>
  </si>
  <si>
    <t>Any discounts or rebates</t>
  </si>
  <si>
    <t>Item_Taxable_Value</t>
  </si>
  <si>
    <t>Taxable VALUE</t>
  </si>
  <si>
    <t>Taxable</t>
  </si>
  <si>
    <t>Item taxable value</t>
  </si>
  <si>
    <t>Taxable Amount</t>
  </si>
  <si>
    <t>Total Taxable Value</t>
  </si>
  <si>
    <t>TAXABLE AMT</t>
  </si>
  <si>
    <t>Taxable Value ()</t>
  </si>
  <si>
    <t>TaxableValue</t>
  </si>
  <si>
    <t>Total Taxable</t>
  </si>
  <si>
    <t>Basic</t>
  </si>
  <si>
    <t>Basic value</t>
  </si>
  <si>
    <t>Tax base amount</t>
  </si>
  <si>
    <t>Taxable Value *</t>
  </si>
  <si>
    <t>Base Value</t>
  </si>
  <si>
    <t>Taxable_Value</t>
  </si>
  <si>
    <t>Taxable Amt.</t>
  </si>
  <si>
    <t>ItemTaxableValue</t>
  </si>
  <si>
    <t>Total Taxable Amount</t>
  </si>
  <si>
    <t>GST Base Amount</t>
  </si>
  <si>
    <t>TAXABLE AMOUNT (Rs)</t>
  </si>
  <si>
    <t>Sum of Taxable Value</t>
  </si>
  <si>
    <t>Taxable Val (INR)</t>
  </si>
  <si>
    <t>ASSESSABLE VALUE</t>
  </si>
  <si>
    <t>TAXABLE_AMOUNT</t>
  </si>
  <si>
    <t>Basic Amount</t>
  </si>
  <si>
    <t>TAXABLEAMOUNT</t>
  </si>
  <si>
    <t>Sum of Taxable Amount</t>
  </si>
  <si>
    <t>Gross</t>
  </si>
  <si>
    <t>Total Taxable Value *</t>
  </si>
  <si>
    <t>TaxableAmt</t>
  </si>
  <si>
    <t>Taxable Base(INR)</t>
  </si>
  <si>
    <t>Gross Total</t>
  </si>
  <si>
    <t>Gross Amt</t>
  </si>
  <si>
    <t>GROSS AMOUNT</t>
  </si>
  <si>
    <t>Net taxable Value</t>
  </si>
  <si>
    <t>NET TAXABLE</t>
  </si>
  <si>
    <t>GST Assessable Amount</t>
  </si>
  <si>
    <t>GSTTaxable</t>
  </si>
  <si>
    <t>ASS.VALUE</t>
  </si>
  <si>
    <t>Basic Amt</t>
  </si>
  <si>
    <t>Ass. Amount</t>
  </si>
  <si>
    <t>taxable_val</t>
  </si>
  <si>
    <t>Taxable value of invoice</t>
  </si>
  <si>
    <t>TAXABLE VAL.</t>
  </si>
  <si>
    <t>Taxable New</t>
  </si>
  <si>
    <t>TAXBLE VALUE</t>
  </si>
  <si>
    <t>Taxable value*</t>
  </si>
  <si>
    <t>Taxable Val</t>
  </si>
  <si>
    <t>Tax Base Value</t>
  </si>
  <si>
    <t>NEWTAXABLE</t>
  </si>
  <si>
    <t>Invoice Taxable Amount</t>
  </si>
  <si>
    <t>GST Ass.Value</t>
  </si>
  <si>
    <t>Assesable Value</t>
  </si>
  <si>
    <t>Gross Invoice Amount</t>
  </si>
  <si>
    <t>Assessable Amount</t>
  </si>
  <si>
    <t>Txbl Val</t>
  </si>
  <si>
    <t>Total Taxable Value*</t>
  </si>
  <si>
    <t>TAXABLE.AMT</t>
  </si>
  <si>
    <t>TAXABLE_AMT</t>
  </si>
  <si>
    <t>TAXABLE VALUE OF GOODS OR SERVICE</t>
  </si>
  <si>
    <t>Taxable value () *</t>
  </si>
  <si>
    <t>Purchase Taxable</t>
  </si>
  <si>
    <t>Marg Taxable</t>
  </si>
  <si>
    <t>Invoice Taxable Amt</t>
  </si>
  <si>
    <t>Assessable</t>
  </si>
  <si>
    <t>ASS-VALUE</t>
  </si>
  <si>
    <t>Txbl Value</t>
  </si>
  <si>
    <t>Total Taxable Value ()</t>
  </si>
  <si>
    <t>Total Taxable Val</t>
  </si>
  <si>
    <t>TAXABLE VLAUE</t>
  </si>
  <si>
    <t>Taxable value of goods / services</t>
  </si>
  <si>
    <t>Taxable Value (PR)</t>
  </si>
  <si>
    <t>Taxable GST Base value</t>
  </si>
  <si>
    <t>Taxable Base (INR)</t>
  </si>
  <si>
    <t>Purchase GST TAXABLE VALUE</t>
  </si>
  <si>
    <t>Item Taxable Value *(Enter Item wise Taxable Value)</t>
  </si>
  <si>
    <t>Invoice Value (taxable)</t>
  </si>
  <si>
    <t>GST TaxableAmount</t>
  </si>
  <si>
    <t>GST TAXABLE AMOUNT</t>
  </si>
  <si>
    <t>GST Base</t>
  </si>
  <si>
    <t>Basae Value</t>
  </si>
  <si>
    <t>Assessable Value (GST)</t>
  </si>
  <si>
    <t>TotalTaxable</t>
  </si>
  <si>
    <t>Total Assessable Value</t>
  </si>
  <si>
    <t>Taxble Value Total</t>
  </si>
  <si>
    <t>TAXBLE AMT</t>
  </si>
  <si>
    <t>TAXBL_VAL</t>
  </si>
  <si>
    <t>Taxable Value( Total)</t>
  </si>
  <si>
    <t>TAXABLE VALUE-H</t>
  </si>
  <si>
    <t>Taxable value of Supply</t>
  </si>
  <si>
    <t>Taxable value of goods/services</t>
  </si>
  <si>
    <t>Taxable Value of Goods</t>
  </si>
  <si>
    <t>Taxable value in LC</t>
  </si>
  <si>
    <t>Taxable Value as per Tally</t>
  </si>
  <si>
    <t>Taxable Value (Rs.)</t>
  </si>
  <si>
    <t>Taxable Curr Amount</t>
  </si>
  <si>
    <t>Taxable Amount()</t>
  </si>
  <si>
    <t>Taxable Amount In INR</t>
  </si>
  <si>
    <t>Taxable Amount FirstRow</t>
  </si>
  <si>
    <t>TAXABLE AM</t>
  </si>
  <si>
    <t>Taxabale Value</t>
  </si>
  <si>
    <t>Taxabal amt</t>
  </si>
  <si>
    <t>Tax Exclusive Gross</t>
  </si>
  <si>
    <t>Line Taxable Value</t>
  </si>
  <si>
    <t>Item taxable total</t>
  </si>
  <si>
    <t>Item Assessable Amount</t>
  </si>
  <si>
    <t>GST Taxable Value</t>
  </si>
  <si>
    <t>GST Assessable Value</t>
  </si>
  <si>
    <t>BASIC_VAL</t>
  </si>
  <si>
    <t>BASIC VALUE*</t>
  </si>
  <si>
    <t>Basic Amt.</t>
  </si>
  <si>
    <t>Base Amount (Taxable Value for GST)</t>
  </si>
  <si>
    <t>ActualTaxableValue</t>
  </si>
  <si>
    <t>ValueBeforeTaxINR</t>
  </si>
  <si>
    <t>Value of taxable service</t>
  </si>
  <si>
    <t>TXBLE_AMT</t>
  </si>
  <si>
    <t>Txble</t>
  </si>
  <si>
    <t>Txbl. Amt.</t>
  </si>
  <si>
    <t>TotalTaxableValue</t>
  </si>
  <si>
    <t>TotalTaxableAmount</t>
  </si>
  <si>
    <t>TOTAL_EXP (Taxable Value)</t>
  </si>
  <si>
    <t>TOT BEFORE TAX</t>
  </si>
  <si>
    <t>TAXVALE VALUE.</t>
  </si>
  <si>
    <t>TAXBLE VALUN</t>
  </si>
  <si>
    <t>TAXBLE AMT.</t>
  </si>
  <si>
    <t>Taxble Amount</t>
  </si>
  <si>
    <t>TaxblAmt</t>
  </si>
  <si>
    <t>taxbl_amt</t>
  </si>
  <si>
    <t>Taxbale Amount</t>
  </si>
  <si>
    <t>TAXBAL VALUE</t>
  </si>
  <si>
    <t>TAXAVLE</t>
  </si>
  <si>
    <t>TAXAMBLE VALE</t>
  </si>
  <si>
    <t>TAXABLVALU</t>
  </si>
  <si>
    <t>Taxable/ Exempt</t>
  </si>
  <si>
    <t>Taxable_Values</t>
  </si>
  <si>
    <t>Taxable_Va</t>
  </si>
  <si>
    <t>TAXABLE_AMNT</t>
  </si>
  <si>
    <t>Taxable Vaule</t>
  </si>
  <si>
    <t>Taxable Vaue</t>
  </si>
  <si>
    <t>Taxable Valyue</t>
  </si>
  <si>
    <t>Taxable Valure</t>
  </si>
  <si>
    <t>Taxable value/AV</t>
  </si>
  <si>
    <t>Taxable Value of Goods/Services (INR)</t>
  </si>
  <si>
    <t>Taxable value of Goods or Service as per invoice/Note*</t>
  </si>
  <si>
    <t>TAXABLE VALUE OF GOOD</t>
  </si>
  <si>
    <t>Taxable Value Item</t>
  </si>
  <si>
    <t>TAXABLE VALUE H</t>
  </si>
  <si>
    <t>Taxable value DC</t>
  </si>
  <si>
    <t>Taxable value as per book</t>
  </si>
  <si>
    <t>Taxable Value (FC)</t>
  </si>
  <si>
    <t>Taxable Value ( )*</t>
  </si>
  <si>
    <t>Taxable Turnover</t>
  </si>
  <si>
    <t>Taxable Sales Value</t>
  </si>
  <si>
    <t>TAXABLE BOOKS</t>
  </si>
  <si>
    <t>Taxable Amt( Rs.)</t>
  </si>
  <si>
    <t>Taxable Amount2</t>
  </si>
  <si>
    <t>Taxable Amount(Base)</t>
  </si>
  <si>
    <t>Taxable Amount As Per Miro</t>
  </si>
  <si>
    <t>Taxable amount (net of TDS)</t>
  </si>
  <si>
    <t>Taxable \rValue</t>
  </si>
  <si>
    <t>TAXABL_AMT</t>
  </si>
  <si>
    <t>TAXABL VAL</t>
  </si>
  <si>
    <t>TAXABL</t>
  </si>
  <si>
    <t>TAXABEL</t>
  </si>
  <si>
    <t>Taxabale Value (INR)</t>
  </si>
  <si>
    <t>Sum of Taxable Amt.</t>
  </si>
  <si>
    <t>Sum of Sum of Taxable Value</t>
  </si>
  <si>
    <t>Original Invoice taxable value</t>
  </si>
  <si>
    <t>New Taxable Value</t>
  </si>
  <si>
    <t>NET TAXABLE AMOUNT</t>
  </si>
  <si>
    <t>Local Taxable</t>
  </si>
  <si>
    <t>ItemTaxableAmount</t>
  </si>
  <si>
    <t>Itemtaxable value</t>
  </si>
  <si>
    <t>Item_Taxable_Value(INR)</t>
  </si>
  <si>
    <t>Item_Taxable</t>
  </si>
  <si>
    <t>item value taxable</t>
  </si>
  <si>
    <t>Item Taxable Value*</t>
  </si>
  <si>
    <t>Item Taxable Value in Foreign Currency</t>
  </si>
  <si>
    <t>Item Taxable Value 1</t>
  </si>
  <si>
    <t>ITEM TAXABLE AMOUNT (Rs)</t>
  </si>
  <si>
    <t>Item Taxable Amount</t>
  </si>
  <si>
    <t>GST Base Value</t>
  </si>
  <si>
    <t>GST Base Amt</t>
  </si>
  <si>
    <t>GST Base Amount (Taxable Value)</t>
  </si>
  <si>
    <t>Gross Value</t>
  </si>
  <si>
    <t>Gross Amt.(Base Curry.)</t>
  </si>
  <si>
    <t>BasicAmount</t>
  </si>
  <si>
    <t>Basic\rAmount</t>
  </si>
  <si>
    <t>Basic Total</t>
  </si>
  <si>
    <t>Basic Amount-INR</t>
  </si>
  <si>
    <t>Basic Aamount</t>
  </si>
  <si>
    <t>Base Amt.</t>
  </si>
  <si>
    <t>Base Amount on which Tax would be applied</t>
  </si>
  <si>
    <t>Base Amount (INR)</t>
  </si>
  <si>
    <t>AssesseebleValue</t>
  </si>
  <si>
    <t>AssessableValue</t>
  </si>
  <si>
    <t>Assessable/ Taxable value (INR)</t>
  </si>
  <si>
    <t>ASSESSABLE_AMOUNT</t>
  </si>
  <si>
    <t>Assessable value in INR</t>
  </si>
  <si>
    <t>Amount(Excl Taxes)</t>
  </si>
  <si>
    <t>Amount of taxable value</t>
  </si>
  <si>
    <t>1. Taxable Value</t>
  </si>
  <si>
    <t>(37)Taxable value</t>
  </si>
  <si>
    <t>GST_rate</t>
  </si>
  <si>
    <t>GST Rate *</t>
  </si>
  <si>
    <t>GST_Rate</t>
  </si>
  <si>
    <t>GSTRate</t>
  </si>
  <si>
    <t>GST Rate (%) *</t>
  </si>
  <si>
    <t>GST Rate (%)</t>
  </si>
  <si>
    <t>Tax Rate</t>
  </si>
  <si>
    <t>TOTAL_GST_RATE</t>
  </si>
  <si>
    <t>TAXR</t>
  </si>
  <si>
    <t>Tax Rates</t>
  </si>
  <si>
    <t>ItemList_GSTRt</t>
  </si>
  <si>
    <t>Item GST Rate</t>
  </si>
  <si>
    <t>Tax%</t>
  </si>
  <si>
    <t>Tax %</t>
  </si>
  <si>
    <t>GSTRT</t>
  </si>
  <si>
    <t>GST Rate % *</t>
  </si>
  <si>
    <t>GST Rate *(Select from Drop down List)</t>
  </si>
  <si>
    <t>GST %</t>
  </si>
  <si>
    <t>Consolidated Tax</t>
  </si>
  <si>
    <t>Tax Rate(S+C+I+Cess)</t>
  </si>
  <si>
    <t>itemGSTRate</t>
  </si>
  <si>
    <t>IGST %</t>
  </si>
  <si>
    <t>Total Tax Rate</t>
  </si>
  <si>
    <t>Total GST Rate</t>
  </si>
  <si>
    <t>Indent Tax Rate</t>
  </si>
  <si>
    <t>GSTPER</t>
  </si>
  <si>
    <t>GST_rateRequired</t>
  </si>
  <si>
    <t>GST_Rate_Percent</t>
  </si>
  <si>
    <t>GST_rate Required</t>
  </si>
  <si>
    <t>GST rate*</t>
  </si>
  <si>
    <t>GST Rate(%)*</t>
  </si>
  <si>
    <t>GST in percentage</t>
  </si>
  <si>
    <t>GST % Rate</t>
  </si>
  <si>
    <t>GST (CGST+SGST)</t>
  </si>
  <si>
    <t>CGST_Amount</t>
  </si>
  <si>
    <t>CGST</t>
  </si>
  <si>
    <t>Central Tax</t>
  </si>
  <si>
    <t>CGST AMT</t>
  </si>
  <si>
    <t>Central Tax Paid</t>
  </si>
  <si>
    <t>Central Tax Amount</t>
  </si>
  <si>
    <t>Central Tax ()</t>
  </si>
  <si>
    <t>CGST_AMT</t>
  </si>
  <si>
    <t>CGSTAmt</t>
  </si>
  <si>
    <t>CGST Value</t>
  </si>
  <si>
    <t>CGST Tax Amount</t>
  </si>
  <si>
    <t>CGST Amt.</t>
  </si>
  <si>
    <t>Total CGST</t>
  </si>
  <si>
    <t>Cgst Amt (Rs)</t>
  </si>
  <si>
    <t>CGST (Amt)</t>
  </si>
  <si>
    <t>Sum of CGST</t>
  </si>
  <si>
    <t>CentralTax</t>
  </si>
  <si>
    <t>CGST (Amount)</t>
  </si>
  <si>
    <t>Central Tax()</t>
  </si>
  <si>
    <t>Sum of CGST (Amt)</t>
  </si>
  <si>
    <t>CGST Total</t>
  </si>
  <si>
    <t>CGST Tax</t>
  </si>
  <si>
    <t>CGST (INPUT)</t>
  </si>
  <si>
    <t>Central Tax Amt</t>
  </si>
  <si>
    <t>Amount of GST charged - CGST</t>
  </si>
  <si>
    <t>Sum of CGST Tax Amount</t>
  </si>
  <si>
    <t>CGT_TAX_AMOUNT</t>
  </si>
  <si>
    <t>CGST-Amt</t>
  </si>
  <si>
    <t>CGST Amount Total</t>
  </si>
  <si>
    <t>itemCGST</t>
  </si>
  <si>
    <t>CGST_Tax</t>
  </si>
  <si>
    <t>CGST Payable</t>
  </si>
  <si>
    <t>Central TaxAmount</t>
  </si>
  <si>
    <t>Central GST</t>
  </si>
  <si>
    <t>Invoice CGST</t>
  </si>
  <si>
    <t>CGSTValue</t>
  </si>
  <si>
    <t>cgst_amnt</t>
  </si>
  <si>
    <t>Cgst Amt Rs</t>
  </si>
  <si>
    <t>CGST Amount as per Invoice</t>
  </si>
  <si>
    <t>CENTRAL_TAX_PAID</t>
  </si>
  <si>
    <t>Central Tax (CGST)</t>
  </si>
  <si>
    <t>cent_tax_amt</t>
  </si>
  <si>
    <t>C-GST</t>
  </si>
  <si>
    <t>C G S T</t>
  </si>
  <si>
    <t>Amount of CGST charged</t>
  </si>
  <si>
    <t>AMOUNT OF CGST</t>
  </si>
  <si>
    <t>TOTAL TAX CGST</t>
  </si>
  <si>
    <t>Total CGST in INR</t>
  </si>
  <si>
    <t>Sum of CGST2</t>
  </si>
  <si>
    <t>CGSTRs</t>
  </si>
  <si>
    <t>CGST_Value</t>
  </si>
  <si>
    <t>CGST_TAX_AMOUNT</t>
  </si>
  <si>
    <t>CGST VALUE*</t>
  </si>
  <si>
    <t>CGST Value In INR</t>
  </si>
  <si>
    <t>CGST Tax Curr Amt</t>
  </si>
  <si>
    <t>CGST Grand Total</t>
  </si>
  <si>
    <t>CGST Availed</t>
  </si>
  <si>
    <t>Cgst Amt(Rs)</t>
  </si>
  <si>
    <t>CGST Amount (in INR)</t>
  </si>
  <si>
    <t>CGST Amnt</t>
  </si>
  <si>
    <t>CGST (S)</t>
  </si>
  <si>
    <t>TotalCGST</t>
  </si>
  <si>
    <t>TOTAL CGST AMOUNT</t>
  </si>
  <si>
    <t>Tax(CGST)</t>
  </si>
  <si>
    <t>Tax Amount CGST</t>
  </si>
  <si>
    <t>SumOfCGST</t>
  </si>
  <si>
    <t>Sum of CGST VALUE CR</t>
  </si>
  <si>
    <t>Sum of CGST TAX</t>
  </si>
  <si>
    <t>Sum of CGST Amount</t>
  </si>
  <si>
    <t>Sum of Central Tax</t>
  </si>
  <si>
    <t>Original CGST Tax Amt</t>
  </si>
  <si>
    <t>CGSTTax</t>
  </si>
  <si>
    <t>CGST Total Value</t>
  </si>
  <si>
    <t>CGST Total Amount</t>
  </si>
  <si>
    <t>CGST tax value</t>
  </si>
  <si>
    <t>CGST Tax Amt</t>
  </si>
  <si>
    <t>CGST Rs</t>
  </si>
  <si>
    <t>Cgst Amt(Rs) *</t>
  </si>
  <si>
    <t>CGST Amt.(Rs) (Product)</t>
  </si>
  <si>
    <t>CGST Amt (Rs.)</t>
  </si>
  <si>
    <t>CGst Amout</t>
  </si>
  <si>
    <t>CGST Amount()</t>
  </si>
  <si>
    <t>CGST Amount as per invoice*</t>
  </si>
  <si>
    <t>CGST Amount *</t>
  </si>
  <si>
    <t>CGST Amount (line Item wise)</t>
  </si>
  <si>
    <t>CGST Amount (As per GSTR ERP)</t>
  </si>
  <si>
    <t>CGST A/c.</t>
  </si>
  <si>
    <t>CGST (Tax amount)</t>
  </si>
  <si>
    <t>Amount of Central Tax</t>
  </si>
  <si>
    <t>Amount - Central Tax</t>
  </si>
  <si>
    <t>SGST_Amount</t>
  </si>
  <si>
    <t>SGST</t>
  </si>
  <si>
    <t>SGST/UTGST Amount</t>
  </si>
  <si>
    <t>SGST AMT</t>
  </si>
  <si>
    <t>State Tax</t>
  </si>
  <si>
    <t>State/UT Tax Paid</t>
  </si>
  <si>
    <t>State Tax Amount</t>
  </si>
  <si>
    <t>SGST_AMT</t>
  </si>
  <si>
    <t>State/UT tax ()</t>
  </si>
  <si>
    <t>SGSTAmt</t>
  </si>
  <si>
    <t>State/UT Tax</t>
  </si>
  <si>
    <t>SGST Value</t>
  </si>
  <si>
    <t>SGSTAmount</t>
  </si>
  <si>
    <t>SGST Tax Amount</t>
  </si>
  <si>
    <t>Total SGST</t>
  </si>
  <si>
    <t>SGST Amt.</t>
  </si>
  <si>
    <t>SGST/UTGST</t>
  </si>
  <si>
    <t>State / UT Tax</t>
  </si>
  <si>
    <t>SGST/UTGST (Amt)</t>
  </si>
  <si>
    <t>StateUTTaxAmount</t>
  </si>
  <si>
    <t>SGST/UGST</t>
  </si>
  <si>
    <t>SGST / UT GST Amount</t>
  </si>
  <si>
    <t>Sum of SGST</t>
  </si>
  <si>
    <t>State/UT Tax()</t>
  </si>
  <si>
    <t>State/UT Tax Amount</t>
  </si>
  <si>
    <t>SGST (Amount)</t>
  </si>
  <si>
    <t>State/ UT tax ()</t>
  </si>
  <si>
    <t>SGST/UTGST Amt</t>
  </si>
  <si>
    <t>Sum of SGST/ UTGST (Amt)</t>
  </si>
  <si>
    <t>SGST/UTGST Amount Total</t>
  </si>
  <si>
    <t>SGST PAID</t>
  </si>
  <si>
    <t>State Tax Amt</t>
  </si>
  <si>
    <t>SGST/UTGST Tax Amount</t>
  </si>
  <si>
    <t>SGST Total</t>
  </si>
  <si>
    <t>SGST Tax</t>
  </si>
  <si>
    <t>Amount of GST charged - SGST/UGST</t>
  </si>
  <si>
    <t>Sum of SGST Tax Amount</t>
  </si>
  <si>
    <t>State GST</t>
  </si>
  <si>
    <t>State / UT Tax Paid</t>
  </si>
  <si>
    <t>SGT_TAX_AMOUNT</t>
  </si>
  <si>
    <t>SGSTUGST</t>
  </si>
  <si>
    <t>SGST(Cr)</t>
  </si>
  <si>
    <t>SGST-Amt</t>
  </si>
  <si>
    <t>SGST Rs.</t>
  </si>
  <si>
    <t>StateUT TaxAmount</t>
  </si>
  <si>
    <t>State TaxAmount</t>
  </si>
  <si>
    <t>State Tax/Union Territory Tax</t>
  </si>
  <si>
    <t>State Tax Paid</t>
  </si>
  <si>
    <t>SGST/UTGSTAmount</t>
  </si>
  <si>
    <t>SGST/UGST Amount</t>
  </si>
  <si>
    <t>SGST.AMT</t>
  </si>
  <si>
    <t>SGST_Tax</t>
  </si>
  <si>
    <t>SGST /UGST Amount</t>
  </si>
  <si>
    <t>SGST / UTGST AMOUNT</t>
  </si>
  <si>
    <t>itemSGST</t>
  </si>
  <si>
    <t>Item SGST Amount</t>
  </si>
  <si>
    <t>Tax amount INR SGST</t>
  </si>
  <si>
    <t>STATE_UT_TAX_PAID</t>
  </si>
  <si>
    <t>State Tax (SGST)</t>
  </si>
  <si>
    <t>STATE OR UT TAX</t>
  </si>
  <si>
    <t>SGSTValue</t>
  </si>
  <si>
    <t>SGST/UT GST AMOUNT</t>
  </si>
  <si>
    <t>sgst_amnt</t>
  </si>
  <si>
    <t>SGST Rs</t>
  </si>
  <si>
    <t>Sgst Amt*</t>
  </si>
  <si>
    <t>Sgst Amt Rs</t>
  </si>
  <si>
    <t>Sgst Amt (Rs)</t>
  </si>
  <si>
    <t>SGST Amount as per Invoice</t>
  </si>
  <si>
    <t>Invoice SGST/UTGST</t>
  </si>
  <si>
    <t>Total SGST in INR</t>
  </si>
  <si>
    <t>Sum of SGST2</t>
  </si>
  <si>
    <t>State/UT Tax (Rs.)</t>
  </si>
  <si>
    <t>SGST/ UTGST (Amt)</t>
  </si>
  <si>
    <t>SGST/ UTGST</t>
  </si>
  <si>
    <t>SGST_TAX_AMOUNT</t>
  </si>
  <si>
    <t>SGST VALUE*</t>
  </si>
  <si>
    <t>SGST Value In INR</t>
  </si>
  <si>
    <t>SGST Tax Curr Amt</t>
  </si>
  <si>
    <t>SGST Grand Total</t>
  </si>
  <si>
    <t>SGST Amount (in INR)</t>
  </si>
  <si>
    <t>SGST Amnt</t>
  </si>
  <si>
    <t>SGST / UTGST</t>
  </si>
  <si>
    <t>SGST / UGST</t>
  </si>
  <si>
    <t>SGST *</t>
  </si>
  <si>
    <t>Tax(SGST)</t>
  </si>
  <si>
    <t>Tax Amount SGST</t>
  </si>
  <si>
    <t>SumOfSGST</t>
  </si>
  <si>
    <t>Sum of Sum of SGST (INR)</t>
  </si>
  <si>
    <t>Sum of SGST TAX</t>
  </si>
  <si>
    <t>Sum of SGST Amount</t>
  </si>
  <si>
    <t>StateTax Amount</t>
  </si>
  <si>
    <t>State/UT Tax ( )</t>
  </si>
  <si>
    <t>State/ UT Tax Amount</t>
  </si>
  <si>
    <t>State_Ut</t>
  </si>
  <si>
    <t>State UT Tax Amount</t>
  </si>
  <si>
    <t>State Tax Amunt</t>
  </si>
  <si>
    <t>State Tax AMONT</t>
  </si>
  <si>
    <t>State tax / Union Territory tax</t>
  </si>
  <si>
    <t>SGSTTax</t>
  </si>
  <si>
    <t>SGSTRs</t>
  </si>
  <si>
    <t>SGST\rAmount</t>
  </si>
  <si>
    <t>SGST\\Amount</t>
  </si>
  <si>
    <t>SGST/UTGST RATE</t>
  </si>
  <si>
    <t>SGST/UTGST AMTAmt</t>
  </si>
  <si>
    <t>SGST/UTGST Amount *</t>
  </si>
  <si>
    <t>SGST/UGST \rAmount</t>
  </si>
  <si>
    <t>SGST/ UTGST(Amt)</t>
  </si>
  <si>
    <t>SGST(Amt)</t>
  </si>
  <si>
    <t>SGST(amount)</t>
  </si>
  <si>
    <t>SGST..</t>
  </si>
  <si>
    <t>SGST-Amount</t>
  </si>
  <si>
    <t>SGST_VALUE1</t>
  </si>
  <si>
    <t>SGST_Value</t>
  </si>
  <si>
    <t>SGST_UTGSTAMT</t>
  </si>
  <si>
    <t>SGST_UTGST_AMT</t>
  </si>
  <si>
    <t>Sgst_Amt_Rs</t>
  </si>
  <si>
    <t>SGST VALUE CR</t>
  </si>
  <si>
    <t>SGST UTGST Amount</t>
  </si>
  <si>
    <t>SGST Total Amount</t>
  </si>
  <si>
    <t>SGST tax value</t>
  </si>
  <si>
    <t>SGST AS PER INVOICE</t>
  </si>
  <si>
    <t>Sgst Amt(Rs) *</t>
  </si>
  <si>
    <t>SGST Amt.(Rs) (Product)</t>
  </si>
  <si>
    <t>SGST Amt (Rs.)</t>
  </si>
  <si>
    <t>SGST Amount(line item wise)</t>
  </si>
  <si>
    <t>SGST Amount()</t>
  </si>
  <si>
    <t>SGST Amount as per invoice*</t>
  </si>
  <si>
    <t>SGST Amount (As per GSTR ERP)</t>
  </si>
  <si>
    <t>SGST Amoun</t>
  </si>
  <si>
    <t>SGST A/c.</t>
  </si>
  <si>
    <t>SGST /UTGST Amount</t>
  </si>
  <si>
    <t>SGST (Tax amount)</t>
  </si>
  <si>
    <t>Amount of State Tax</t>
  </si>
  <si>
    <t>Amount - State/UT Tax</t>
  </si>
  <si>
    <t>IGST_Amount</t>
  </si>
  <si>
    <t>IGST</t>
  </si>
  <si>
    <t>Integrated Tax</t>
  </si>
  <si>
    <t>IGST AMT</t>
  </si>
  <si>
    <t>Integrated Tax Paid</t>
  </si>
  <si>
    <t>Integrated Tax Amount</t>
  </si>
  <si>
    <t>Integrated Tax ()</t>
  </si>
  <si>
    <t>IGST_AMT</t>
  </si>
  <si>
    <t>IGSTAmt</t>
  </si>
  <si>
    <t>IGST Value</t>
  </si>
  <si>
    <t>IGSTAmount</t>
  </si>
  <si>
    <t>IGST Tax Amount</t>
  </si>
  <si>
    <t>TOTAL IGST</t>
  </si>
  <si>
    <t>IGST Amt.</t>
  </si>
  <si>
    <t>Igst Amt (Rs)</t>
  </si>
  <si>
    <t>IGST (Amt)</t>
  </si>
  <si>
    <t>IntegratedTaxAmount</t>
  </si>
  <si>
    <t>Sum of IGST</t>
  </si>
  <si>
    <t>Integrated Tax()</t>
  </si>
  <si>
    <t>IGST (Amount)</t>
  </si>
  <si>
    <t>Integrated Tax Amt</t>
  </si>
  <si>
    <t>Sum of IGST (Amt)</t>
  </si>
  <si>
    <t>IGST Tax</t>
  </si>
  <si>
    <t>IGST Amont</t>
  </si>
  <si>
    <t>Amount of GST charged - IGST</t>
  </si>
  <si>
    <t>Sum of IGST Tax Amount</t>
  </si>
  <si>
    <t>IGST Total</t>
  </si>
  <si>
    <t>IGST Rs.</t>
  </si>
  <si>
    <t>ItemList_IgstAmt</t>
  </si>
  <si>
    <t>IGST_Tax</t>
  </si>
  <si>
    <t>Tax amount INR IGST</t>
  </si>
  <si>
    <t>Sum of IGST2</t>
  </si>
  <si>
    <t>Invoice IGST</t>
  </si>
  <si>
    <t>Integrated taxAmount</t>
  </si>
  <si>
    <t>Integrated Tax (IGST)</t>
  </si>
  <si>
    <t>IGSTValue</t>
  </si>
  <si>
    <t>IGST.AMT</t>
  </si>
  <si>
    <t>igst_amnt</t>
  </si>
  <si>
    <t>Igst Amt*</t>
  </si>
  <si>
    <t>Igst Amt Rs</t>
  </si>
  <si>
    <t>IGST Amount as per Invoice</t>
  </si>
  <si>
    <t>Amount of IGST charged</t>
  </si>
  <si>
    <t>AMOUNT OF IGST</t>
  </si>
  <si>
    <t>Total IGST in INR</t>
  </si>
  <si>
    <t>Interstate GST</t>
  </si>
  <si>
    <t>Intergrated Tax</t>
  </si>
  <si>
    <t>Inter State IGST Tax Amt.</t>
  </si>
  <si>
    <t>Integrated Tax (Rs.)</t>
  </si>
  <si>
    <t>IGST_TAX_AMOUNT</t>
  </si>
  <si>
    <t>IGST Value In INR</t>
  </si>
  <si>
    <t>IGST tax value</t>
  </si>
  <si>
    <t>IGST Availed</t>
  </si>
  <si>
    <t>Igst Amt(Rs)</t>
  </si>
  <si>
    <t>IGST Amount Total</t>
  </si>
  <si>
    <t>IGST Amount (in INR)</t>
  </si>
  <si>
    <t>IGST Amnt</t>
  </si>
  <si>
    <t>IGST *</t>
  </si>
  <si>
    <t>IGST _AMOUNT</t>
  </si>
  <si>
    <t>TOTAL TAX IGST</t>
  </si>
  <si>
    <t>TOTAL IGST AMOUNT</t>
  </si>
  <si>
    <t>Tax Amount IGST</t>
  </si>
  <si>
    <t>SumOfIGST</t>
  </si>
  <si>
    <t>Sum of Integrated Tax</t>
  </si>
  <si>
    <t>Sum of IGST TAX</t>
  </si>
  <si>
    <t>Sum of IGST Amount</t>
  </si>
  <si>
    <t>IntegratedTax Amount</t>
  </si>
  <si>
    <t>Integrated_tax</t>
  </si>
  <si>
    <t>Integrated GST</t>
  </si>
  <si>
    <t>IGSTTax</t>
  </si>
  <si>
    <t>IGST(AMT)</t>
  </si>
  <si>
    <t>IGST(amount)</t>
  </si>
  <si>
    <t>IGST-Amount</t>
  </si>
  <si>
    <t>IGST_Value</t>
  </si>
  <si>
    <t>IGST_TAX_AMT</t>
  </si>
  <si>
    <t>Igst_Amt_Rs</t>
  </si>
  <si>
    <t>IGST VALUE*</t>
  </si>
  <si>
    <t>IGST Total Value</t>
  </si>
  <si>
    <t>IGST Total Amount</t>
  </si>
  <si>
    <t>IGST Tax Amt</t>
  </si>
  <si>
    <t>IGST Rs</t>
  </si>
  <si>
    <t>IGST AS PER INVOICE</t>
  </si>
  <si>
    <t>Igst Amt(Rs) *</t>
  </si>
  <si>
    <t>IGST Amt( Rs.)</t>
  </si>
  <si>
    <t>IGST Amt.(Rs) (Product)</t>
  </si>
  <si>
    <t>IGST amt in INR(numeric with 2 decimals)</t>
  </si>
  <si>
    <t>IGST amountAmt</t>
  </si>
  <si>
    <t>IGST Amount()</t>
  </si>
  <si>
    <t>IGST Amount as per invoice*</t>
  </si>
  <si>
    <t>IGST Amount *</t>
  </si>
  <si>
    <t>IGST Amount (Optional if applicable-Line item wise)</t>
  </si>
  <si>
    <t>IGST Amount (As per GSTR ERP)</t>
  </si>
  <si>
    <t>IGST A/c.</t>
  </si>
  <si>
    <t>IGST (Tax amount)</t>
  </si>
  <si>
    <t>IGST -Basic Amount</t>
  </si>
  <si>
    <t>Amount of Integrated Tax</t>
  </si>
  <si>
    <t>SGST_Rate</t>
  </si>
  <si>
    <t>SGST rate</t>
  </si>
  <si>
    <t>SGST %</t>
  </si>
  <si>
    <t>SGST%</t>
  </si>
  <si>
    <t>SGST Tax Rate</t>
  </si>
  <si>
    <t>SGSTRT</t>
  </si>
  <si>
    <t>SGSTRate</t>
  </si>
  <si>
    <t>SGST/UTGST (Rate)</t>
  </si>
  <si>
    <t>STATEUTTAXRATE</t>
  </si>
  <si>
    <t>SGST / UT Rate</t>
  </si>
  <si>
    <t>SGST RATE %</t>
  </si>
  <si>
    <t>SRATE</t>
  </si>
  <si>
    <t>Rate of SGST</t>
  </si>
  <si>
    <t>sgst_per</t>
  </si>
  <si>
    <t>SGST/UGST %</t>
  </si>
  <si>
    <t>SGST/UTGST Tax Rate</t>
  </si>
  <si>
    <t>SGST R</t>
  </si>
  <si>
    <t>SGST / UTGST RATE</t>
  </si>
  <si>
    <t>Sgst</t>
  </si>
  <si>
    <t>SGST(%)</t>
  </si>
  <si>
    <t>SGSTPer</t>
  </si>
  <si>
    <t>SGST/UT RATE</t>
  </si>
  <si>
    <t>SGST_Input</t>
  </si>
  <si>
    <t>SGST Rate%</t>
  </si>
  <si>
    <t>Item SGST Rate %</t>
  </si>
  <si>
    <t>HGST Rate</t>
  </si>
  <si>
    <t>Tax Rate SGST</t>
  </si>
  <si>
    <t>State GST rate</t>
  </si>
  <si>
    <t>State / UT Tax rate</t>
  </si>
  <si>
    <t>SR</t>
  </si>
  <si>
    <t>SGST/ UTGST (Rate)</t>
  </si>
  <si>
    <t>SGST_rate_Per</t>
  </si>
  <si>
    <t>SGST Rt</t>
  </si>
  <si>
    <t>SGST RATE*</t>
  </si>
  <si>
    <t>SGST PERCENTAGE</t>
  </si>
  <si>
    <t>SGST % (Setoff)</t>
  </si>
  <si>
    <t>S RATE</t>
  </si>
  <si>
    <t>IT_SGST Rate</t>
  </si>
  <si>
    <t>CGST %</t>
  </si>
  <si>
    <t>UTGST percentage</t>
  </si>
  <si>
    <t>UGST@</t>
  </si>
  <si>
    <t>TP_SGST - I/T A/c</t>
  </si>
  <si>
    <t>SUGST_TAX_PERC_CLRTX</t>
  </si>
  <si>
    <t>StateUT TaxRate</t>
  </si>
  <si>
    <t>State/UT Tax rate</t>
  </si>
  <si>
    <t>State UT Tax Rate</t>
  </si>
  <si>
    <t>State Tax Rate</t>
  </si>
  <si>
    <t>State GST(Rate)</t>
  </si>
  <si>
    <t>SGT_TAX_RATE</t>
  </si>
  <si>
    <t>SGST/UTGST RateRate</t>
  </si>
  <si>
    <t>SGST/UTGST %</t>
  </si>
  <si>
    <t>SGST/UIGST(RATE)</t>
  </si>
  <si>
    <t>SGST/UGST rate</t>
  </si>
  <si>
    <t>SGST/UGST \rRate</t>
  </si>
  <si>
    <t>SGST/ UTGST(Rate)</t>
  </si>
  <si>
    <t>SGST-Rate</t>
  </si>
  <si>
    <t>SGST_TAX_RATE</t>
  </si>
  <si>
    <t>sgst_pc</t>
  </si>
  <si>
    <t>SGST TaxRate</t>
  </si>
  <si>
    <t>SGST TAX%</t>
  </si>
  <si>
    <t>SGST TAX SLAB</t>
  </si>
  <si>
    <t>SGST Tax %</t>
  </si>
  <si>
    <t>SGST Rate(%)</t>
  </si>
  <si>
    <t>SGST RATE OF TAX</t>
  </si>
  <si>
    <t>SGST Rate in %</t>
  </si>
  <si>
    <t>SGST Rate (%)</t>
  </si>
  <si>
    <t>SGST R %</t>
  </si>
  <si>
    <t>SGST or UTGST Tax Rate</t>
  </si>
  <si>
    <t>SGST %age</t>
  </si>
  <si>
    <t>SGST % Rate</t>
  </si>
  <si>
    <t>S%</t>
  </si>
  <si>
    <t>S r</t>
  </si>
  <si>
    <t>Rate4</t>
  </si>
  <si>
    <t>Rate_State</t>
  </si>
  <si>
    <t>rate sgst</t>
  </si>
  <si>
    <t>Rate of Tax SGST</t>
  </si>
  <si>
    <t>Rate of CGST(%)</t>
  </si>
  <si>
    <t>Rate cgst</t>
  </si>
  <si>
    <t>Marg SGST rate</t>
  </si>
  <si>
    <t>ItemSGSTRate</t>
  </si>
  <si>
    <t>%-SGST</t>
  </si>
  <si>
    <t>% S</t>
  </si>
  <si>
    <t>(S)RATE</t>
  </si>
  <si>
    <t>(43)SGST/UTGST Rate</t>
  </si>
  <si>
    <t>CGST_Rate</t>
  </si>
  <si>
    <t>CGST%</t>
  </si>
  <si>
    <t>CGST Tax Rate</t>
  </si>
  <si>
    <t>CGSTRT</t>
  </si>
  <si>
    <t>CGST (Rate)</t>
  </si>
  <si>
    <t>CGSTRate</t>
  </si>
  <si>
    <t>CENTRALTAXRATE</t>
  </si>
  <si>
    <t>CSGT %</t>
  </si>
  <si>
    <t>CGST RATE %</t>
  </si>
  <si>
    <t>Rate of CGST</t>
  </si>
  <si>
    <t>CRATE</t>
  </si>
  <si>
    <t>cgst_per</t>
  </si>
  <si>
    <t>CGST R</t>
  </si>
  <si>
    <t>Central Tax Rate</t>
  </si>
  <si>
    <t>CSGT rate</t>
  </si>
  <si>
    <t>CGST(%)</t>
  </si>
  <si>
    <t>CGSTPer</t>
  </si>
  <si>
    <t>CGST Rate%</t>
  </si>
  <si>
    <t>CGST PERCENTAGE</t>
  </si>
  <si>
    <t>C RATE</t>
  </si>
  <si>
    <t>Tax Rate CGST</t>
  </si>
  <si>
    <t>IT_CGST Rate</t>
  </si>
  <si>
    <t>CR</t>
  </si>
  <si>
    <t>CGST(Rate)</t>
  </si>
  <si>
    <t>CGST_rate_Per</t>
  </si>
  <si>
    <t>CGST Rt</t>
  </si>
  <si>
    <t>CGST RATE*</t>
  </si>
  <si>
    <t>CGST % (Setoff)</t>
  </si>
  <si>
    <t>Centtaxrate</t>
  </si>
  <si>
    <t>Central GST rate</t>
  </si>
  <si>
    <t>Rate_Centr</t>
  </si>
  <si>
    <t>Rate of Tax CGST</t>
  </si>
  <si>
    <t>Rate of SGST/UTGST(%)</t>
  </si>
  <si>
    <t>Marg CGST rate</t>
  </si>
  <si>
    <t>ItemCGSTRate</t>
  </si>
  <si>
    <t>Input CGST - SMC Rate</t>
  </si>
  <si>
    <t>CGT_TAX_RATE</t>
  </si>
  <si>
    <t>CGST1_TAX_PERC</t>
  </si>
  <si>
    <t>CGST@</t>
  </si>
  <si>
    <t>CGST-Rate</t>
  </si>
  <si>
    <t>CGST_TAX_RATE</t>
  </si>
  <si>
    <t>cgst_pc</t>
  </si>
  <si>
    <t>CGST TaxRate</t>
  </si>
  <si>
    <t>CGST TAX%</t>
  </si>
  <si>
    <t>CGST TAX SLAB</t>
  </si>
  <si>
    <t>CGST Tax %</t>
  </si>
  <si>
    <t>CGST RATERate</t>
  </si>
  <si>
    <t>CGST Rate(%)</t>
  </si>
  <si>
    <t>CGST RATE OF TAX</t>
  </si>
  <si>
    <t>CGST Rate in %</t>
  </si>
  <si>
    <t>CGST Rate (%)</t>
  </si>
  <si>
    <t>CGST R %</t>
  </si>
  <si>
    <t>CGST %age</t>
  </si>
  <si>
    <t>CGST % Rate</t>
  </si>
  <si>
    <t>CGST \rRate</t>
  </si>
  <si>
    <t>CGST (9%)</t>
  </si>
  <si>
    <t>Central GST(Rate)</t>
  </si>
  <si>
    <t>C%</t>
  </si>
  <si>
    <t>c r</t>
  </si>
  <si>
    <t>%-CGST</t>
  </si>
  <si>
    <t>% C</t>
  </si>
  <si>
    <t>(C)RATE</t>
  </si>
  <si>
    <t>(41)CGST Rate</t>
  </si>
  <si>
    <t>IGST_Rate</t>
  </si>
  <si>
    <t>IGST%</t>
  </si>
  <si>
    <t>IGSTRT</t>
  </si>
  <si>
    <t>IGST (Rate)</t>
  </si>
  <si>
    <t>IGST Tax Rate</t>
  </si>
  <si>
    <t>IGSTRate</t>
  </si>
  <si>
    <t>INTEGRATEDTAXRATE</t>
  </si>
  <si>
    <t>IGST Rate %</t>
  </si>
  <si>
    <t>Rate of IGST</t>
  </si>
  <si>
    <t>IRATE</t>
  </si>
  <si>
    <t>IGST%`</t>
  </si>
  <si>
    <t>igst_per</t>
  </si>
  <si>
    <t>Integrated Tax Rate</t>
  </si>
  <si>
    <t>IGST R</t>
  </si>
  <si>
    <t>IGST(%)</t>
  </si>
  <si>
    <t>IGST _Rate</t>
  </si>
  <si>
    <t>Item IGST Rate %</t>
  </si>
  <si>
    <t>IIR</t>
  </si>
  <si>
    <t>IGSTTax Rate</t>
  </si>
  <si>
    <t>IGST Rate%</t>
  </si>
  <si>
    <t>IGST PERCENTAGE</t>
  </si>
  <si>
    <t>I RATE</t>
  </si>
  <si>
    <t>Tax Rate IGST</t>
  </si>
  <si>
    <t>IT_IGST Rate</t>
  </si>
  <si>
    <t>IR</t>
  </si>
  <si>
    <t>Intetaxrate</t>
  </si>
  <si>
    <t>Int GST rate</t>
  </si>
  <si>
    <t>IGST(Rate)</t>
  </si>
  <si>
    <t>IGST_rate_Per</t>
  </si>
  <si>
    <t>IGST Rt</t>
  </si>
  <si>
    <t>IGST Amt</t>
  </si>
  <si>
    <t>IGST % (Setoff)</t>
  </si>
  <si>
    <t>TRANS_IGST_RATE</t>
  </si>
  <si>
    <t>TAX IGST</t>
  </si>
  <si>
    <t>Rate of Tax IGST</t>
  </si>
  <si>
    <t>RATE OF TAX</t>
  </si>
  <si>
    <t>Rate of IGST(%)</t>
  </si>
  <si>
    <t>ItemIGSTRate</t>
  </si>
  <si>
    <t>Int_Tax_Ra</t>
  </si>
  <si>
    <t>Int GST(Rate)</t>
  </si>
  <si>
    <t>IGT_TAX_RATE</t>
  </si>
  <si>
    <t>IGSTPer</t>
  </si>
  <si>
    <t>IGST@</t>
  </si>
  <si>
    <t>IGST-Rate</t>
  </si>
  <si>
    <t>IGST_TAX_RATE</t>
  </si>
  <si>
    <t>IGST_TAX_PERC</t>
  </si>
  <si>
    <t>igst_pc</t>
  </si>
  <si>
    <t>IGST TaxRate</t>
  </si>
  <si>
    <t>IGST TAX%</t>
  </si>
  <si>
    <t>IGST TAX SLAB</t>
  </si>
  <si>
    <t>IGST Tax %</t>
  </si>
  <si>
    <t>IGST RECOVERY - KARNATAKA</t>
  </si>
  <si>
    <t>IGST rateRate</t>
  </si>
  <si>
    <t>IGST RATE*</t>
  </si>
  <si>
    <t>IGST Rate(%)</t>
  </si>
  <si>
    <t>IGST Rate in %</t>
  </si>
  <si>
    <t>IGST Rate (%)</t>
  </si>
  <si>
    <t>IGST R %</t>
  </si>
  <si>
    <t>IGST Per</t>
  </si>
  <si>
    <t>IGST 18%</t>
  </si>
  <si>
    <t>IGST %age</t>
  </si>
  <si>
    <t>IGST % Rate</t>
  </si>
  <si>
    <t>IGST \rRate</t>
  </si>
  <si>
    <t>I%</t>
  </si>
  <si>
    <t>%-IGST</t>
  </si>
  <si>
    <t>% I</t>
  </si>
  <si>
    <t>(I)RATE</t>
  </si>
  <si>
    <t>(39)IGST Rate</t>
  </si>
  <si>
    <t>CESS_Amount</t>
  </si>
  <si>
    <t>Cess</t>
  </si>
  <si>
    <t>Cess Amount</t>
  </si>
  <si>
    <t>Comp Cess Amount Ad Valorem</t>
  </si>
  <si>
    <t>CESS AMT</t>
  </si>
  <si>
    <t>Cess ()</t>
  </si>
  <si>
    <t>Cess Paid</t>
  </si>
  <si>
    <t>Cess Amt.</t>
  </si>
  <si>
    <t>Cess Amt Adval (Rs)</t>
  </si>
  <si>
    <t>CessAmt</t>
  </si>
  <si>
    <t>Cess(Amount)</t>
  </si>
  <si>
    <t>Cess (Amount)</t>
  </si>
  <si>
    <t>Comp. Cess</t>
  </si>
  <si>
    <t>Comp Cess Amount Total</t>
  </si>
  <si>
    <t>CessAmount</t>
  </si>
  <si>
    <t>Cess()</t>
  </si>
  <si>
    <t>CESS_TAX_AMOUNT</t>
  </si>
  <si>
    <t>Cess Value</t>
  </si>
  <si>
    <t>ItemList_CesAmt</t>
  </si>
  <si>
    <t>Comp Cess Rate Ad Valorem</t>
  </si>
  <si>
    <t>CessSpecificAmount</t>
  </si>
  <si>
    <t>CESSAMOUNTADVALOREM</t>
  </si>
  <si>
    <t>CESS_AMT</t>
  </si>
  <si>
    <t>CESS Rs.</t>
  </si>
  <si>
    <t>Total Cess</t>
  </si>
  <si>
    <t>GST Compensation Cess Amount</t>
  </si>
  <si>
    <t>Comp cess amt</t>
  </si>
  <si>
    <t>Comp Cess Amount Non Ad Valorem</t>
  </si>
  <si>
    <t>Comp Cess Amount</t>
  </si>
  <si>
    <t>CessTax</t>
  </si>
  <si>
    <t>CESS RECEIVABLE</t>
  </si>
  <si>
    <t>Cess Amt Adval Rs</t>
  </si>
  <si>
    <t>Sum of Cess</t>
  </si>
  <si>
    <t>Other GST</t>
  </si>
  <si>
    <t>Kerala Cess</t>
  </si>
  <si>
    <t>Item CESS Amount</t>
  </si>
  <si>
    <t>ICSA</t>
  </si>
  <si>
    <t>GST Cess</t>
  </si>
  <si>
    <t>CompCessAmount</t>
  </si>
  <si>
    <t>Coal CESS Value In INR</t>
  </si>
  <si>
    <t>cessval</t>
  </si>
  <si>
    <t>Cessamtadval</t>
  </si>
  <si>
    <t>CESS_ADVAL_AMT</t>
  </si>
  <si>
    <t>Cess Tax Amount</t>
  </si>
  <si>
    <t>CESS Amount as per Invoice</t>
  </si>
  <si>
    <t>Cess (Rs.)</t>
  </si>
  <si>
    <t>Cess (Respective Expense GL)</t>
  </si>
  <si>
    <t>CESAMT</t>
  </si>
  <si>
    <t>Transaction.Cess</t>
  </si>
  <si>
    <t>SumOfCess</t>
  </si>
  <si>
    <t>Secess</t>
  </si>
  <si>
    <t>PB COMP C</t>
  </si>
  <si>
    <t>Mention CESS Tax Amount</t>
  </si>
  <si>
    <t>ITTCS</t>
  </si>
  <si>
    <t>ICESS</t>
  </si>
  <si>
    <t>GSTCessAmount</t>
  </si>
  <si>
    <t>Gstcess</t>
  </si>
  <si>
    <t>Eligible Cess Amount</t>
  </si>
  <si>
    <t>Csamt</t>
  </si>
  <si>
    <t>Compenstation Cess</t>
  </si>
  <si>
    <t>Compensation CessAmount</t>
  </si>
  <si>
    <t>Compensation Cess\rAmount</t>
  </si>
  <si>
    <t>COMP_CESS_AMT_AD_VALOREM</t>
  </si>
  <si>
    <t>Comp Cess Rate</t>
  </si>
  <si>
    <t>Comp Cess AmountNon AdValorem</t>
  </si>
  <si>
    <t>CESSGST Amount</t>
  </si>
  <si>
    <t>Cess(GST)</t>
  </si>
  <si>
    <t>CESS(FCY)</t>
  </si>
  <si>
    <t>CESS-12%</t>
  </si>
  <si>
    <t>CESS_RATE</t>
  </si>
  <si>
    <t>Cess_Amt_Adval_Rs</t>
  </si>
  <si>
    <t>cess_amnt</t>
  </si>
  <si>
    <t>CESS Total</t>
  </si>
  <si>
    <t>Cess Taxable</t>
  </si>
  <si>
    <t>Cess Per Pcs.</t>
  </si>
  <si>
    <t>CESS BK</t>
  </si>
  <si>
    <t>Cess Amt*</t>
  </si>
  <si>
    <t>CESS Amt. Adval(Rs) (Product)</t>
  </si>
  <si>
    <t>Cess amt in INR(numeric with 2 decimals)</t>
  </si>
  <si>
    <t>Cess Amt Adval (Rs) *</t>
  </si>
  <si>
    <t>Cess Amt Adval</t>
  </si>
  <si>
    <t>Cess amountAmount</t>
  </si>
  <si>
    <t>CESS Amount(Cess_Non_Ad_Valorem)</t>
  </si>
  <si>
    <t>CESS Amount as per invoice*</t>
  </si>
  <si>
    <t>Cess Amount Advalorem</t>
  </si>
  <si>
    <t>CESS Amount (As per GSTR ERP)</t>
  </si>
  <si>
    <t>Cess adval amt</t>
  </si>
  <si>
    <t>Cess (Rate)</t>
  </si>
  <si>
    <t>Cess (GST)</t>
  </si>
  <si>
    <t>CESS ( )</t>
  </si>
  <si>
    <t>CCESS_TAX_AMT</t>
  </si>
  <si>
    <t>Ccess</t>
  </si>
  <si>
    <t>CCAmount</t>
  </si>
  <si>
    <t>CC\rAmount</t>
  </si>
  <si>
    <t>AVAILED_CESS</t>
  </si>
  <si>
    <t>Amount of Comensation Cess</t>
  </si>
  <si>
    <t>Amount of Cess</t>
  </si>
  <si>
    <t>Additional Cess</t>
  </si>
  <si>
    <t>(46)CESS Amt</t>
  </si>
  <si>
    <t>CESS_Rate</t>
  </si>
  <si>
    <t>CESS %</t>
  </si>
  <si>
    <t>Cess(Rate)</t>
  </si>
  <si>
    <t>CESSRATEADVALOREM</t>
  </si>
  <si>
    <t>GST Compensation Cess Rate</t>
  </si>
  <si>
    <t>CessRate</t>
  </si>
  <si>
    <t>CESS Tax Rate</t>
  </si>
  <si>
    <t>CESS Rate %</t>
  </si>
  <si>
    <t>Cessrateadval</t>
  </si>
  <si>
    <t>Rate of Compensation Cess</t>
  </si>
  <si>
    <t>Rate of Cess(%)</t>
  </si>
  <si>
    <t>GSTCessRate</t>
  </si>
  <si>
    <t>CESS_TAX_RATE</t>
  </si>
  <si>
    <t>CESS_PER</t>
  </si>
  <si>
    <t>Cess Rt</t>
  </si>
  <si>
    <t>Cess RATERate</t>
  </si>
  <si>
    <t>Cess Rate(%)</t>
  </si>
  <si>
    <t>Cess Rate Advalorem</t>
  </si>
  <si>
    <t>CESS Amt</t>
  </si>
  <si>
    <t>CCESS_TAX_PERC</t>
  </si>
  <si>
    <t>(45)CESS Rate</t>
  </si>
  <si>
    <t>Is this a Nil Rated/Exempt/NonGST?</t>
  </si>
  <si>
    <t>Exempted/NilRated/No</t>
  </si>
  <si>
    <t>supply type</t>
  </si>
  <si>
    <t>Is This NIL rated/Exempt?non GST Item</t>
  </si>
  <si>
    <t>Non GST</t>
  </si>
  <si>
    <t>Nil Rated/Exempt/NonGST</t>
  </si>
  <si>
    <t>Exempted/Nil rated /Non Gst</t>
  </si>
  <si>
    <t>SUPPLYTYPE</t>
  </si>
  <si>
    <t>Nil Rated/Non GST/ Exempt</t>
  </si>
  <si>
    <t>Exempt</t>
  </si>
  <si>
    <t>Type Of Supply</t>
  </si>
  <si>
    <t>Taxability</t>
  </si>
  <si>
    <t>NonGST/Exempt/Nil Rated</t>
  </si>
  <si>
    <t>Nil Rated/Non GST/Exempt?</t>
  </si>
  <si>
    <t>Nil rated/Exempt/ Non GST</t>
  </si>
  <si>
    <t>IS_NIL_RATED</t>
  </si>
  <si>
    <t>IS THIS NIL RATED/ EXEMPT/ NON GST</t>
  </si>
  <si>
    <t>Exempt/Non GST</t>
  </si>
  <si>
    <t>Supply Nil Rate/ Exempted/NON GST</t>
  </si>
  <si>
    <t>NON GST /Exempted</t>
  </si>
  <si>
    <t>Nil/Exempt/Non-GST</t>
  </si>
  <si>
    <t>Nil rated/Non GST/Exempt</t>
  </si>
  <si>
    <t>NIL RATED/EXEMPTED/NONGST</t>
  </si>
  <si>
    <t>Nil Rated/Exempted/Non GST Items</t>
  </si>
  <si>
    <t>Nil Rated/Exempted/Non GST</t>
  </si>
  <si>
    <t>Nil Rated/Exempt/Non GST?</t>
  </si>
  <si>
    <t>Nil Rated/Exempt/Non GST</t>
  </si>
  <si>
    <t>Nil Rated/Exempt/NoGST</t>
  </si>
  <si>
    <t>Nil Rated/ Exempt/Non-GST</t>
  </si>
  <si>
    <t>Nil Rated Supplies</t>
  </si>
  <si>
    <t>NIL Rated Purchases</t>
  </si>
  <si>
    <t>Nil rated or Exempte</t>
  </si>
  <si>
    <t>Nil rated / Exempted/ Non GST</t>
  </si>
  <si>
    <t>Is this a Nil Rated/Exempt/NonGST item?*</t>
  </si>
  <si>
    <t>Is this a Nil Rated/Exempt/NonGST</t>
  </si>
  <si>
    <t>is this a nil rated/exempt/non GST Item?</t>
  </si>
  <si>
    <t>Is this a Nil Rated/Exempt/Non GST</t>
  </si>
  <si>
    <t>Is this a Nil Rated/Exempt/ NonGST item?</t>
  </si>
  <si>
    <t>IS Nil/Non GST</t>
  </si>
  <si>
    <t>IS NIL RATED?</t>
  </si>
  <si>
    <t>GST /RCMGST /NonGST /Nil GST /Others</t>
  </si>
  <si>
    <t>Exemted / Nil Rated / Non GSt</t>
  </si>
  <si>
    <t>Exempted/NON GST</t>
  </si>
  <si>
    <t>Exempted/Nil/Non Gst</t>
  </si>
  <si>
    <t>Exempted?nil rated/Non GST</t>
  </si>
  <si>
    <t>Description of Service/Goods</t>
  </si>
  <si>
    <t>Is this a Bill of Supply?</t>
  </si>
  <si>
    <t>Bill of Supply</t>
  </si>
  <si>
    <t>IS THIS BILL OF SUPPLY</t>
  </si>
  <si>
    <t>Bill of supply remark</t>
  </si>
  <si>
    <t>Is this note for Bill of Supply?</t>
  </si>
  <si>
    <t>Is bill of supply</t>
  </si>
  <si>
    <t>Is this Advance for a Bill of Supply?</t>
  </si>
  <si>
    <t>Is this a Bill of Suppply</t>
  </si>
  <si>
    <t>Is this a Bill of Supply*</t>
  </si>
  <si>
    <t>Is this a Bill of supply (Y/ )</t>
  </si>
  <si>
    <t>IS IT BILL OF SUPPLY</t>
  </si>
  <si>
    <t>IS BOS</t>
  </si>
  <si>
    <t>BILL_OF_SUPPLY</t>
  </si>
  <si>
    <t>Is_Reverse_Charge_Applicable</t>
  </si>
  <si>
    <t>Is reverse charge applicable?</t>
  </si>
  <si>
    <t>Is reverse charge Applicable</t>
  </si>
  <si>
    <t>Reverse Charge</t>
  </si>
  <si>
    <t>Reverse_Charge</t>
  </si>
  <si>
    <t>ReverseChargeFlag</t>
  </si>
  <si>
    <t>REVERSE_CHARGING_Y_N</t>
  </si>
  <si>
    <t>IsReverseChargeApplicable</t>
  </si>
  <si>
    <t>Regrev 00030</t>
  </si>
  <si>
    <t>RCM Applicable</t>
  </si>
  <si>
    <t>Is_reverse_charge_applicable?</t>
  </si>
  <si>
    <t>Is Reverse Charge Applicable ?</t>
  </si>
  <si>
    <t>RegRev</t>
  </si>
  <si>
    <t>IS_REVERSE_CHARGE_APPLICABLE</t>
  </si>
  <si>
    <t>REVESE_CHARGE</t>
  </si>
  <si>
    <t>reversecharge</t>
  </si>
  <si>
    <t>Regular or Reverse Charge</t>
  </si>
  <si>
    <t>RCM (Optional- Y if applicable or lease leave it blank)</t>
  </si>
  <si>
    <t>RCM</t>
  </si>
  <si>
    <t>Is reverse charge applicable? (Y / N) *</t>
  </si>
  <si>
    <t>Is reverse charge ap</t>
  </si>
  <si>
    <t>Type_of_Export</t>
  </si>
  <si>
    <t>TypeofExport</t>
  </si>
  <si>
    <t>export_type_desc</t>
  </si>
  <si>
    <t>Shipping_Port_Code_Export</t>
  </si>
  <si>
    <t>Shipping Port Code</t>
  </si>
  <si>
    <t>Port</t>
  </si>
  <si>
    <t>Port Code</t>
  </si>
  <si>
    <t>Shipping_Port_Code</t>
  </si>
  <si>
    <t>ShippingPortCodeExport</t>
  </si>
  <si>
    <t>ShippingPortCode</t>
  </si>
  <si>
    <t>PortCode</t>
  </si>
  <si>
    <t>ExpDtlCntCode</t>
  </si>
  <si>
    <t>Shipping Port Code Export</t>
  </si>
  <si>
    <t>Shipping Port Code *</t>
  </si>
  <si>
    <t>SHIP_PORTNO</t>
  </si>
  <si>
    <t>RefDtls_ExpDtls_Port</t>
  </si>
  <si>
    <t>port_code</t>
  </si>
  <si>
    <t>Shipping_Bill_Number_Export</t>
  </si>
  <si>
    <t>Shipping Bill No</t>
  </si>
  <si>
    <t>Shipping_Bill_Number</t>
  </si>
  <si>
    <t>Shipbillno</t>
  </si>
  <si>
    <t>ShippingBillNumber</t>
  </si>
  <si>
    <t>Shipping Bill No.</t>
  </si>
  <si>
    <t>ShippingBillNumberExport</t>
  </si>
  <si>
    <t>ExpDtlShipBNo</t>
  </si>
  <si>
    <t>ShippingBillNo</t>
  </si>
  <si>
    <t>Shipping BillNo</t>
  </si>
  <si>
    <t>Shipping Bill Number Export</t>
  </si>
  <si>
    <t>SHIP_BILLNO</t>
  </si>
  <si>
    <t>RefDtls_ExpDtls_ShipBNo</t>
  </si>
  <si>
    <t>export_shipping_bill_no</t>
  </si>
  <si>
    <t>Shipping_Bill_Date_Export</t>
  </si>
  <si>
    <t>Shipping Bill Dt</t>
  </si>
  <si>
    <t>ShippingBillDate</t>
  </si>
  <si>
    <t>Shipping_Bill_Date</t>
  </si>
  <si>
    <t>ShippingBillDateExport</t>
  </si>
  <si>
    <t>ExpDtlShipBDt</t>
  </si>
  <si>
    <t>Shipping Bill Date Export</t>
  </si>
  <si>
    <t>SHIP_BILLDT</t>
  </si>
  <si>
    <t>RefDtls_ExpDtls_ShipBDt</t>
  </si>
  <si>
    <t>export_shipping_bill_dt</t>
  </si>
  <si>
    <t>Is the supplier a Composition dealer?</t>
  </si>
  <si>
    <t>IsComp</t>
  </si>
  <si>
    <t>Composition</t>
  </si>
  <si>
    <t>Supplier Composition</t>
  </si>
  <si>
    <t>Is the supplier composition dealer</t>
  </si>
  <si>
    <t>IS THE SUPPLIER A COMPOSITION DEALER</t>
  </si>
  <si>
    <t>Invoice type</t>
  </si>
  <si>
    <t>Composition Dealer</t>
  </si>
  <si>
    <t>Composite Supply</t>
  </si>
  <si>
    <t>Composite dealer</t>
  </si>
  <si>
    <t>COMPDEALER</t>
  </si>
  <si>
    <t>Return Filing Period</t>
  </si>
  <si>
    <t>MONTH</t>
  </si>
  <si>
    <t>Return period</t>
  </si>
  <si>
    <t>Period</t>
  </si>
  <si>
    <t>Return Month</t>
  </si>
  <si>
    <t>Return Filling Period</t>
  </si>
  <si>
    <t>ReturnPeriod</t>
  </si>
  <si>
    <t>GST Return Filing Period</t>
  </si>
  <si>
    <t>MONTHS</t>
  </si>
  <si>
    <t>FILING MONTH</t>
  </si>
  <si>
    <t>Tax Period</t>
  </si>
  <si>
    <t>RFP</t>
  </si>
  <si>
    <t>Montb</t>
  </si>
  <si>
    <t>Financial Period</t>
  </si>
  <si>
    <t>Filing Period</t>
  </si>
  <si>
    <t>ReturnMonth</t>
  </si>
  <si>
    <t>Return Month And Year (MM-YYYY)</t>
  </si>
  <si>
    <t>Posting Period</t>
  </si>
  <si>
    <t>Data for Tax Period</t>
  </si>
  <si>
    <t>RETURN MONTH AND YEAR</t>
  </si>
  <si>
    <t>Return</t>
  </si>
  <si>
    <t>posting month</t>
  </si>
  <si>
    <t>Month of Return</t>
  </si>
  <si>
    <t>MIRO Posting Date</t>
  </si>
  <si>
    <t>GSTR-1/5 Filing Period</t>
  </si>
  <si>
    <t>SAP BOOKING MONTH</t>
  </si>
  <si>
    <t>Return_Period</t>
  </si>
  <si>
    <t>RETURN_FILING_MONTH</t>
  </si>
  <si>
    <t>Return Filling Month</t>
  </si>
  <si>
    <t>RETURN FILING</t>
  </si>
  <si>
    <t>Retrun Period</t>
  </si>
  <si>
    <t>Pstng Date</t>
  </si>
  <si>
    <t>Postdt</t>
  </si>
  <si>
    <t>PERIOD OF FILING</t>
  </si>
  <si>
    <t>Invoice Booked in Month</t>
  </si>
  <si>
    <t>GSTR Period</t>
  </si>
  <si>
    <t>GST_RETURN_FILING_PERIOD</t>
  </si>
  <si>
    <t>Filling Period</t>
  </si>
  <si>
    <t>Year/Month</t>
  </si>
  <si>
    <t>VOUCHER_MONTH</t>
  </si>
  <si>
    <t>V_Month</t>
  </si>
  <si>
    <t>TAX FILING PERIOD</t>
  </si>
  <si>
    <t>ReturnPeriod (MMYYYY</t>
  </si>
  <si>
    <t>RETURN_FILLING_MONTH</t>
  </si>
  <si>
    <t>Return Prd</t>
  </si>
  <si>
    <t>Return Month And Year(MM-YYYY)</t>
  </si>
  <si>
    <t>Return Month &amp; Year</t>
  </si>
  <si>
    <t>RETURN FILLI NG PERIOD</t>
  </si>
  <si>
    <t>Return Filing Month*</t>
  </si>
  <si>
    <t>Return Filing Month(For Multi Month Import)</t>
  </si>
  <si>
    <t>Return Filing Month (MM-YYYY)</t>
  </si>
  <si>
    <t>Retun Period</t>
  </si>
  <si>
    <t>Retun Filling period</t>
  </si>
  <si>
    <t>Retrun filing period</t>
  </si>
  <si>
    <t>RETPRD</t>
  </si>
  <si>
    <t>Ret_Period</t>
  </si>
  <si>
    <t>Rerturn Period</t>
  </si>
  <si>
    <t>Original Month</t>
  </si>
  <si>
    <t>Month Taken</t>
  </si>
  <si>
    <t>Month of Transaction</t>
  </si>
  <si>
    <t>Mention the Fiscal period for the invoice</t>
  </si>
  <si>
    <t>JAGUAR DATE</t>
  </si>
  <si>
    <t>GSTR-1/IFF/GSTR-5 Period</t>
  </si>
  <si>
    <t>Gst Return Period</t>
  </si>
  <si>
    <t>GL_FISCAL_PERIOD</t>
  </si>
  <si>
    <t>Financial Period*</t>
  </si>
  <si>
    <t>Filing months</t>
  </si>
  <si>
    <t>Filing in Manth</t>
  </si>
  <si>
    <t>(91) Return filing Month</t>
  </si>
  <si>
    <t>Original_Invoice_Number_In_Case_Of_Amendment</t>
  </si>
  <si>
    <t>Original Invoice Number (In case of amendment)</t>
  </si>
  <si>
    <t>Original Credit/Debit Note Number (In case of amendment)</t>
  </si>
  <si>
    <t>Original_Invoice_Date_In_Case_Of_Amendment</t>
  </si>
  <si>
    <t>Original Invoice Date (In case of amendment)</t>
  </si>
  <si>
    <t>Original Credit/Debit Note Date (In case of amendment)</t>
  </si>
  <si>
    <t>Original_Customer_Billing_GSTIN_In_Case_Of_Amendment</t>
  </si>
  <si>
    <t>Adjustment Amount of Linked Advance Payment</t>
  </si>
  <si>
    <t>Is Advance Adjustment</t>
  </si>
  <si>
    <t>Adjustment Amount of the Linked Advance</t>
  </si>
  <si>
    <t>Adj. Amt. Linked Adv Payment</t>
  </si>
  <si>
    <t>Supplier_Legal_Name</t>
  </si>
  <si>
    <t>Supplier Legal Name *</t>
  </si>
  <si>
    <t>Supplier Name</t>
  </si>
  <si>
    <t>SupplierLegalName</t>
  </si>
  <si>
    <t>Subname</t>
  </si>
  <si>
    <t>My GSTIN Name</t>
  </si>
  <si>
    <t>SUP_NAME</t>
  </si>
  <si>
    <t>CMP</t>
  </si>
  <si>
    <t>Shipping Legal Name</t>
  </si>
  <si>
    <t>SELLNAME</t>
  </si>
  <si>
    <t>SellerDtls_LglNm</t>
  </si>
  <si>
    <t>Seller Legal Name</t>
  </si>
  <si>
    <t>NWCC Legal Name *</t>
  </si>
  <si>
    <t>Moengage Name</t>
  </si>
  <si>
    <t>Lglnm 00050</t>
  </si>
  <si>
    <t>SupplierName</t>
  </si>
  <si>
    <t>SUPP_LEGAL_NM</t>
  </si>
  <si>
    <t>Ship From</t>
  </si>
  <si>
    <t>Dispatch Name</t>
  </si>
  <si>
    <t>Company Name</t>
  </si>
  <si>
    <t>Vendor name</t>
  </si>
  <si>
    <t>SUPLIER NAME</t>
  </si>
  <si>
    <t>sName</t>
  </si>
  <si>
    <t>SELLER_LEGAL_NAME</t>
  </si>
  <si>
    <t>Seller Name</t>
  </si>
  <si>
    <t>LGLNM</t>
  </si>
  <si>
    <t>From_OtherPartyName</t>
  </si>
  <si>
    <t>CRNLegalName</t>
  </si>
  <si>
    <t>SupplierTradeName</t>
  </si>
  <si>
    <t>Supplier_Legal_NameRequired</t>
  </si>
  <si>
    <t>Supplier_Legal_Name Required</t>
  </si>
  <si>
    <t>Supplier_Legal Name</t>
  </si>
  <si>
    <t>Supplier Leagal Name</t>
  </si>
  <si>
    <t>SUPPLIER COMPANY NAME</t>
  </si>
  <si>
    <t>Supplier Address 2 *</t>
  </si>
  <si>
    <t>PRINCIPAL_NAME</t>
  </si>
  <si>
    <t>Mace Entity</t>
  </si>
  <si>
    <t>Legal Name</t>
  </si>
  <si>
    <t>Issuinging Plant Name</t>
  </si>
  <si>
    <t>EntityLegalName</t>
  </si>
  <si>
    <t>dispatch_name</t>
  </si>
  <si>
    <t>DISP_NAME</t>
  </si>
  <si>
    <t>Comapny *</t>
  </si>
  <si>
    <t>Supply_Type</t>
  </si>
  <si>
    <t>Supply Type Code *</t>
  </si>
  <si>
    <t>Supply type code</t>
  </si>
  <si>
    <t>Supply Type</t>
  </si>
  <si>
    <t>Supply_Type_Code</t>
  </si>
  <si>
    <t>SupplyType</t>
  </si>
  <si>
    <t>Supply_type</t>
  </si>
  <si>
    <t>SupplyTypeCode</t>
  </si>
  <si>
    <t>SupplyCode</t>
  </si>
  <si>
    <t>Code for Supply Type</t>
  </si>
  <si>
    <t>SupTyp</t>
  </si>
  <si>
    <t>SupCode</t>
  </si>
  <si>
    <t>TRNTYP</t>
  </si>
  <si>
    <t>SUP_TYPE</t>
  </si>
  <si>
    <t>Suptyp 00030</t>
  </si>
  <si>
    <t>Supply Code</t>
  </si>
  <si>
    <t>Nature of Supply</t>
  </si>
  <si>
    <t>Supply Type Code *(Select from Drop down List)</t>
  </si>
  <si>
    <t>Supplier Type</t>
  </si>
  <si>
    <t>trans_type_code</t>
  </si>
  <si>
    <t>Supply type code*</t>
  </si>
  <si>
    <t>Supply Type Cod</t>
  </si>
  <si>
    <t>Code for Supply</t>
  </si>
  <si>
    <t>\supplyType\</t>
  </si>
  <si>
    <t>Transaction type</t>
  </si>
  <si>
    <t>Supply_Type_CodeRequired</t>
  </si>
  <si>
    <t>Supply_Type_Code Required</t>
  </si>
  <si>
    <t>Supply Type Code(B2B/SEZWP /SEZWOP/EXPWP/EXPWOP/DEXP)</t>
  </si>
  <si>
    <t>Supplier Type Code</t>
  </si>
  <si>
    <t>Customer Type</t>
  </si>
  <si>
    <t>CodeforSupplytype</t>
  </si>
  <si>
    <t>&lt;PRE&gt;\Supply Type Code\</t>
  </si>
  <si>
    <t>CUSTOM HEADERS</t>
  </si>
  <si>
    <t>3 DIGIT CODE</t>
  </si>
  <si>
    <t>EXPLANATION</t>
  </si>
  <si>
    <t>BAG</t>
  </si>
  <si>
    <t>BGS</t>
  </si>
  <si>
    <t>BAGS</t>
  </si>
  <si>
    <t>BLS</t>
  </si>
  <si>
    <t>BAILS</t>
  </si>
  <si>
    <t>BTL</t>
  </si>
  <si>
    <t>BOTTLES</t>
  </si>
  <si>
    <t>BOU</t>
  </si>
  <si>
    <t>BOX</t>
  </si>
  <si>
    <t>BOXES</t>
  </si>
  <si>
    <t>BKL</t>
  </si>
  <si>
    <t>BUCKLES</t>
  </si>
  <si>
    <t>BLK</t>
  </si>
  <si>
    <t>BULK</t>
  </si>
  <si>
    <t>BUN</t>
  </si>
  <si>
    <t>BUNCHES</t>
  </si>
  <si>
    <t>BDL</t>
  </si>
  <si>
    <t>BUNDLES</t>
  </si>
  <si>
    <t>CAN</t>
  </si>
  <si>
    <t>CANS</t>
  </si>
  <si>
    <t>CTN</t>
  </si>
  <si>
    <t>CARTONS</t>
  </si>
  <si>
    <t>CAS</t>
  </si>
  <si>
    <t>CASES</t>
  </si>
  <si>
    <t>CMS</t>
  </si>
  <si>
    <t>CENTIMETER</t>
  </si>
  <si>
    <t>CHI</t>
  </si>
  <si>
    <t>CHEST</t>
  </si>
  <si>
    <t>CLS</t>
  </si>
  <si>
    <t>COILS</t>
  </si>
  <si>
    <t>COL</t>
  </si>
  <si>
    <t>COLLIES</t>
  </si>
  <si>
    <t>CRI</t>
  </si>
  <si>
    <t>CRATES</t>
  </si>
  <si>
    <t>CCM</t>
  </si>
  <si>
    <t>CUBIC CENTIMETER</t>
  </si>
  <si>
    <t>CIN</t>
  </si>
  <si>
    <t>CUBIC INCHES</t>
  </si>
  <si>
    <t>CBM</t>
  </si>
  <si>
    <t>CUBIC METER</t>
  </si>
  <si>
    <t>CQM</t>
  </si>
  <si>
    <t>CUBIC METERS</t>
  </si>
  <si>
    <t>CYL</t>
  </si>
  <si>
    <t>CYLINDER</t>
  </si>
  <si>
    <t>SDM</t>
  </si>
  <si>
    <t>DECAMETER SQUARE</t>
  </si>
  <si>
    <t>DAY</t>
  </si>
  <si>
    <t>DAYS</t>
  </si>
  <si>
    <t>DOZ</t>
  </si>
  <si>
    <t>DOZEN</t>
  </si>
  <si>
    <t>DRM</t>
  </si>
  <si>
    <t>DRUMS</t>
  </si>
  <si>
    <t>FTS</t>
  </si>
  <si>
    <t>FEET</t>
  </si>
  <si>
    <t>FLK</t>
  </si>
  <si>
    <t>FLASKS</t>
  </si>
  <si>
    <t>GMS</t>
  </si>
  <si>
    <t>GRAMS</t>
  </si>
  <si>
    <t>TON</t>
  </si>
  <si>
    <t>GREAT BRITAIN TON</t>
  </si>
  <si>
    <t>GGR</t>
  </si>
  <si>
    <t>GREAT GROSS</t>
  </si>
  <si>
    <t>GRS</t>
  </si>
  <si>
    <t>GROSS</t>
  </si>
  <si>
    <t>GYD</t>
  </si>
  <si>
    <t>GROSS YARDS</t>
  </si>
  <si>
    <t>HBK</t>
  </si>
  <si>
    <t>HABBUCK</t>
  </si>
  <si>
    <t>HKS</t>
  </si>
  <si>
    <t>HANKS</t>
  </si>
  <si>
    <t>HRS</t>
  </si>
  <si>
    <t>HOURS</t>
  </si>
  <si>
    <t>INC</t>
  </si>
  <si>
    <t>INCHES</t>
  </si>
  <si>
    <t>JTA</t>
  </si>
  <si>
    <t>JOTTA</t>
  </si>
  <si>
    <t>KGS</t>
  </si>
  <si>
    <t>KILOGRAMS</t>
  </si>
  <si>
    <t>KLR</t>
  </si>
  <si>
    <t>KILOLITER</t>
  </si>
  <si>
    <t>KME</t>
  </si>
  <si>
    <t>KILOMETERS</t>
  </si>
  <si>
    <t>LTR</t>
  </si>
  <si>
    <t>LITERS</t>
  </si>
  <si>
    <t>LOG</t>
  </si>
  <si>
    <t>LOGS</t>
  </si>
  <si>
    <t>LOT</t>
  </si>
  <si>
    <t>LOTS</t>
  </si>
  <si>
    <t>MTR</t>
  </si>
  <si>
    <t>METER</t>
  </si>
  <si>
    <t>MTS</t>
  </si>
  <si>
    <t>METRIC TON</t>
  </si>
  <si>
    <t>MGS</t>
  </si>
  <si>
    <t>MILLIGRAMS</t>
  </si>
  <si>
    <t>MLT</t>
  </si>
  <si>
    <t>MILLILITRE</t>
  </si>
  <si>
    <t>MMT</t>
  </si>
  <si>
    <t>MILLIMETER</t>
  </si>
  <si>
    <t>NONE</t>
  </si>
  <si>
    <t>NOT CHOSEN</t>
  </si>
  <si>
    <t>NOS</t>
  </si>
  <si>
    <t>NUMBERS</t>
  </si>
  <si>
    <t>ODD</t>
  </si>
  <si>
    <t>ODDS</t>
  </si>
  <si>
    <t>PAC</t>
  </si>
  <si>
    <t>PACKS</t>
  </si>
  <si>
    <t>PAI</t>
  </si>
  <si>
    <t>PAILS</t>
  </si>
  <si>
    <t>PRS</t>
  </si>
  <si>
    <t>PAIRS</t>
  </si>
  <si>
    <t>PLT</t>
  </si>
  <si>
    <t>PALLETS</t>
  </si>
  <si>
    <t>PCS</t>
  </si>
  <si>
    <t>PIECES</t>
  </si>
  <si>
    <t>LBS</t>
  </si>
  <si>
    <t>POUNDS</t>
  </si>
  <si>
    <t>QTL</t>
  </si>
  <si>
    <t>QUINTAL</t>
  </si>
  <si>
    <t>REL</t>
  </si>
  <si>
    <t>REELS</t>
  </si>
  <si>
    <t>ROL</t>
  </si>
  <si>
    <t>ROLLS</t>
  </si>
  <si>
    <t>SET</t>
  </si>
  <si>
    <t>SETS</t>
  </si>
  <si>
    <t>SHT</t>
  </si>
  <si>
    <t>SHEETS</t>
  </si>
  <si>
    <t>SLB</t>
  </si>
  <si>
    <t>SLABS</t>
  </si>
  <si>
    <t>SQF</t>
  </si>
  <si>
    <t>SQUARE FEET</t>
  </si>
  <si>
    <t>SQI</t>
  </si>
  <si>
    <t>SQUARE INCHES</t>
  </si>
  <si>
    <t>SQC</t>
  </si>
  <si>
    <t>SQUARE CENTIMETERS</t>
  </si>
  <si>
    <t>SQM</t>
  </si>
  <si>
    <t>SQUARE METER</t>
  </si>
  <si>
    <t>SQY</t>
  </si>
  <si>
    <t>SQUARE YARDS</t>
  </si>
  <si>
    <t>BLO</t>
  </si>
  <si>
    <t>STEEL BLOCKS</t>
  </si>
  <si>
    <t>TBL</t>
  </si>
  <si>
    <t>TABLES</t>
  </si>
  <si>
    <t>TBS</t>
  </si>
  <si>
    <t>TABLETS</t>
  </si>
  <si>
    <t>TGM</t>
  </si>
  <si>
    <t>TEN GROSS</t>
  </si>
  <si>
    <t>THD</t>
  </si>
  <si>
    <t>THOUSANDS</t>
  </si>
  <si>
    <t>TIN</t>
  </si>
  <si>
    <t>TINS</t>
  </si>
  <si>
    <t>TOL</t>
  </si>
  <si>
    <t>TOLA</t>
  </si>
  <si>
    <t>TRK</t>
  </si>
  <si>
    <t>TRUNK</t>
  </si>
  <si>
    <t>TUB</t>
  </si>
  <si>
    <t>TUBES</t>
  </si>
  <si>
    <t>UNT</t>
  </si>
  <si>
    <t>UNITS</t>
  </si>
  <si>
    <t>UGS</t>
  </si>
  <si>
    <t>US GALLONS</t>
  </si>
  <si>
    <t>VLS</t>
  </si>
  <si>
    <t>Vials</t>
  </si>
  <si>
    <t>CSK</t>
  </si>
  <si>
    <t>WOODEN CASES</t>
  </si>
  <si>
    <t>YDS</t>
  </si>
  <si>
    <t>YARDS</t>
  </si>
  <si>
    <t xml:space="preserve">Reference </t>
  </si>
  <si>
    <t>https://einvoice1.gst.gov.in/Others/MasterCodes</t>
  </si>
  <si>
    <t>S.No</t>
  </si>
  <si>
    <t>Location Code</t>
  </si>
  <si>
    <t>Location Desc.</t>
  </si>
  <si>
    <t>Country Code</t>
  </si>
  <si>
    <t>Alibag</t>
  </si>
  <si>
    <t>IN</t>
  </si>
  <si>
    <t>Achra</t>
  </si>
  <si>
    <t>Ahmedabad Adalaj</t>
  </si>
  <si>
    <t>Androth Island</t>
  </si>
  <si>
    <t>Agatti Island</t>
  </si>
  <si>
    <t>Agra</t>
  </si>
  <si>
    <t>FPO AGRA</t>
  </si>
  <si>
    <t>Agartala</t>
  </si>
  <si>
    <t>ICD SANAND</t>
  </si>
  <si>
    <t>GE PVT. LTD.</t>
  </si>
  <si>
    <t>M/S IGATE GS LTD.</t>
  </si>
  <si>
    <t>IBRAHIMPURICD KHURJA</t>
  </si>
  <si>
    <t>SP PVT. LTD.</t>
  </si>
  <si>
    <t>WLSPUN ANJAR SEZ</t>
  </si>
  <si>
    <t>Arakkonam Melpakkam</t>
  </si>
  <si>
    <t>Aizawl</t>
  </si>
  <si>
    <t>MUNDRA PORT SEZ</t>
  </si>
  <si>
    <t>BIACPL SEZ</t>
  </si>
  <si>
    <t>Akola</t>
  </si>
  <si>
    <t>APIICL SEZ</t>
  </si>
  <si>
    <t>RPCIPL SEZ</t>
  </si>
  <si>
    <t>Ankleshwar ICD</t>
  </si>
  <si>
    <t>ALANG SBY</t>
  </si>
  <si>
    <t>Allepey</t>
  </si>
  <si>
    <t>Ahmedabad</t>
  </si>
  <si>
    <t>Amingaon (Gauhati)</t>
  </si>
  <si>
    <t>Amini Island</t>
  </si>
  <si>
    <t>KSITIL/SEZ/ALAPPUZHA</t>
  </si>
  <si>
    <t>Anijengo</t>
  </si>
  <si>
    <t>Arnala</t>
  </si>
  <si>
    <t>AAP-SEZ AHMEDABAD</t>
  </si>
  <si>
    <t>Dadri ACPL CFS</t>
  </si>
  <si>
    <t>Anaparti</t>
  </si>
  <si>
    <t>Aroor</t>
  </si>
  <si>
    <t>Amritsar Railway Stn</t>
  </si>
  <si>
    <t>Amritsar</t>
  </si>
  <si>
    <t>Attari Road</t>
  </si>
  <si>
    <t>Attari Railway Stat</t>
  </si>
  <si>
    <t>SEZ, SHENDRA</t>
  </si>
  <si>
    <t>SOMANI SEZ BHIWADI</t>
  </si>
  <si>
    <t>WIDL AEZ, AURANGABAD</t>
  </si>
  <si>
    <t>Azhikkal</t>
  </si>
  <si>
    <t>GEM&amp;JEWEL-SEZ/ULWE</t>
  </si>
  <si>
    <t>IT/ITES-B-SEZ/ULWE</t>
  </si>
  <si>
    <t>MULTISERVCE-SEZ/ULWE</t>
  </si>
  <si>
    <t>MULTISERVICEDRONAGIR</t>
  </si>
  <si>
    <t>IT/ITES-C SEZ/UIWE</t>
  </si>
  <si>
    <t>IT/ITES-A-SEZ/ULWE</t>
  </si>
  <si>
    <t>ICD BAWAL</t>
  </si>
  <si>
    <t>Bhubaneswar</t>
  </si>
  <si>
    <t>Bari Brahamna ICD</t>
  </si>
  <si>
    <t>Jammu Kashmir</t>
  </si>
  <si>
    <t>Bahabal Pur</t>
  </si>
  <si>
    <t>SEZ, OIIDC, BHUBANES</t>
  </si>
  <si>
    <t>HARI SEZ VARANASI</t>
  </si>
  <si>
    <t>EURO MULTIVISION SEZ</t>
  </si>
  <si>
    <t>PRITECH/SEZ/BANGLORE</t>
  </si>
  <si>
    <t>PRECIOUSCARGOCUSTOMS</t>
  </si>
  <si>
    <t>Badagara</t>
  </si>
  <si>
    <t>ICD BADOHI</t>
  </si>
  <si>
    <t>ICD BADDI,</t>
  </si>
  <si>
    <t>ICD, PANCHI, SONIPAT</t>
  </si>
  <si>
    <t>Vadodara</t>
  </si>
  <si>
    <t>Baindur</t>
  </si>
  <si>
    <t>Bedi</t>
  </si>
  <si>
    <t>Bareilly</t>
  </si>
  <si>
    <t>Bellary</t>
  </si>
  <si>
    <t>Betul</t>
  </si>
  <si>
    <t>Beypore</t>
  </si>
  <si>
    <t>M/S GRFL, ICD, BALLA</t>
  </si>
  <si>
    <t>Bhagat ki Kothi Jodh</t>
  </si>
  <si>
    <t>Baghmara</t>
  </si>
  <si>
    <t>QUEST SEZ BELGAUM</t>
  </si>
  <si>
    <t>Bairgania</t>
  </si>
  <si>
    <t>Bhagwa</t>
  </si>
  <si>
    <t>JUBILANT/SEZ/VILAYAT</t>
  </si>
  <si>
    <t>DAHEZ SEZ</t>
  </si>
  <si>
    <t>Bhuj</t>
  </si>
  <si>
    <t>Bhilwara</t>
  </si>
  <si>
    <t>Bheemunipatnam</t>
  </si>
  <si>
    <t>Bhopal</t>
  </si>
  <si>
    <t>STERLING BHARUCH</t>
  </si>
  <si>
    <t>Bhavanagar</t>
  </si>
  <si>
    <t>Bikaner</t>
  </si>
  <si>
    <t>Belekeri</t>
  </si>
  <si>
    <t>Bankot</t>
  </si>
  <si>
    <t>CESSNA/SEZ/BANGALORE</t>
  </si>
  <si>
    <t>CONCOR ICD BALASORE</t>
  </si>
  <si>
    <t>Bilimora</t>
  </si>
  <si>
    <t>Belapur</t>
  </si>
  <si>
    <t>Bangalore</t>
  </si>
  <si>
    <t>Balet</t>
  </si>
  <si>
    <t>VTV/SEZ/BANGALORE</t>
  </si>
  <si>
    <t>APIIC PRAKASHAM</t>
  </si>
  <si>
    <t>Barmer Railway Stati</t>
  </si>
  <si>
    <t>KBITS SEZ BANGALORE</t>
  </si>
  <si>
    <t>Bandra</t>
  </si>
  <si>
    <t>MAHAGAON ICD, THANE</t>
  </si>
  <si>
    <t>KOLKATA IT PARK</t>
  </si>
  <si>
    <t>Bhimnagar</t>
  </si>
  <si>
    <t>TCS</t>
  </si>
  <si>
    <t>WIPRO SEZ</t>
  </si>
  <si>
    <t>CANDOR ONE HTSPL,SEZ</t>
  </si>
  <si>
    <t>Berhni</t>
  </si>
  <si>
    <t>BORKHEDI ICD NAGPUR</t>
  </si>
  <si>
    <t>Bolanganj</t>
  </si>
  <si>
    <t>Mumbai (Ex Bombay)</t>
  </si>
  <si>
    <t>Mumbai(EPZ/SEZ)</t>
  </si>
  <si>
    <t>BHOPAL FPO</t>
  </si>
  <si>
    <t>APSO MUMBAI</t>
  </si>
  <si>
    <t>Barsora</t>
  </si>
  <si>
    <t>Baroda</t>
  </si>
  <si>
    <t>Broach</t>
  </si>
  <si>
    <t>RNBIPL SEZ BIKANER</t>
  </si>
  <si>
    <t>L &amp; T/SEZ/VADODARA</t>
  </si>
  <si>
    <t>Borlai ¿ Mandla</t>
  </si>
  <si>
    <t>S E &amp; C/SEZ/WAGHODIA</t>
  </si>
  <si>
    <t>Borya</t>
  </si>
  <si>
    <t>Banbasa</t>
  </si>
  <si>
    <t>Varanasi</t>
  </si>
  <si>
    <t>Bhusaval ICD</t>
  </si>
  <si>
    <t>Bassein</t>
  </si>
  <si>
    <t>Bulsar</t>
  </si>
  <si>
    <t>AFS KAPASHERA</t>
  </si>
  <si>
    <t>Bhatkal</t>
  </si>
  <si>
    <t>Bhithamore(Sursnad)</t>
  </si>
  <si>
    <t>Bitra Island</t>
  </si>
  <si>
    <t>Budge-Budge</t>
  </si>
  <si>
    <t>AN FTWZ BULANDSHAHR</t>
  </si>
  <si>
    <t>Bhatinda</t>
  </si>
  <si>
    <t>CONCR-ICD/BALLABGARH</t>
  </si>
  <si>
    <t>Bhiwadi</t>
  </si>
  <si>
    <t>Bhiwandi</t>
  </si>
  <si>
    <t>DLF LTD., SEZ</t>
  </si>
  <si>
    <t>Beyt</t>
  </si>
  <si>
    <t>TATA STEEL SEZGANJAM</t>
  </si>
  <si>
    <t>Cambay</t>
  </si>
  <si>
    <t>Calingapatam</t>
  </si>
  <si>
    <t>Carijam</t>
  </si>
  <si>
    <t>SAPL SEZ/ GANJAM</t>
  </si>
  <si>
    <t>CHIPL SEZ/ COIMBATOR</t>
  </si>
  <si>
    <t>Car Nicobar</t>
  </si>
  <si>
    <t>Changrabandh</t>
  </si>
  <si>
    <t>COIMBATORE</t>
  </si>
  <si>
    <t>Chandbali</t>
  </si>
  <si>
    <t>SE&amp;C COIMBATORE</t>
  </si>
  <si>
    <t>Chinchwad ICD</t>
  </si>
  <si>
    <t>WIPRO SEZ HINJEWADI</t>
  </si>
  <si>
    <t>Kozhikode (ex Calicu</t>
  </si>
  <si>
    <t>PEPPL SEZ, CHINCHWAD</t>
  </si>
  <si>
    <t>M/S QB PARK LTD.</t>
  </si>
  <si>
    <t>KINFRAFP SEZ</t>
  </si>
  <si>
    <t>Calcutta</t>
  </si>
  <si>
    <t>WIPRO LTD.</t>
  </si>
  <si>
    <t>RGT PARK (PHASE-II)</t>
  </si>
  <si>
    <t>RGT PARK (PHASE-I)</t>
  </si>
  <si>
    <t>Cuddalore</t>
  </si>
  <si>
    <t>Coondapur (Ganguly)</t>
  </si>
  <si>
    <t>Cuddapah</t>
  </si>
  <si>
    <t>M/S APIIC LTD SEZ.</t>
  </si>
  <si>
    <t>QUARKCITY/SEZ/MOHALI</t>
  </si>
  <si>
    <t>SUN PHARMACEUTICALS</t>
  </si>
  <si>
    <t>L&amp;T AE IT SEZ PVT.</t>
  </si>
  <si>
    <t>MWCD APARELS CHENGPA</t>
  </si>
  <si>
    <t>ETA TECH. PVT. LTD.</t>
  </si>
  <si>
    <t>MWCD SEZ CHENGALPATU</t>
  </si>
  <si>
    <t>MWCD AUTO ANCILARIES</t>
  </si>
  <si>
    <t>Tiruppur-Chettipalay</t>
  </si>
  <si>
    <t>ICD WARDHA</t>
  </si>
  <si>
    <t>Colachel</t>
  </si>
  <si>
    <t>Chamurchi</t>
  </si>
  <si>
    <t>Vadodara Chhani CFS</t>
  </si>
  <si>
    <t>Champai</t>
  </si>
  <si>
    <t>Chapora</t>
  </si>
  <si>
    <t>L&amp;T AE IT SEZ</t>
  </si>
  <si>
    <t>Coimbatore</t>
  </si>
  <si>
    <t>NCTL (ENGG.) SEZ/ KA</t>
  </si>
  <si>
    <t>DLF INFOCITY DEV.</t>
  </si>
  <si>
    <t>ECTN KANCHEEPURAM</t>
  </si>
  <si>
    <t>FTIL SRIPERUMBUDUR</t>
  </si>
  <si>
    <t>ETL IS LTD.</t>
  </si>
  <si>
    <t>J M FTZ/SEZ/MANNUR</t>
  </si>
  <si>
    <t>NIPL SEZ SRIPERUMBUD</t>
  </si>
  <si>
    <t>SIPCOT ORAGADAM SRIP</t>
  </si>
  <si>
    <t>SIPCOT SRIPERUMBUDUR</t>
  </si>
  <si>
    <t>KSITIL/SEZ/KOZHIKODE</t>
  </si>
  <si>
    <t>ULCCS/SEZ/KOZHIKODE</t>
  </si>
  <si>
    <t>Chirala</t>
  </si>
  <si>
    <t>KATHUWAS ICD ALWAR</t>
  </si>
  <si>
    <t>Car-Nicobar</t>
  </si>
  <si>
    <t>Andaman and Nicobar</t>
  </si>
  <si>
    <t>NCT PVT. LTD. SEZ</t>
  </si>
  <si>
    <t>Cannanore</t>
  </si>
  <si>
    <t>KAKINADA SEZ KAKINAD</t>
  </si>
  <si>
    <t>Cooch Behar</t>
  </si>
  <si>
    <t>Cochin</t>
  </si>
  <si>
    <t>Cochin(EPZ/SEZ)</t>
  </si>
  <si>
    <t>Colochel</t>
  </si>
  <si>
    <t>PARRY SEZ KAKINADA</t>
  </si>
  <si>
    <t>Kanpur Chakeri</t>
  </si>
  <si>
    <t>Dadri CGML</t>
  </si>
  <si>
    <t>ICD CHAWAPAYAL</t>
  </si>
  <si>
    <t>RGA SEZ CHIKKANKANNE</t>
  </si>
  <si>
    <t>Cornwallis</t>
  </si>
  <si>
    <t>WIPRO/SEZ/BANGALORE</t>
  </si>
  <si>
    <t>LOKSAN LCS</t>
  </si>
  <si>
    <t>SI PVT. LTD.</t>
  </si>
  <si>
    <t>SPVL SEZ COIMBATORE</t>
  </si>
  <si>
    <t>Chetlat Island</t>
  </si>
  <si>
    <t>Cutch Mandvi</t>
  </si>
  <si>
    <t>Daparizo</t>
  </si>
  <si>
    <t>Dahej</t>
  </si>
  <si>
    <t>Darjeeling</t>
  </si>
  <si>
    <t>Daman</t>
  </si>
  <si>
    <t>Daman &amp;Diu</t>
  </si>
  <si>
    <t>ARTHA SEZ GR. NOIDA</t>
  </si>
  <si>
    <t>Dhanbad</t>
  </si>
  <si>
    <t>SANTA-SEZ/ViII-MUPPI</t>
  </si>
  <si>
    <t>PSWC ICD DHANDARIKAL</t>
  </si>
  <si>
    <t>AS PVT. LTD.</t>
  </si>
  <si>
    <t>Dehra Dun</t>
  </si>
  <si>
    <t>INFOSYS SEZ DADRI</t>
  </si>
  <si>
    <t>Deogad</t>
  </si>
  <si>
    <t>HCL TECH. LTD. DEV.</t>
  </si>
  <si>
    <t>IVR SEZ NOIDA</t>
  </si>
  <si>
    <t>JUBILANT SEZ NOIDA</t>
  </si>
  <si>
    <t>MOSERBAER/SEZ/NOIDA</t>
  </si>
  <si>
    <t>M/S NIIT TECH. LTD.</t>
  </si>
  <si>
    <t>Deparizo</t>
  </si>
  <si>
    <t>Dadri</t>
  </si>
  <si>
    <t>M/S SEAVIEW DEV. LTD</t>
  </si>
  <si>
    <t>UNITECH HITECH NOIDA</t>
  </si>
  <si>
    <t>UNITECHINFRA NOIDA</t>
  </si>
  <si>
    <t>M/S WIPRO LTD.</t>
  </si>
  <si>
    <t>GALLANT SEZ NOIDA</t>
  </si>
  <si>
    <t>GOLDEN SEZ NOIDA</t>
  </si>
  <si>
    <t>Indore-Dhannad</t>
  </si>
  <si>
    <t>Dhubri Steamerghat</t>
  </si>
  <si>
    <t>Dhalaighat</t>
  </si>
  <si>
    <t>Dharamsala</t>
  </si>
  <si>
    <t>Dahanu</t>
  </si>
  <si>
    <t>Dabhol Port</t>
  </si>
  <si>
    <t>Dholera</t>
  </si>
  <si>
    <t>Dibrugarh</t>
  </si>
  <si>
    <t>SEZ, MIDC, NANDED</t>
  </si>
  <si>
    <t>Dighi Port</t>
  </si>
  <si>
    <t>Dighi (Pune)</t>
  </si>
  <si>
    <t>ANSAL IT/SEZ/NOIDA</t>
  </si>
  <si>
    <t>Diu</t>
  </si>
  <si>
    <t>Div</t>
  </si>
  <si>
    <t>Dharchula</t>
  </si>
  <si>
    <t>APLLP SEZ BENGALURU</t>
  </si>
  <si>
    <t>Delhi Railway Statio</t>
  </si>
  <si>
    <t>BIRPARA LCS</t>
  </si>
  <si>
    <t>Dalu</t>
  </si>
  <si>
    <t>DHAMRA</t>
  </si>
  <si>
    <t>Demagir</t>
  </si>
  <si>
    <t>Dharamtar</t>
  </si>
  <si>
    <t>Dimapur</t>
  </si>
  <si>
    <t>DPC BKC Mumbai</t>
  </si>
  <si>
    <t>DAPPER</t>
  </si>
  <si>
    <t>RCIPL SEZ NOIDA</t>
  </si>
  <si>
    <t>Darranga</t>
  </si>
  <si>
    <t>Dwarka (Rupen)</t>
  </si>
  <si>
    <t>Dabolim</t>
  </si>
  <si>
    <t>Belgaum Desur</t>
  </si>
  <si>
    <t>Dhanu-shkodi</t>
  </si>
  <si>
    <t>SMRTPL SEZ NOIDA</t>
  </si>
  <si>
    <t>Dantiwara</t>
  </si>
  <si>
    <t>ICD Durgapur</t>
  </si>
  <si>
    <t>Dwarka</t>
  </si>
  <si>
    <t>Dawki</t>
  </si>
  <si>
    <t>ICD SAMALKHA PANIPAT</t>
  </si>
  <si>
    <t>INFOSYS SEZ HUBLI</t>
  </si>
  <si>
    <t>KAMARAJAR PORT LTD</t>
  </si>
  <si>
    <t>PUTHUVYPEEN SEZ</t>
  </si>
  <si>
    <t>VALLARPADOM SEZ</t>
  </si>
  <si>
    <t>Elphinstone Harbour</t>
  </si>
  <si>
    <t>ICD Faridabad</t>
  </si>
  <si>
    <t>ESPIRE SEZ FARIDABAD</t>
  </si>
  <si>
    <t>METRO SEZ GURGAON</t>
  </si>
  <si>
    <t>PERPETUAL FARIDABAD</t>
  </si>
  <si>
    <t>Fulbari LCS</t>
  </si>
  <si>
    <t>SELECTOSEZ FARIDABAD</t>
  </si>
  <si>
    <t>FPO(SEA) CHENNAI</t>
  </si>
  <si>
    <t>Falta(SEZ)</t>
  </si>
  <si>
    <t>APIICL MEDAK</t>
  </si>
  <si>
    <t>HGSEZL RANGA REDDY</t>
  </si>
  <si>
    <t>M/S J.T. SEZ, RANGAR</t>
  </si>
  <si>
    <t>M/S STARGAZE, SEZ</t>
  </si>
  <si>
    <t>Gauriphanta</t>
  </si>
  <si>
    <t>Galgalia</t>
  </si>
  <si>
    <t>OPGS POWER GUJARAT</t>
  </si>
  <si>
    <t>ANSAL SEZ GURGAON</t>
  </si>
  <si>
    <t>Gauhati (Panidi)</t>
  </si>
  <si>
    <t>FPO GUWAHATI</t>
  </si>
  <si>
    <t>Guwahati</t>
  </si>
  <si>
    <t>Gaya</t>
  </si>
  <si>
    <t>DLF CYBERCITY SEZ,</t>
  </si>
  <si>
    <t>MF PARK PVT. LTD.</t>
  </si>
  <si>
    <t>FLLPL SEZ THIRUVALUR</t>
  </si>
  <si>
    <t>Gede Railway Station</t>
  </si>
  <si>
    <t>Gogha</t>
  </si>
  <si>
    <t>SBPL SEZ GURGAON</t>
  </si>
  <si>
    <t>ORIENT SEZ GURGAON</t>
  </si>
  <si>
    <t>DLF LTD.</t>
  </si>
  <si>
    <t>AEPL SEZ GURGAON</t>
  </si>
  <si>
    <t>FRESH SEZ GURGAON</t>
  </si>
  <si>
    <t>GHI SEZ GURGAON</t>
  </si>
  <si>
    <t>GIL SEZ, GURGAON</t>
  </si>
  <si>
    <t>LUXOR SEZ GURGAON</t>
  </si>
  <si>
    <t>MIPPL SEZ GURGAON</t>
  </si>
  <si>
    <t>Gurgaon</t>
  </si>
  <si>
    <t>ORIENTCRAFT SEZ GGN</t>
  </si>
  <si>
    <t>SUNWISE SEZ GURGAON</t>
  </si>
  <si>
    <t>SUNCITY SEZ GURGAON</t>
  </si>
  <si>
    <t>URP LTD.</t>
  </si>
  <si>
    <t>GANGAVARAM PORT</t>
  </si>
  <si>
    <t>Ghogha</t>
  </si>
  <si>
    <t>ASF INSIGNIA SEZ</t>
  </si>
  <si>
    <t>Ghasuapara</t>
  </si>
  <si>
    <t>Garhi Harsaru Gurgao</t>
  </si>
  <si>
    <t>Gauhati Steamerghat</t>
  </si>
  <si>
    <t>MID PLTD SEZ GURGAON</t>
  </si>
  <si>
    <t>Gandhidham</t>
  </si>
  <si>
    <t>Gunji</t>
  </si>
  <si>
    <t>Ghojadanga</t>
  </si>
  <si>
    <t>Golakganj Railway St</t>
  </si>
  <si>
    <t>Golakganj LCS</t>
  </si>
  <si>
    <t>APIIC MAHABOOBNAGAR</t>
  </si>
  <si>
    <t>MID PVT LTD.</t>
  </si>
  <si>
    <t>APPL, SEZ</t>
  </si>
  <si>
    <t>GIFT SEZ LTD</t>
  </si>
  <si>
    <t>GIDC, SEZ</t>
  </si>
  <si>
    <t>LOMA ITPARK GHANSOLI</t>
  </si>
  <si>
    <t>GPRPL SEZ GURGAON</t>
  </si>
  <si>
    <t>LIPL/MARRIPLEMGUNTUR</t>
  </si>
  <si>
    <t>TCSL, SEZ</t>
  </si>
  <si>
    <t>Gorakhpur</t>
  </si>
  <si>
    <t>PROGRESSIVE GURGAON</t>
  </si>
  <si>
    <t>Gopalpur</t>
  </si>
  <si>
    <t>Mumbai DP-II</t>
  </si>
  <si>
    <t>GPRL SEZ GURGAON</t>
  </si>
  <si>
    <t>RELIANCE SEZ GURGAON</t>
  </si>
  <si>
    <t>Mumbai DP-I</t>
  </si>
  <si>
    <t>RAHEJA SEZ GURGAON</t>
  </si>
  <si>
    <t>APM ICD BHAMBOLIKHED</t>
  </si>
  <si>
    <t>Gitaldah road</t>
  </si>
  <si>
    <t>INFOSYS TECH. LTD.</t>
  </si>
  <si>
    <t>Guntur</t>
  </si>
  <si>
    <t>Getandah</t>
  </si>
  <si>
    <t>Guna</t>
  </si>
  <si>
    <t>Gwalior</t>
  </si>
  <si>
    <t>Malanpuri (Gwalior)</t>
  </si>
  <si>
    <t>VIJAYAWADA AIRPORT</t>
  </si>
  <si>
    <t>Haldia</t>
  </si>
  <si>
    <t>HINDAUN ICD KARAULI</t>
  </si>
  <si>
    <t>OPTOINFRA/SEZ/HASSAN</t>
  </si>
  <si>
    <t>HASSAN ICD</t>
  </si>
  <si>
    <t>SDPL SEZ BENGALURU</t>
  </si>
  <si>
    <t>Hubli</t>
  </si>
  <si>
    <t>SIDCUL ICD PANTNAGAR</t>
  </si>
  <si>
    <t>GOCL SEZ BENGALURU</t>
  </si>
  <si>
    <t>INFOSYS/SEZ/MYSORE</t>
  </si>
  <si>
    <t>MEBP/SEZ/BANGALORE</t>
  </si>
  <si>
    <t>Hingalganj</t>
  </si>
  <si>
    <t>Hangarkatta</t>
  </si>
  <si>
    <t>SHB ICD SURAT</t>
  </si>
  <si>
    <t>Khajuraho</t>
  </si>
  <si>
    <t>Haldibari Railway St</t>
  </si>
  <si>
    <t>INFY SEZ BEGURHOBLI</t>
  </si>
  <si>
    <t>Hilli</t>
  </si>
  <si>
    <t>HEMNAGAR PORT</t>
  </si>
  <si>
    <t>Honavar</t>
  </si>
  <si>
    <t>SANDKHERA ICD KASHIP</t>
  </si>
  <si>
    <t>Harnai</t>
  </si>
  <si>
    <t>KIADBFP SEZ HASSAN</t>
  </si>
  <si>
    <t>KIADBP SEZ HASSAN</t>
  </si>
  <si>
    <t>Hissar</t>
  </si>
  <si>
    <t>KIADBT SEZ HASSAN</t>
  </si>
  <si>
    <t>ICD HOSUR</t>
  </si>
  <si>
    <t>Hatisar</t>
  </si>
  <si>
    <t>M/S RASSI, SEZ</t>
  </si>
  <si>
    <t>Honawar</t>
  </si>
  <si>
    <t>LHT PARK PVT. LTD.</t>
  </si>
  <si>
    <t>Hyderabad</t>
  </si>
  <si>
    <t>FPO HYDERABAD</t>
  </si>
  <si>
    <t>HAZIRA, SURAT</t>
  </si>
  <si>
    <t>Hazira SEZ, Surat</t>
  </si>
  <si>
    <t>Indore</t>
  </si>
  <si>
    <t>Indore(EPZ/SEZ)</t>
  </si>
  <si>
    <t>Coimbatore Irugur IC</t>
  </si>
  <si>
    <t>Tiruvallur-ILP ICD</t>
  </si>
  <si>
    <t>Imphal</t>
  </si>
  <si>
    <t>CRYSTAL IT PARK, SEZ</t>
  </si>
  <si>
    <t>ICD Pithampur</t>
  </si>
  <si>
    <t>IMPETUS INFOTECH SEZ</t>
  </si>
  <si>
    <t>INFOSYS SEZ INDORE</t>
  </si>
  <si>
    <t>TCS SEZ INDORE</t>
  </si>
  <si>
    <t>Nasik</t>
  </si>
  <si>
    <t>Bagdogra</t>
  </si>
  <si>
    <t>Allahabad</t>
  </si>
  <si>
    <t>Mangalore</t>
  </si>
  <si>
    <t>Belgaum</t>
  </si>
  <si>
    <t>Kailashahar</t>
  </si>
  <si>
    <t>Lilabari</t>
  </si>
  <si>
    <t>Keshod</t>
  </si>
  <si>
    <t>Leh</t>
  </si>
  <si>
    <t>FPO LEH</t>
  </si>
  <si>
    <t>Madurai</t>
  </si>
  <si>
    <t>MaduraiICD</t>
  </si>
  <si>
    <t>Khowai</t>
  </si>
  <si>
    <t>Pathankot</t>
  </si>
  <si>
    <t>Kamalpur</t>
  </si>
  <si>
    <t>Ranchi</t>
  </si>
  <si>
    <t>Silchar</t>
  </si>
  <si>
    <t>Pasighat</t>
  </si>
  <si>
    <t>AURANGABAD</t>
  </si>
  <si>
    <t>Jamshedpur</t>
  </si>
  <si>
    <t>Jamshedpur ICD</t>
  </si>
  <si>
    <t>Kandla</t>
  </si>
  <si>
    <t>Kandla SEZ</t>
  </si>
  <si>
    <t>Port Blair</t>
  </si>
  <si>
    <t>Andaman and Nicobar Isl.</t>
  </si>
  <si>
    <t>Jaipur</t>
  </si>
  <si>
    <t>Jakhau</t>
  </si>
  <si>
    <t>Jalgaon</t>
  </si>
  <si>
    <t>Jayanagar</t>
  </si>
  <si>
    <t>Jafrabad</t>
  </si>
  <si>
    <t>E-COMPLEX SEZ/Amreli</t>
  </si>
  <si>
    <t>JOGBANI</t>
  </si>
  <si>
    <t>Jodia</t>
  </si>
  <si>
    <t>Jodhpur</t>
  </si>
  <si>
    <t>Jamnagar</t>
  </si>
  <si>
    <t>Jagdalpur</t>
  </si>
  <si>
    <t>Jaigad</t>
  </si>
  <si>
    <t>GENPACT SEZ JAIPUR</t>
  </si>
  <si>
    <t>VEDANTA ALU. LTD.</t>
  </si>
  <si>
    <t>Jhulaghat (Pithoraga</t>
  </si>
  <si>
    <t>VEDANTASEZJHARSUGUDA</t>
  </si>
  <si>
    <t>Jaigaon</t>
  </si>
  <si>
    <t>ICD JSL JAJPUR</t>
  </si>
  <si>
    <t>SACHANA ICD VIRAMGAM</t>
  </si>
  <si>
    <t>Jabalpur</t>
  </si>
  <si>
    <t>NEWFOUND SEZ THANE</t>
  </si>
  <si>
    <t>Nashik-Janori ACC</t>
  </si>
  <si>
    <t>Nashik-Janori ICD</t>
  </si>
  <si>
    <t>Jalpaiguri</t>
  </si>
  <si>
    <t>RIICO SEZ 1 SITAPUR</t>
  </si>
  <si>
    <t>VATIKA SEZ JAIPUR</t>
  </si>
  <si>
    <t>MWC JAIPUR LTD.</t>
  </si>
  <si>
    <t>Jorhat</t>
  </si>
  <si>
    <t>Jaisalmer</t>
  </si>
  <si>
    <t>CONCOR JHARSUGUDA</t>
  </si>
  <si>
    <t>ADANI POWER SEZ</t>
  </si>
  <si>
    <t>JAIPUR SEZ</t>
  </si>
  <si>
    <t>Jaitapur</t>
  </si>
  <si>
    <t>Jalandhar</t>
  </si>
  <si>
    <t>Basni Jodhpur ICD</t>
  </si>
  <si>
    <t>Jarwa</t>
  </si>
  <si>
    <t>Kakinada</t>
  </si>
  <si>
    <t>Kallai</t>
  </si>
  <si>
    <t>Kapadra (Surat)</t>
  </si>
  <si>
    <t>Karur ICD</t>
  </si>
  <si>
    <t>KATTUPALLI PORT</t>
  </si>
  <si>
    <t>ICD HAZIRA</t>
  </si>
  <si>
    <t>Khambhat</t>
  </si>
  <si>
    <t>NSL SEZ PVT. LTD.</t>
  </si>
  <si>
    <t>Karedu</t>
  </si>
  <si>
    <t>Kadmat Island</t>
  </si>
  <si>
    <t>KANDLA SEZ</t>
  </si>
  <si>
    <t>Kodinar(Muldwarka)</t>
  </si>
  <si>
    <t>Kondiapetnam</t>
  </si>
  <si>
    <t>Kel Sahar Subdivisio</t>
  </si>
  <si>
    <t>GLOBAL/SEZ/BANGALORE</t>
  </si>
  <si>
    <t>KARIMGANJ STEAMERGHA</t>
  </si>
  <si>
    <t>ICD Kheda-Dhar</t>
  </si>
  <si>
    <t>Kelwa</t>
  </si>
  <si>
    <t>APP/SEZ/DODAKANAHALI</t>
  </si>
  <si>
    <t>BAGMAN/SEZ/BANGALORE</t>
  </si>
  <si>
    <t>DIVYA/SEZ/BANGALORE</t>
  </si>
  <si>
    <t>GOPALAN/SEZ/BANGALOR</t>
  </si>
  <si>
    <t>HCL/SEZ/BANGALORE</t>
  </si>
  <si>
    <t>PIPRAUN LCS</t>
  </si>
  <si>
    <t>BD SEZ BENGALURU</t>
  </si>
  <si>
    <t>BBREL KUNDALAHALLI</t>
  </si>
  <si>
    <t>Kilakari</t>
  </si>
  <si>
    <t>Kanakpura Jaipur ICD</t>
  </si>
  <si>
    <t>BLUE/SEZ/ERNAKULAM</t>
  </si>
  <si>
    <t>CARB/SEZ/ERNAKULAM</t>
  </si>
  <si>
    <t>SGS/SEZ/ERNAKULAM</t>
  </si>
  <si>
    <t>Kohlapur</t>
  </si>
  <si>
    <t>INFOPARK/SEZ/EKM</t>
  </si>
  <si>
    <t>KINFRA KANAYANNOOR</t>
  </si>
  <si>
    <t>MULTISERVCEKALAMBOLI</t>
  </si>
  <si>
    <t>IT/ITES/SEZ/KALAMBOL</t>
  </si>
  <si>
    <t>SMART CITY SEZ KOCHI</t>
  </si>
  <si>
    <t>Kalyan</t>
  </si>
  <si>
    <t>KULKULI LCS</t>
  </si>
  <si>
    <t>Kumbharu</t>
  </si>
  <si>
    <t>INFO SEZ ERNAKULAM</t>
  </si>
  <si>
    <t>DEIPL KURUBARAPALLI</t>
  </si>
  <si>
    <t>Kankudy</t>
  </si>
  <si>
    <t>INFOPARK SEZ KORATTY</t>
  </si>
  <si>
    <t>Kunauli</t>
  </si>
  <si>
    <t>Kanpur</t>
  </si>
  <si>
    <t>FPO KANPUR</t>
  </si>
  <si>
    <t>Kochi</t>
  </si>
  <si>
    <t>Kodinar</t>
  </si>
  <si>
    <t>Koilthottum</t>
  </si>
  <si>
    <t>Koka</t>
  </si>
  <si>
    <t>Konarak</t>
  </si>
  <si>
    <t>CONCOR ICD MIHAN</t>
  </si>
  <si>
    <t>Krishnapatnam</t>
  </si>
  <si>
    <t>Karaikal</t>
  </si>
  <si>
    <t>Pondicherry</t>
  </si>
  <si>
    <t>MADC LTD.</t>
  </si>
  <si>
    <t>Karanja</t>
  </si>
  <si>
    <t>Kiranpani</t>
  </si>
  <si>
    <t>Karwar</t>
  </si>
  <si>
    <t>Kasargod</t>
  </si>
  <si>
    <t>Kelshi</t>
  </si>
  <si>
    <t>Kulasekarapatnam</t>
  </si>
  <si>
    <t>Kotda</t>
  </si>
  <si>
    <t>Katarniyaghat</t>
  </si>
  <si>
    <t>Kiltan Island</t>
  </si>
  <si>
    <t>Kathihar</t>
  </si>
  <si>
    <t>Kota</t>
  </si>
  <si>
    <t>Koteshwar</t>
  </si>
  <si>
    <t>CHEYYAR POCHAMPALLI</t>
  </si>
  <si>
    <t>KOLLAM PORT</t>
  </si>
  <si>
    <t>KSITIL/SEZ/KOLLAM</t>
  </si>
  <si>
    <t>OIIDC SEZ KHURDA</t>
  </si>
  <si>
    <t>Kulu</t>
  </si>
  <si>
    <t>Kavi</t>
  </si>
  <si>
    <t>Kovalam</t>
  </si>
  <si>
    <t>WFPML SEZ KOVVUR</t>
  </si>
  <si>
    <t>Kavaratti Island</t>
  </si>
  <si>
    <t>Khunwa</t>
  </si>
  <si>
    <t>Khowaighat</t>
  </si>
  <si>
    <t>KAKRAHAWA LCS</t>
  </si>
  <si>
    <t>Karimganj Railway St</t>
  </si>
  <si>
    <t>KOTTAYAM</t>
  </si>
  <si>
    <t>E TECH-I/SEZ/THPURAM</t>
  </si>
  <si>
    <t>E PARK-III/SEZ/T'RAM</t>
  </si>
  <si>
    <t>E PARK-II/SEZ/TPURAM</t>
  </si>
  <si>
    <t>HCL IT SEZ LUCKNOW</t>
  </si>
  <si>
    <t>Malda</t>
  </si>
  <si>
    <t>Ludhiana</t>
  </si>
  <si>
    <t>Lalgola Town</t>
  </si>
  <si>
    <t>Lucknow</t>
  </si>
  <si>
    <t>LAUKAHA LCS</t>
  </si>
  <si>
    <t>ICD Loni</t>
  </si>
  <si>
    <t>BBLLP NANAKRAMGUDA</t>
  </si>
  <si>
    <t>CMC LTD.</t>
  </si>
  <si>
    <t>M/S DLF, SEZ</t>
  </si>
  <si>
    <t>GCPL SEZ KOKAPET</t>
  </si>
  <si>
    <t>M/S SUNDEW, SEZ</t>
  </si>
  <si>
    <t>RELIANCE SEZ</t>
  </si>
  <si>
    <t>MDL NANAKRAMGUDA</t>
  </si>
  <si>
    <t>Leapuram</t>
  </si>
  <si>
    <t>D NSL IP LTD.</t>
  </si>
  <si>
    <t>WIPRO LTD. HYDERABAD</t>
  </si>
  <si>
    <t>Latu Bazar</t>
  </si>
  <si>
    <t>LUDHIANA</t>
  </si>
  <si>
    <t>FPO LUDHIANA</t>
  </si>
  <si>
    <t>Chennai (Ex Madras)</t>
  </si>
  <si>
    <t>Chennai(EPZ/SEZ)</t>
  </si>
  <si>
    <t>BRIGADE/SEZ/KANNADA</t>
  </si>
  <si>
    <t>EC OF TAMIL NADU</t>
  </si>
  <si>
    <t>Mahe</t>
  </si>
  <si>
    <t>INFOSYS/SEZ/MANGALOR</t>
  </si>
  <si>
    <t>Malpe</t>
  </si>
  <si>
    <t>Masulipatnam</t>
  </si>
  <si>
    <t>MANGALORE SEZ</t>
  </si>
  <si>
    <t>TRIL INFOPARK LTD.</t>
  </si>
  <si>
    <t>Moradabad(EPZ/SEZ)</t>
  </si>
  <si>
    <t>Pakwara (Moradabad)</t>
  </si>
  <si>
    <t>Madhosingh ICD</t>
  </si>
  <si>
    <t>Minicoi I</t>
  </si>
  <si>
    <t>Magdalla</t>
  </si>
  <si>
    <t>Mandideep ICD</t>
  </si>
  <si>
    <t>APIIC SEZ MEDAK</t>
  </si>
  <si>
    <t>Margao</t>
  </si>
  <si>
    <t>Muldwarka</t>
  </si>
  <si>
    <t>Mandapam</t>
  </si>
  <si>
    <t>KERN ICD MADURAI</t>
  </si>
  <si>
    <t>Mandvi</t>
  </si>
  <si>
    <t>Meadows</t>
  </si>
  <si>
    <t>APIIC-SEZ/ViII-LALGA</t>
  </si>
  <si>
    <t>Mahendraganj</t>
  </si>
  <si>
    <t>Mangrol</t>
  </si>
  <si>
    <t>Mahuva</t>
  </si>
  <si>
    <t>Kotawalighat (Mohedi</t>
  </si>
  <si>
    <t>Mahurighat</t>
  </si>
  <si>
    <t>Mahisashan Railway S</t>
  </si>
  <si>
    <t>Manikarchar</t>
  </si>
  <si>
    <t>MIKADO SEZ GURGAON</t>
  </si>
  <si>
    <t>Maroli</t>
  </si>
  <si>
    <t>Mallipuram</t>
  </si>
  <si>
    <t>Malwan</t>
  </si>
  <si>
    <t>Munabao Railway Stat</t>
  </si>
  <si>
    <t>Manori</t>
  </si>
  <si>
    <t>Manu</t>
  </si>
  <si>
    <t>Mandwa</t>
  </si>
  <si>
    <t>Mohanbari</t>
  </si>
  <si>
    <t>Moradabad</t>
  </si>
  <si>
    <t>TEST</t>
  </si>
  <si>
    <t>Malanpur ICD</t>
  </si>
  <si>
    <t>KIADB/SEZ/MANGALORE</t>
  </si>
  <si>
    <t>Mora</t>
  </si>
  <si>
    <t>Murad</t>
  </si>
  <si>
    <t>Moreh</t>
  </si>
  <si>
    <t>Miraj</t>
  </si>
  <si>
    <t>Marmagoa</t>
  </si>
  <si>
    <t>RENAIS/SEZ/BANGALORE</t>
  </si>
  <si>
    <t>Metwad</t>
  </si>
  <si>
    <t>SCPL/SEZ/MULUND</t>
  </si>
  <si>
    <t>Mulund ICD</t>
  </si>
  <si>
    <t>Mundra</t>
  </si>
  <si>
    <t>MODINAGAR ICD</t>
  </si>
  <si>
    <t>ICD Maliwada</t>
  </si>
  <si>
    <t>Mayabandar</t>
  </si>
  <si>
    <t>L AND T/SEZ/MYSORE</t>
  </si>
  <si>
    <t>OPTOINFRA/SEZ/MYSORE</t>
  </si>
  <si>
    <t>Mysore</t>
  </si>
  <si>
    <t>Muzaffarnagar</t>
  </si>
  <si>
    <t>Muzaffarpur</t>
  </si>
  <si>
    <t>Nagpur</t>
  </si>
  <si>
    <t>Nancowrie</t>
  </si>
  <si>
    <t>Navlakhi</t>
  </si>
  <si>
    <t>Noida(EPZ/SEZ)</t>
  </si>
  <si>
    <t>Nanded</t>
  </si>
  <si>
    <t>Nandgaon</t>
  </si>
  <si>
    <t>Tuglakabad</t>
  </si>
  <si>
    <t>Neendakara</t>
  </si>
  <si>
    <t>Nellore</t>
  </si>
  <si>
    <t>BUTIBORI ICD NAGPUR</t>
  </si>
  <si>
    <t>NAGARKATA LCS</t>
  </si>
  <si>
    <t>OSE SEZ NOIDA</t>
  </si>
  <si>
    <t>Nepalgunj Road</t>
  </si>
  <si>
    <t>Village Namgaya Ship</t>
  </si>
  <si>
    <t>INDIABULLS NASHIK</t>
  </si>
  <si>
    <t>Namkhana</t>
  </si>
  <si>
    <t>New Mangalore</t>
  </si>
  <si>
    <t>Neamati steamer Ghat</t>
  </si>
  <si>
    <t>AMRL SEZ NANGUNERI</t>
  </si>
  <si>
    <t>Nampong</t>
  </si>
  <si>
    <t>Nagapattinam</t>
  </si>
  <si>
    <t>AA LTD.</t>
  </si>
  <si>
    <t>Jawaharlal Nehru (Nh</t>
  </si>
  <si>
    <t>SHERATHANG LCS</t>
  </si>
  <si>
    <t>THOOTHIBARI LCS</t>
  </si>
  <si>
    <t>Kundli</t>
  </si>
  <si>
    <t>Navabunder(with its</t>
  </si>
  <si>
    <t>Navaspur</t>
  </si>
  <si>
    <t>Nivti</t>
  </si>
  <si>
    <t>Neyveli</t>
  </si>
  <si>
    <t>Newapur</t>
  </si>
  <si>
    <t>APIIC LTD.</t>
  </si>
  <si>
    <t>Okha</t>
  </si>
  <si>
    <t>Osmanabad</t>
  </si>
  <si>
    <t>Old Mundra Port</t>
  </si>
  <si>
    <t>Onjal</t>
  </si>
  <si>
    <t>Bilaspur</t>
  </si>
  <si>
    <t>KSITIL/SEZ/PAYYANOOR</t>
  </si>
  <si>
    <t>Panaji Port</t>
  </si>
  <si>
    <t>HBS SEZ PANOLI</t>
  </si>
  <si>
    <t>Panipat</t>
  </si>
  <si>
    <t>Patna</t>
  </si>
  <si>
    <t>Pipavav (Victor) Por</t>
  </si>
  <si>
    <t>Porbandar</t>
  </si>
  <si>
    <t>KAMARDWISA LCS</t>
  </si>
  <si>
    <t>Padubidri Minor Port</t>
  </si>
  <si>
    <t>EKIPL/SEZ/PUNE</t>
  </si>
  <si>
    <t>Pantnagar</t>
  </si>
  <si>
    <t>Phulbari</t>
  </si>
  <si>
    <t>Port Indai</t>
  </si>
  <si>
    <t>Pindhara</t>
  </si>
  <si>
    <t>ITL/SEZ/PUNE</t>
  </si>
  <si>
    <t>IGEL SEZ SETTIPALI</t>
  </si>
  <si>
    <t>ICD PALI, REWARI</t>
  </si>
  <si>
    <t>Pamban</t>
  </si>
  <si>
    <t>Pimpri</t>
  </si>
  <si>
    <t>MTDCCL/SEZ/PUNE</t>
  </si>
  <si>
    <t>BTSL SEZ PUNE</t>
  </si>
  <si>
    <t>NT PVT. LTD.</t>
  </si>
  <si>
    <t>PATNA FPO</t>
  </si>
  <si>
    <t>MITTAL SEZ PANIPAT</t>
  </si>
  <si>
    <t>Panjim</t>
  </si>
  <si>
    <t>KLPPL PANKI</t>
  </si>
  <si>
    <t>PERSIPINA SEZ RAIGAD</t>
  </si>
  <si>
    <t>Panambur</t>
  </si>
  <si>
    <t>Ponnani</t>
  </si>
  <si>
    <t>Babarpur</t>
  </si>
  <si>
    <t>Pune</t>
  </si>
  <si>
    <t>SERUM BIO/SEZ/PUNE</t>
  </si>
  <si>
    <t>Panitanki(Naxalbari)</t>
  </si>
  <si>
    <t>TMSF PVT. LTD.</t>
  </si>
  <si>
    <t>ICD Panvel</t>
  </si>
  <si>
    <t>ICD PULICHAPALLAM</t>
  </si>
  <si>
    <t>Patparganj ICD,DELHI</t>
  </si>
  <si>
    <t>Pellet Plant Jetty a</t>
  </si>
  <si>
    <t>PREPL SEZ PERUNGUDI</t>
  </si>
  <si>
    <t>Purangad</t>
  </si>
  <si>
    <t>ICD POWARKHEDA</t>
  </si>
  <si>
    <t>Paradeep</t>
  </si>
  <si>
    <t>Palshet</t>
  </si>
  <si>
    <t>SIPL/SEZ/PUNE</t>
  </si>
  <si>
    <t>PERFECT SEZ NOIDA</t>
  </si>
  <si>
    <t>NSPL SEZ HINJEWADI</t>
  </si>
  <si>
    <t>Patli ICD</t>
  </si>
  <si>
    <t>Portonovo</t>
  </si>
  <si>
    <t>Petrapole LCS</t>
  </si>
  <si>
    <t>AIGP SEZ WAGHOLI</t>
  </si>
  <si>
    <t>EON KHARADI SEZ</t>
  </si>
  <si>
    <t>KIPPLGDPLSEZ KHARADI</t>
  </si>
  <si>
    <t>Pulicat</t>
  </si>
  <si>
    <t>MIDC PUNE</t>
  </si>
  <si>
    <t>M/S KBTV PVT., PUNE</t>
  </si>
  <si>
    <t>Puri</t>
  </si>
  <si>
    <t>Puttaparthi</t>
  </si>
  <si>
    <t>Panvel ICD</t>
  </si>
  <si>
    <t>SNPIP SEZ TAMBARAM</t>
  </si>
  <si>
    <t>PALWAL ICD</t>
  </si>
  <si>
    <t>Jeypore</t>
  </si>
  <si>
    <t>SIPCOT SEZ ERODE</t>
  </si>
  <si>
    <t>HTPL ICD KILARAIPUR</t>
  </si>
  <si>
    <t>ADANI ICD KILARAIPUR</t>
  </si>
  <si>
    <t>Quilon</t>
  </si>
  <si>
    <t>Raipur</t>
  </si>
  <si>
    <t>Rajkot</t>
  </si>
  <si>
    <t>Rameshwaram</t>
  </si>
  <si>
    <t>Radhikapur Railway S</t>
  </si>
  <si>
    <t>Rewari</t>
  </si>
  <si>
    <t>Redi</t>
  </si>
  <si>
    <t>Rewa</t>
  </si>
  <si>
    <t>Old Raghna Bazar</t>
  </si>
  <si>
    <t>Balurghat</t>
  </si>
  <si>
    <t>RAIGANJ LCS RLY</t>
  </si>
  <si>
    <t>Ranghat Bay</t>
  </si>
  <si>
    <t>Ryngku</t>
  </si>
  <si>
    <t>Rajahmundry</t>
  </si>
  <si>
    <t>Rajouri</t>
  </si>
  <si>
    <t>LS PVT. LTD.</t>
  </si>
  <si>
    <t>Rajpara</t>
  </si>
  <si>
    <t>Rajpuri</t>
  </si>
  <si>
    <t>Rajakkamangalam</t>
  </si>
  <si>
    <t>Ramagundam</t>
  </si>
  <si>
    <t>CONCOR ICDNAYARAIPUR</t>
  </si>
  <si>
    <t>RANCHI FPO</t>
  </si>
  <si>
    <t>Ranaghat Railway Sta</t>
  </si>
  <si>
    <t>Ranpar</t>
  </si>
  <si>
    <t>Raddipalam</t>
  </si>
  <si>
    <t>RAIPUR FPO</t>
  </si>
  <si>
    <t>Raili</t>
  </si>
  <si>
    <t>Rourkela</t>
  </si>
  <si>
    <t>Ratnagiri</t>
  </si>
  <si>
    <t>CONCOR ICD RATLAM</t>
  </si>
  <si>
    <t>Rupsi</t>
  </si>
  <si>
    <t>Revdanda</t>
  </si>
  <si>
    <t>Raxaul</t>
  </si>
  <si>
    <t>Sabroom</t>
  </si>
  <si>
    <t>Sachin (Surat)</t>
  </si>
  <si>
    <t>NAVKAR ICD UMBERGAON</t>
  </si>
  <si>
    <t>Salaya</t>
  </si>
  <si>
    <t>INFOSYS SEZ MOHALI</t>
  </si>
  <si>
    <t>THAR DRY PORT</t>
  </si>
  <si>
    <t>BIOCON SEZ BANGALORE</t>
  </si>
  <si>
    <t>Sinbhour</t>
  </si>
  <si>
    <t>ICD Sabarmati</t>
  </si>
  <si>
    <t>KIADB/SEZ/BANGALORE</t>
  </si>
  <si>
    <t>INFOSYS/SEZ/BANGLORE</t>
  </si>
  <si>
    <t>WIPRO ELEC/SEZ/BLR</t>
  </si>
  <si>
    <t>SHELLA BAZAR</t>
  </si>
  <si>
    <t>SAP-SEZ SURAT</t>
  </si>
  <si>
    <t>GRFL ICD SAHNEWAL</t>
  </si>
  <si>
    <t>Shirola</t>
  </si>
  <si>
    <t>Shillong</t>
  </si>
  <si>
    <t>Sinbhour Port</t>
  </si>
  <si>
    <t>Daman and Diu</t>
  </si>
  <si>
    <t>Sikka</t>
  </si>
  <si>
    <t>Surajpur</t>
  </si>
  <si>
    <t>ICD KALINGANAGAR</t>
  </si>
  <si>
    <t>Sukhia Pokhari</t>
  </si>
  <si>
    <t>Singanallur</t>
  </si>
  <si>
    <t>Silcher R.M.S. Offic</t>
  </si>
  <si>
    <t>Silcher Steamerghat</t>
  </si>
  <si>
    <t>SALT LAKE (EPZ/SEZ)</t>
  </si>
  <si>
    <t>Simla</t>
  </si>
  <si>
    <t>KEONICS/SEZ/SHIMOGA</t>
  </si>
  <si>
    <t>Srimantapur</t>
  </si>
  <si>
    <t>Simor</t>
  </si>
  <si>
    <t>ANSAL SEZ SONEPAT</t>
  </si>
  <si>
    <t>Sonabarsa</t>
  </si>
  <si>
    <t>ICD, Hyderabad</t>
  </si>
  <si>
    <t>Singabad Railway Sta</t>
  </si>
  <si>
    <t>KANECH, ICD SAHNEWAL</t>
  </si>
  <si>
    <t>Sonauli</t>
  </si>
  <si>
    <t>ARI LTD.</t>
  </si>
  <si>
    <t>NLE PVT. LTD.</t>
  </si>
  <si>
    <t>CCLPIL SEZ VIZAG</t>
  </si>
  <si>
    <t>ASDI SEZ NELLORE</t>
  </si>
  <si>
    <t>Saharanpur</t>
  </si>
  <si>
    <t>KSITILA/SEZ/PALI/ALZ</t>
  </si>
  <si>
    <t>Surasani-Yanam</t>
  </si>
  <si>
    <t>Sholapur</t>
  </si>
  <si>
    <t>SIKTA LCS</t>
  </si>
  <si>
    <t>Sitai</t>
  </si>
  <si>
    <t>MIDC PHALTAN SEZ</t>
  </si>
  <si>
    <t>Satpati</t>
  </si>
  <si>
    <t>Sutarkandi</t>
  </si>
  <si>
    <t>Dadri STTPL CFS</t>
  </si>
  <si>
    <t>MIDC SEZ SATARA</t>
  </si>
  <si>
    <t>Surat</t>
  </si>
  <si>
    <t>Surat(EPZ/SEZ)</t>
  </si>
  <si>
    <t>Shriwardhan</t>
  </si>
  <si>
    <t>ELCOT AMMAPALAYAM</t>
  </si>
  <si>
    <t>Srinagar</t>
  </si>
  <si>
    <t>FPO SRINAGAR</t>
  </si>
  <si>
    <t>Salem</t>
  </si>
  <si>
    <t>Tadri</t>
  </si>
  <si>
    <t>SRICITYPVTLTD-SEZ</t>
  </si>
  <si>
    <t>CTS PVT. LTD.</t>
  </si>
  <si>
    <t>PHPL SEZ KANCHEPURAM</t>
  </si>
  <si>
    <t>SPIPL SEZ, PERUGULTH</t>
  </si>
  <si>
    <t>HEXAWARE TECH. LTD.</t>
  </si>
  <si>
    <t>TCS LTD.</t>
  </si>
  <si>
    <t>M/S TICS, ICD MATHIL</t>
  </si>
  <si>
    <t>Tudiyalur-Coimbatore</t>
  </si>
  <si>
    <t>Tezu</t>
  </si>
  <si>
    <t>Tellicherry</t>
  </si>
  <si>
    <t>SIPCOT GANGAKONDAN</t>
  </si>
  <si>
    <t>Tezpur</t>
  </si>
  <si>
    <t>KEIPL/ PUNE</t>
  </si>
  <si>
    <t>Thar Dry Port Jodhpu</t>
  </si>
  <si>
    <t>Thal</t>
  </si>
  <si>
    <t>Tiruppur-Thottiplaya</t>
  </si>
  <si>
    <t>Tirupati</t>
  </si>
  <si>
    <t>Tiviri</t>
  </si>
  <si>
    <t>Talaja</t>
  </si>
  <si>
    <t>Tezpur Steamerghat</t>
  </si>
  <si>
    <t>Thanjavur</t>
  </si>
  <si>
    <t>Tikonia</t>
  </si>
  <si>
    <t>Pune-Talegoan ICD</t>
  </si>
  <si>
    <t>L&amp;T SBL L&amp;T CHENNAI</t>
  </si>
  <si>
    <t>M/S IFFCO KISAN, SEZ</t>
  </si>
  <si>
    <t>Trombay</t>
  </si>
  <si>
    <t>ICD, THIMMAPUR,</t>
  </si>
  <si>
    <t>Thana</t>
  </si>
  <si>
    <t>CCCL SEZ TUTICORIN</t>
  </si>
  <si>
    <t>Tondi</t>
  </si>
  <si>
    <t>Tungi</t>
  </si>
  <si>
    <t>HIPL SEZ</t>
  </si>
  <si>
    <t>Tankari</t>
  </si>
  <si>
    <t>SSL SEZ TUTICORIN</t>
  </si>
  <si>
    <t>Thopputhurai</t>
  </si>
  <si>
    <t>ECTN SEZ TRICHY</t>
  </si>
  <si>
    <t>Talpona</t>
  </si>
  <si>
    <t>Tranquebar</t>
  </si>
  <si>
    <t>ICD Tiruvallur</t>
  </si>
  <si>
    <t>Tarapur</t>
  </si>
  <si>
    <t>Thiruvananthapuram (</t>
  </si>
  <si>
    <t>Tiruchirapalli</t>
  </si>
  <si>
    <t>HVCPL SEZ KADAYAM</t>
  </si>
  <si>
    <t>Dadri TTPL</t>
  </si>
  <si>
    <t>T.T. SHED (KIDDERPOR</t>
  </si>
  <si>
    <t>FCPL SEZ KESAVARAM</t>
  </si>
  <si>
    <t>Tuna</t>
  </si>
  <si>
    <t>Tirupur</t>
  </si>
  <si>
    <t>Tuticorin</t>
  </si>
  <si>
    <t>Tuticorin ICD</t>
  </si>
  <si>
    <t>KINFRAA SEZ</t>
  </si>
  <si>
    <t>ICD TONDIARPET CHENN</t>
  </si>
  <si>
    <t>Tirukkadayyur</t>
  </si>
  <si>
    <t>SYNEFRA-SEZ/UDUPI</t>
  </si>
  <si>
    <t>GHB-SEZ SURAT</t>
  </si>
  <si>
    <t>Udaipur</t>
  </si>
  <si>
    <t>ETLISL SEZ ERODE</t>
  </si>
  <si>
    <t>Ultapani</t>
  </si>
  <si>
    <t>Ulwa</t>
  </si>
  <si>
    <t>Umbergoan</t>
  </si>
  <si>
    <t>Umarsadi</t>
  </si>
  <si>
    <t>FAB CITY SPV-SEZ/SRI</t>
  </si>
  <si>
    <t>GMR HYDTABAD AVIATIO</t>
  </si>
  <si>
    <t>INDU TECHZONE PVT.</t>
  </si>
  <si>
    <t>TCS LTD. ADIBATLA</t>
  </si>
  <si>
    <t>Uttan</t>
  </si>
  <si>
    <t>Vadinar</t>
  </si>
  <si>
    <t>Valvada ICD</t>
  </si>
  <si>
    <t>Vapi</t>
  </si>
  <si>
    <t>Vengurla</t>
  </si>
  <si>
    <t>Veppalodai</t>
  </si>
  <si>
    <t>Vijayawada</t>
  </si>
  <si>
    <t>FPO VIJAYAWADA</t>
  </si>
  <si>
    <t>BHOJVA ICD VIRAMGAM</t>
  </si>
  <si>
    <t>HIRANANDANI BUIL.</t>
  </si>
  <si>
    <t>Valinokkam</t>
  </si>
  <si>
    <t>DISH/SEZ/KALYANGADH</t>
  </si>
  <si>
    <t>NG REALTY-SEZ/TALUKA</t>
  </si>
  <si>
    <t>SIPCOT LTD.</t>
  </si>
  <si>
    <t>FPO VARANASI</t>
  </si>
  <si>
    <t>Varavda</t>
  </si>
  <si>
    <t>Vadarevu</t>
  </si>
  <si>
    <t>APIIC (HALL NO.3)</t>
  </si>
  <si>
    <t>Vansi-Borsi</t>
  </si>
  <si>
    <t>APIIC- (HALL NO. 2)</t>
  </si>
  <si>
    <t>WIPRO SEZRESPUVANIPA</t>
  </si>
  <si>
    <t>Varsova</t>
  </si>
  <si>
    <t>CHEYYAR VELLORE</t>
  </si>
  <si>
    <t>Visakhapatnam</t>
  </si>
  <si>
    <t>Visakhapatnam SEZ</t>
  </si>
  <si>
    <t>Veraval</t>
  </si>
  <si>
    <t>Vijaydurg</t>
  </si>
  <si>
    <t>Vazhinjam</t>
  </si>
  <si>
    <t>DLL SEZ</t>
  </si>
  <si>
    <t>M/S DR. REDDY SEZ</t>
  </si>
  <si>
    <t>Waluj (Aurangabad)</t>
  </si>
  <si>
    <t>ICD Bangalore</t>
  </si>
  <si>
    <t>INFO/SEZ/BANGALORE</t>
  </si>
  <si>
    <t>ITPL SEZ II BENGALUR</t>
  </si>
  <si>
    <t>Warrangal</t>
  </si>
  <si>
    <t>WARDHA POWER CO LTD</t>
  </si>
  <si>
    <t>MODERN ASSET SEZ II</t>
  </si>
  <si>
    <t>MOSERN ASSET SEZ I</t>
  </si>
  <si>
    <t>KIP/SEZ/N BANGALORE</t>
  </si>
  <si>
    <t>L&amp;T CEL SEZ II</t>
  </si>
  <si>
    <t>MILESTONE/SEZ/BLR</t>
  </si>
  <si>
    <t>L&amp;T CEL SEZ I</t>
  </si>
  <si>
    <t>ZIPL-SEZ AHMEDABAD</t>
  </si>
  <si>
    <t>HTPL ICD Kilaraipur</t>
  </si>
  <si>
    <t>INRUG6</t>
  </si>
  <si>
    <t>ICD BARHI</t>
  </si>
  <si>
    <t>INKQZ6</t>
  </si>
  <si>
    <t>SATTVA BENGALURU ICD</t>
  </si>
  <si>
    <t>INNJP6</t>
  </si>
  <si>
    <t>DABGRAM ICD</t>
  </si>
  <si>
    <t>INCNN4</t>
  </si>
  <si>
    <t>ACC KANNUR</t>
  </si>
  <si>
    <t>INWDH6</t>
  </si>
  <si>
    <t>ICD MORBI</t>
  </si>
  <si>
    <t>INBLO6</t>
  </si>
  <si>
    <t>ICD Balli</t>
  </si>
  <si>
    <t>INDHB1</t>
  </si>
  <si>
    <t>Dhubari Steamerghat</t>
  </si>
  <si>
    <t>INGHW1</t>
  </si>
  <si>
    <t>Guwahati Steamerghat Pandu Port</t>
  </si>
  <si>
    <t>INBOA6</t>
  </si>
  <si>
    <t>ICD BORKHEDI</t>
  </si>
  <si>
    <t>INVKNB</t>
  </si>
  <si>
    <t>Valimikinagar</t>
  </si>
  <si>
    <t>INVRM6</t>
  </si>
  <si>
    <t>ICD VARNAMA</t>
  </si>
  <si>
    <t>INHEL6</t>
  </si>
  <si>
    <t>L&amp;T Reality Developers Limited</t>
  </si>
  <si>
    <t>INKGJB</t>
  </si>
  <si>
    <t>LCS Karimganj Steamerghat &amp; Ferry</t>
  </si>
  <si>
    <t>INLGL1</t>
  </si>
  <si>
    <t>Maia, Riverine Port</t>
  </si>
  <si>
    <t>Item_Category</t>
  </si>
  <si>
    <t>Input Type</t>
  </si>
  <si>
    <t>Flag_Reverse_Charge</t>
  </si>
  <si>
    <t>GST return quarter</t>
  </si>
  <si>
    <t>Flag_Import_Invoice</t>
  </si>
  <si>
    <t>GST return period</t>
  </si>
  <si>
    <t>Export_Category_Type</t>
  </si>
  <si>
    <t>Flag_if_GST_TDS_deducted</t>
  </si>
  <si>
    <t>Credit(C)/ Debit(D) Note Type</t>
  </si>
  <si>
    <t>ITC_Availability_type</t>
  </si>
  <si>
    <t>Type_Nil_Exempt_NonGST</t>
  </si>
  <si>
    <t>Type of Supplier</t>
  </si>
  <si>
    <t>CGST SGST rate</t>
  </si>
  <si>
    <t>State code and state</t>
  </si>
  <si>
    <t>Quarter</t>
  </si>
  <si>
    <t>Port code</t>
  </si>
  <si>
    <t xml:space="preserve">Deleted </t>
  </si>
  <si>
    <t>EXCLUSIVELY - NON BUSINESS</t>
  </si>
  <si>
    <t>Deemed Export</t>
  </si>
  <si>
    <t>Input</t>
  </si>
  <si>
    <t>Sales Return</t>
  </si>
  <si>
    <t xml:space="preserve">BAL-BALE </t>
  </si>
  <si>
    <t>3.1.1(i) Furnished by ECO</t>
  </si>
  <si>
    <t>Multiple Amendments</t>
  </si>
  <si>
    <t>Supply</t>
  </si>
  <si>
    <t>S</t>
  </si>
  <si>
    <t>EXCLUSIVELY - USED FOR EXEMPT SUPPLIES</t>
  </si>
  <si>
    <t>SEZ with payment of GST</t>
  </si>
  <si>
    <t>D</t>
  </si>
  <si>
    <t>Input Service</t>
  </si>
  <si>
    <t xml:space="preserve">BDL-BUNDLES </t>
  </si>
  <si>
    <t>Credit Note</t>
  </si>
  <si>
    <t>B2BA</t>
  </si>
  <si>
    <t>3.1.1(ii) Furnished by person making supplies through ECO</t>
  </si>
  <si>
    <t>B2CS</t>
  </si>
  <si>
    <t>B2Cs Amendment (B2Cs to B2B)</t>
  </si>
  <si>
    <t>GSTR1A</t>
  </si>
  <si>
    <t>Job Work</t>
  </si>
  <si>
    <t>DISALLOWED - U/S 17(5)</t>
  </si>
  <si>
    <t>SEZ without payment of GST</t>
  </si>
  <si>
    <t>Capital Good</t>
  </si>
  <si>
    <t>Deficiency in service</t>
  </si>
  <si>
    <t>NonGST</t>
  </si>
  <si>
    <t xml:space="preserve">BKL-BUCKLES </t>
  </si>
  <si>
    <t>Debit Note</t>
  </si>
  <si>
    <t>SEZWOP</t>
  </si>
  <si>
    <t>SKD/CKD</t>
  </si>
  <si>
    <t>EXCLUSIVELY - EXCEPT EXEMPT (INCL. ZERO RATED)</t>
  </si>
  <si>
    <t>Export with payment of GST</t>
  </si>
  <si>
    <t>Ineligible</t>
  </si>
  <si>
    <t>Correction in invoice</t>
  </si>
  <si>
    <t xml:space="preserve">BOU-BILLION OF UNITS </t>
  </si>
  <si>
    <t>Advance</t>
  </si>
  <si>
    <t>SEZWP</t>
  </si>
  <si>
    <t>Recipient Not Known</t>
  </si>
  <si>
    <t>COMMON CREDIT - PARTLY FOR BUSINESS AND PARTLY NON BUSINESS</t>
  </si>
  <si>
    <t>Export without payment of GST</t>
  </si>
  <si>
    <t>None</t>
  </si>
  <si>
    <t>Change in POS</t>
  </si>
  <si>
    <t xml:space="preserve">BOX-BOX </t>
  </si>
  <si>
    <t>Advance Adjustment</t>
  </si>
  <si>
    <t>DEXP</t>
  </si>
  <si>
    <t>For Own Use</t>
  </si>
  <si>
    <t>Intra-State supplies attracting IGST</t>
  </si>
  <si>
    <t>Finalization of Provisional assessment</t>
  </si>
  <si>
    <t xml:space="preserve">BTL-BOTTLES </t>
  </si>
  <si>
    <t>Challan</t>
  </si>
  <si>
    <t>Intra-state supplies attracting IGST</t>
  </si>
  <si>
    <t>Exhibition or Fairs</t>
  </si>
  <si>
    <t xml:space="preserve">BUN-BUNCHES </t>
  </si>
  <si>
    <t>Lines Sales</t>
  </si>
  <si>
    <t xml:space="preserve">CAN-CANS </t>
  </si>
  <si>
    <t>B2CSA</t>
  </si>
  <si>
    <t xml:space="preserve">CBM-CUBIC METERS </t>
  </si>
  <si>
    <t>Job work Returns</t>
  </si>
  <si>
    <t>Voucher type</t>
  </si>
  <si>
    <t>Type of supply</t>
  </si>
  <si>
    <t xml:space="preserve">CCM-CUBIC CENTIMETERS </t>
  </si>
  <si>
    <t>B2CLA</t>
  </si>
  <si>
    <t>Regular</t>
  </si>
  <si>
    <t>Refund voucher</t>
  </si>
  <si>
    <t>Inter</t>
  </si>
  <si>
    <t>Pre GST (only in case of Cr/Dr Note)</t>
  </si>
  <si>
    <t xml:space="preserve">CMS-CENTIMETERS </t>
  </si>
  <si>
    <t>SEZ WO Payment</t>
  </si>
  <si>
    <t>Advance voucher</t>
  </si>
  <si>
    <t>Intra</t>
  </si>
  <si>
    <t xml:space="preserve">CTN-CARTONS </t>
  </si>
  <si>
    <t>SEZ W Payment</t>
  </si>
  <si>
    <t>N</t>
  </si>
  <si>
    <t xml:space="preserve">DOZ-DOZENS </t>
  </si>
  <si>
    <t>EXPA</t>
  </si>
  <si>
    <t>Deemed Exp</t>
  </si>
  <si>
    <t xml:space="preserve">DRM-DRUMS </t>
  </si>
  <si>
    <t>UIN</t>
  </si>
  <si>
    <t>CDNR</t>
  </si>
  <si>
    <t xml:space="preserve">GGK-GREAT GROSS </t>
  </si>
  <si>
    <t>CDNRA</t>
  </si>
  <si>
    <t xml:space="preserve">GMS-GRAMMES </t>
  </si>
  <si>
    <t>CDNUR</t>
  </si>
  <si>
    <t xml:space="preserve">GRS-GROSS </t>
  </si>
  <si>
    <t>CDNURA</t>
  </si>
  <si>
    <t xml:space="preserve">GYD-GROSS YARDS </t>
  </si>
  <si>
    <t>Nil Rated</t>
  </si>
  <si>
    <t xml:space="preserve">KGS-KILOGRAMS </t>
  </si>
  <si>
    <t>Exempted</t>
  </si>
  <si>
    <t xml:space="preserve">KME-KILOMETRE </t>
  </si>
  <si>
    <t>BOS</t>
  </si>
  <si>
    <t>AT</t>
  </si>
  <si>
    <t>ATA</t>
  </si>
  <si>
    <t>25-Daman &amp; Diu</t>
  </si>
  <si>
    <t>26-Dadra &amp; Nagar Haveli and Daman and Diu</t>
  </si>
  <si>
    <t>31-Lakshadweep</t>
  </si>
  <si>
    <t>36-Telangana</t>
  </si>
  <si>
    <t>96- Foreign Country</t>
  </si>
  <si>
    <t>97-Other Territory</t>
  </si>
  <si>
    <t>LTR-LITERS</t>
  </si>
</sst>
</file>

<file path=xl/styles.xml><?xml version="1.0" encoding="utf-8"?>
<styleSheet xmlns="http://schemas.openxmlformats.org/spreadsheetml/2006/main">
  <numFmts count="8">
    <numFmt numFmtId="176" formatCode="mm/yy"/>
    <numFmt numFmtId="177" formatCode="dd\-mmm"/>
    <numFmt numFmtId="178" formatCode="mm/yyyy"/>
    <numFmt numFmtId="179" formatCode="mmm\-yy"/>
    <numFmt numFmtId="42" formatCode="_-&quot;£&quot;* #,##0_-;\-&quot;£&quot;* #,##0_-;_-&quot;£&quot;* &quot;-&quot;_-;_-@_-"/>
    <numFmt numFmtId="41" formatCode="_-* #,##0_-;\-* #,##0_-;_-* &quot;-&quot;_-;_-@_-"/>
    <numFmt numFmtId="43" formatCode="_-* #,##0.00_-;\-* #,##0.00_-;_-* &quot;-&quot;??_-;_-@_-"/>
    <numFmt numFmtId="44" formatCode="_-&quot;£&quot;* #,##0.00_-;\-&quot;£&quot;* #,##0.00_-;_-&quot;£&quot;* &quot;-&quot;??_-;_-@_-"/>
  </numFmts>
  <fonts count="63">
    <font>
      <sz val="11"/>
      <color theme="1"/>
      <name val="Calibri"/>
      <charset val="1"/>
    </font>
    <font>
      <sz val="10"/>
      <color theme="1"/>
      <name val="Arial"/>
      <charset val="1"/>
    </font>
    <font>
      <sz val="12"/>
      <color theme="1"/>
      <name val="Arial"/>
      <charset val="1"/>
    </font>
    <font>
      <sz val="10"/>
      <color rgb="FF000000"/>
      <name val="Arial"/>
      <charset val="1"/>
    </font>
    <font>
      <sz val="11"/>
      <color theme="1"/>
      <name val="Times New Roman"/>
      <charset val="1"/>
    </font>
    <font>
      <b/>
      <sz val="10"/>
      <color rgb="FF000000"/>
      <name val="Arial"/>
      <charset val="1"/>
    </font>
    <font>
      <sz val="11"/>
      <color rgb="FF000000"/>
      <name val="Times New Roman"/>
      <charset val="1"/>
    </font>
    <font>
      <b/>
      <sz val="11"/>
      <color theme="1"/>
      <name val="Calibri"/>
      <charset val="1"/>
    </font>
    <font>
      <b/>
      <sz val="12"/>
      <color theme="1"/>
      <name val="Arial"/>
      <charset val="1"/>
    </font>
    <font>
      <sz val="11"/>
      <color rgb="FF1D1C1D"/>
      <name val="Arial"/>
      <charset val="1"/>
    </font>
    <font>
      <b/>
      <sz val="10"/>
      <color theme="1"/>
      <name val="Arial"/>
      <charset val="1"/>
    </font>
    <font>
      <sz val="12"/>
      <color rgb="FF292A2E"/>
      <name val="Helvetica Neue"/>
      <charset val="1"/>
    </font>
    <font>
      <u/>
      <sz val="11"/>
      <color theme="10"/>
      <name val="Calibri"/>
      <charset val="1"/>
    </font>
    <font>
      <sz val="10"/>
      <color rgb="FF212529"/>
      <name val="Verdana"/>
      <charset val="1"/>
    </font>
    <font>
      <u/>
      <sz val="11"/>
      <color theme="10"/>
      <name val="Calibri"/>
      <charset val="134"/>
    </font>
    <font>
      <b/>
      <sz val="12"/>
      <color rgb="FF000000"/>
      <name val="Calibri"/>
      <charset val="1"/>
    </font>
    <font>
      <b/>
      <sz val="12"/>
      <color theme="1"/>
      <name val="Calibri"/>
      <charset val="1"/>
    </font>
    <font>
      <b/>
      <sz val="12"/>
      <color rgb="FF000000"/>
      <name val="Arial"/>
      <charset val="1"/>
    </font>
    <font>
      <sz val="12"/>
      <color theme="1"/>
      <name val="Calibri"/>
      <charset val="1"/>
    </font>
    <font>
      <sz val="12"/>
      <color rgb="FF000000"/>
      <name val="Calibri"/>
      <charset val="1"/>
    </font>
    <font>
      <sz val="12"/>
      <color rgb="FF1D2B36"/>
      <name val="Roboto"/>
      <charset val="1"/>
    </font>
    <font>
      <u/>
      <sz val="12"/>
      <color rgb="FF1155CC"/>
      <name val="Calibri"/>
      <charset val="1"/>
    </font>
    <font>
      <u/>
      <sz val="12"/>
      <color rgb="FF0000FF"/>
      <name val="Arial"/>
      <charset val="1"/>
    </font>
    <font>
      <sz val="12"/>
      <color rgb="FF000000"/>
      <name val="Arial"/>
      <charset val="1"/>
    </font>
    <font>
      <sz val="11"/>
      <color rgb="FF000000"/>
      <name val="Arial"/>
      <charset val="1"/>
    </font>
    <font>
      <b/>
      <sz val="16"/>
      <color rgb="FF000000"/>
      <name val="Arial"/>
      <charset val="1"/>
    </font>
    <font>
      <b/>
      <sz val="11"/>
      <color rgb="FF000000"/>
      <name val="Arial"/>
      <charset val="1"/>
    </font>
    <font>
      <u/>
      <sz val="11"/>
      <color theme="10"/>
      <name val="Arial"/>
      <charset val="1"/>
    </font>
    <font>
      <i/>
      <u/>
      <sz val="11"/>
      <color rgb="FF0563C1"/>
      <name val="Arial"/>
      <charset val="1"/>
    </font>
    <font>
      <b/>
      <u/>
      <sz val="14"/>
      <color rgb="FFFFFFFF"/>
      <name val="Arial"/>
      <charset val="1"/>
    </font>
    <font>
      <i/>
      <sz val="11"/>
      <color rgb="FF000000"/>
      <name val="Arial"/>
      <charset val="1"/>
    </font>
    <font>
      <u/>
      <sz val="11"/>
      <color rgb="FF0563C1"/>
      <name val="Arial"/>
      <charset val="1"/>
    </font>
    <font>
      <sz val="14"/>
      <color theme="1"/>
      <name val="Arial"/>
      <charset val="134"/>
    </font>
    <font>
      <b/>
      <sz val="14"/>
      <color rgb="FF000000"/>
      <name val="Arial"/>
      <charset val="134"/>
    </font>
    <font>
      <sz val="14"/>
      <color rgb="FF000000"/>
      <name val="Arial"/>
      <charset val="134"/>
    </font>
    <font>
      <b/>
      <sz val="14"/>
      <color theme="1"/>
      <name val="Arial"/>
      <charset val="134"/>
    </font>
    <font>
      <sz val="14"/>
      <color rgb="FF202124"/>
      <name val="Arial"/>
      <charset val="134"/>
    </font>
    <font>
      <sz val="14"/>
      <color rgb="FF1D1C1D"/>
      <name val="Arial"/>
      <charset val="134"/>
    </font>
    <font>
      <sz val="11"/>
      <color rgb="FF4D5156"/>
      <name val="Arial"/>
      <charset val="1"/>
    </font>
    <font>
      <sz val="11"/>
      <name val="Calibri"/>
      <charset val="1"/>
    </font>
    <font>
      <b/>
      <sz val="10"/>
      <color rgb="FF000000"/>
      <name val="Arial"/>
      <charset val="134"/>
    </font>
    <font>
      <b/>
      <sz val="12"/>
      <color theme="1"/>
      <name val="Arial"/>
      <charset val="134"/>
    </font>
    <font>
      <sz val="10"/>
      <name val="Arial"/>
      <charset val="134"/>
    </font>
    <font>
      <sz val="11"/>
      <color theme="1"/>
      <name val="Calibri"/>
      <charset val="134"/>
      <scheme val="minor"/>
    </font>
    <font>
      <b/>
      <sz val="13"/>
      <color theme="3"/>
      <name val="Calibri"/>
      <charset val="134"/>
      <scheme val="minor"/>
    </font>
    <font>
      <sz val="11"/>
      <color theme="1"/>
      <name val="Calibri"/>
      <charset val="0"/>
      <scheme val="minor"/>
    </font>
    <font>
      <b/>
      <sz val="18"/>
      <color theme="3"/>
      <name val="Calibri"/>
      <charset val="134"/>
      <scheme val="minor"/>
    </font>
    <font>
      <sz val="11"/>
      <color theme="0"/>
      <name val="Calibri"/>
      <charset val="0"/>
      <scheme val="minor"/>
    </font>
    <font>
      <b/>
      <sz val="15"/>
      <color theme="3"/>
      <name val="Calibri"/>
      <charset val="134"/>
      <scheme val="minor"/>
    </font>
    <font>
      <b/>
      <sz val="11"/>
      <color theme="3"/>
      <name val="Calibri"/>
      <charset val="134"/>
      <scheme val="minor"/>
    </font>
    <font>
      <sz val="11"/>
      <color rgb="FFFF0000"/>
      <name val="Calibri"/>
      <charset val="0"/>
      <scheme val="minor"/>
    </font>
    <font>
      <sz val="11"/>
      <color rgb="FF006100"/>
      <name val="Calibri"/>
      <charset val="0"/>
      <scheme val="minor"/>
    </font>
    <font>
      <i/>
      <sz val="11"/>
      <color rgb="FF7F7F7F"/>
      <name val="Calibri"/>
      <charset val="0"/>
      <scheme val="minor"/>
    </font>
    <font>
      <u/>
      <sz val="11"/>
      <color rgb="FF800080"/>
      <name val="Calibri"/>
      <charset val="0"/>
      <scheme val="minor"/>
    </font>
    <font>
      <b/>
      <sz val="11"/>
      <color theme="1"/>
      <name val="Calibri"/>
      <charset val="0"/>
      <scheme val="minor"/>
    </font>
    <font>
      <sz val="11"/>
      <color rgb="FF9C6500"/>
      <name val="Calibri"/>
      <charset val="0"/>
      <scheme val="minor"/>
    </font>
    <font>
      <b/>
      <sz val="11"/>
      <color rgb="FF3F3F3F"/>
      <name val="Calibri"/>
      <charset val="0"/>
      <scheme val="minor"/>
    </font>
    <font>
      <sz val="11"/>
      <color rgb="FF9C0006"/>
      <name val="Calibri"/>
      <charset val="0"/>
      <scheme val="minor"/>
    </font>
    <font>
      <sz val="11"/>
      <color rgb="FFFA7D00"/>
      <name val="Calibri"/>
      <charset val="0"/>
      <scheme val="minor"/>
    </font>
    <font>
      <sz val="11"/>
      <color rgb="FF3F3F76"/>
      <name val="Calibri"/>
      <charset val="0"/>
      <scheme val="minor"/>
    </font>
    <font>
      <b/>
      <sz val="11"/>
      <color rgb="FFFFFFFF"/>
      <name val="Calibri"/>
      <charset val="0"/>
      <scheme val="minor"/>
    </font>
    <font>
      <b/>
      <sz val="11"/>
      <color rgb="FFFA7D00"/>
      <name val="Calibri"/>
      <charset val="0"/>
      <scheme val="minor"/>
    </font>
    <font>
      <b/>
      <sz val="12"/>
      <color rgb="FFFF0000"/>
      <name val="Arial Nova Cond"/>
      <charset val="1"/>
    </font>
  </fonts>
  <fills count="45">
    <fill>
      <patternFill patternType="none"/>
    </fill>
    <fill>
      <patternFill patternType="gray125"/>
    </fill>
    <fill>
      <patternFill patternType="solid">
        <fgColor theme="0"/>
        <bgColor rgb="FFFFF2CC"/>
      </patternFill>
    </fill>
    <fill>
      <patternFill patternType="solid">
        <fgColor rgb="FFFEF2CB"/>
        <bgColor rgb="FFFFF2CC"/>
      </patternFill>
    </fill>
    <fill>
      <patternFill patternType="solid">
        <fgColor rgb="FFFFFFFF"/>
        <bgColor indexed="64"/>
      </patternFill>
    </fill>
    <fill>
      <patternFill patternType="solid">
        <fgColor rgb="FFFFFF00"/>
        <bgColor indexed="64"/>
      </patternFill>
    </fill>
    <fill>
      <patternFill patternType="solid">
        <fgColor rgb="FFDEEAF6"/>
        <bgColor rgb="FFD9E2F3"/>
      </patternFill>
    </fill>
    <fill>
      <patternFill patternType="solid">
        <fgColor rgb="FFFFF2CC"/>
        <bgColor rgb="FFFEF2CB"/>
      </patternFill>
    </fill>
    <fill>
      <patternFill patternType="solid">
        <fgColor rgb="FFFFDE16"/>
        <bgColor rgb="FFFFFF00"/>
      </patternFill>
    </fill>
    <fill>
      <patternFill patternType="solid">
        <fgColor rgb="FF00A0FF"/>
        <bgColor rgb="FF33CCCC"/>
      </patternFill>
    </fill>
    <fill>
      <patternFill patternType="solid">
        <fgColor rgb="FFE2EFD9"/>
        <bgColor rgb="FFE7E6E6"/>
      </patternFill>
    </fill>
    <fill>
      <patternFill patternType="solid">
        <fgColor theme="7" tint="0.799981688894314"/>
        <bgColor indexed="64"/>
      </patternFill>
    </fill>
    <fill>
      <patternFill patternType="solid">
        <fgColor theme="7" tint="0.799981688894314"/>
        <bgColor rgb="FFFFF2CC"/>
      </patternFill>
    </fill>
    <fill>
      <patternFill patternType="solid">
        <fgColor theme="7" tint="0.799981688894314"/>
        <bgColor rgb="FFDEEAF6"/>
      </patternFill>
    </fill>
    <fill>
      <patternFill patternType="solid">
        <fgColor theme="7" tint="0.799981688894314"/>
        <bgColor rgb="FFFEF2CB"/>
      </patternFill>
    </fill>
    <fill>
      <patternFill patternType="solid">
        <fgColor theme="5" tint="0.799981688894314"/>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rgb="FFFFFFCC"/>
        <bgColor indexed="64"/>
      </patternFill>
    </fill>
    <fill>
      <patternFill patternType="solid">
        <fgColor theme="8" tint="0.599993896298105"/>
        <bgColor indexed="64"/>
      </patternFill>
    </fill>
    <fill>
      <patternFill patternType="solid">
        <fgColor rgb="FFC6EFCE"/>
        <bgColor indexed="64"/>
      </patternFill>
    </fill>
    <fill>
      <patternFill patternType="solid">
        <fgColor theme="7"/>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9"/>
        <bgColor indexed="64"/>
      </patternFill>
    </fill>
    <fill>
      <patternFill patternType="solid">
        <fgColor theme="6"/>
        <bgColor indexed="64"/>
      </patternFill>
    </fill>
    <fill>
      <patternFill patternType="solid">
        <fgColor theme="5" tint="0.399975585192419"/>
        <bgColor indexed="64"/>
      </patternFill>
    </fill>
    <fill>
      <patternFill patternType="solid">
        <fgColor rgb="FFF2F2F2"/>
        <bgColor indexed="64"/>
      </patternFill>
    </fill>
    <fill>
      <patternFill patternType="solid">
        <fgColor rgb="FFFFC7CE"/>
        <bgColor indexed="64"/>
      </patternFill>
    </fill>
    <fill>
      <patternFill patternType="solid">
        <fgColor rgb="FFFFCC99"/>
        <bgColor indexed="64"/>
      </patternFill>
    </fill>
    <fill>
      <patternFill patternType="solid">
        <fgColor rgb="FFA5A5A5"/>
        <bgColor indexed="64"/>
      </patternFill>
    </fill>
    <fill>
      <patternFill patternType="solid">
        <fgColor theme="8"/>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6" tint="0.399975585192419"/>
        <bgColor indexed="64"/>
      </patternFill>
    </fill>
  </fills>
  <borders count="49">
    <border>
      <left/>
      <right/>
      <top/>
      <bottom/>
      <diagonal/>
    </border>
    <border>
      <left style="thin">
        <color auto="1"/>
      </left>
      <right style="thin">
        <color auto="1"/>
      </right>
      <top/>
      <bottom style="thin">
        <color auto="1"/>
      </bottom>
      <diagonal/>
    </border>
    <border>
      <left/>
      <right style="thin">
        <color auto="1"/>
      </right>
      <top/>
      <bottom style="thick">
        <color rgb="FFF4B083"/>
      </bottom>
      <diagonal/>
    </border>
    <border>
      <left style="medium">
        <color rgb="FFCCCCCC"/>
      </left>
      <right style="medium">
        <color rgb="FFCCCCCC"/>
      </right>
      <top style="medium">
        <color auto="1"/>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auto="1"/>
      </left>
      <right style="thin">
        <color auto="1"/>
      </right>
      <top style="thin">
        <color auto="1"/>
      </top>
      <bottom style="thin">
        <color auto="1"/>
      </bottom>
      <diagonal/>
    </border>
    <border>
      <left style="medium">
        <color rgb="FFDDDEE1"/>
      </left>
      <right style="medium">
        <color rgb="FFDDDEE1"/>
      </right>
      <top style="medium">
        <color rgb="FFDDDEE1"/>
      </top>
      <bottom/>
      <diagonal/>
    </border>
    <border>
      <left style="medium">
        <color rgb="FFDDDEE1"/>
      </left>
      <right style="medium">
        <color rgb="FFDDDEE1"/>
      </right>
      <top style="medium">
        <color rgb="FFDDDEE1"/>
      </top>
      <bottom style="medium">
        <color rgb="FFDDDEE1"/>
      </bottom>
      <diagonal/>
    </border>
    <border>
      <left style="thin">
        <color auto="1"/>
      </left>
      <right/>
      <top style="thin">
        <color auto="1"/>
      </top>
      <bottom style="thin">
        <color auto="1"/>
      </bottom>
      <diagonal/>
    </border>
    <border>
      <left style="thin">
        <color auto="1"/>
      </left>
      <right/>
      <top/>
      <bottom style="thin">
        <color auto="1"/>
      </bottom>
      <diagonal/>
    </border>
    <border>
      <left/>
      <right style="medium">
        <color rgb="FFCCCCCC"/>
      </right>
      <top style="medium">
        <color rgb="FFCCCCCC"/>
      </top>
      <bottom style="medium">
        <color rgb="FFCCCCCC"/>
      </bottom>
      <diagonal/>
    </border>
    <border>
      <left/>
      <right/>
      <top/>
      <bottom style="medium">
        <color rgb="FFD8D8D8"/>
      </bottom>
      <diagonal/>
    </border>
    <border>
      <left style="medium">
        <color rgb="FFCCCCCC"/>
      </left>
      <right style="medium">
        <color rgb="FFCCCCCC"/>
      </right>
      <top style="medium">
        <color rgb="FFCCCCCC"/>
      </top>
      <bottom style="medium">
        <color auto="1"/>
      </bottom>
      <diagonal/>
    </border>
    <border>
      <left style="medium">
        <color rgb="FFCCCCCC"/>
      </left>
      <right style="medium">
        <color auto="1"/>
      </right>
      <top style="medium">
        <color rgb="FFCCCCCC"/>
      </top>
      <bottom style="medium">
        <color rgb="FFCCCCCC"/>
      </bottom>
      <diagonal/>
    </border>
    <border>
      <left style="medium">
        <color rgb="FFCCCCCC"/>
      </left>
      <right style="medium">
        <color auto="1"/>
      </right>
      <top style="medium">
        <color rgb="FFCCCCCC"/>
      </top>
      <bottom style="medium">
        <color auto="1"/>
      </bottom>
      <diagonal/>
    </border>
    <border>
      <left style="medium">
        <color rgb="FFCCCCCC"/>
      </left>
      <right style="medium">
        <color rgb="FFCCCCCC"/>
      </right>
      <top style="medium">
        <color rgb="FFCCCCCC"/>
      </top>
      <bottom style="medium">
        <color rgb="FFBFBFBF"/>
      </bottom>
      <diagonal/>
    </border>
    <border>
      <left style="medium">
        <color rgb="FFCCCCCC"/>
      </left>
      <right/>
      <top style="medium">
        <color rgb="FFCCCCCC"/>
      </top>
      <bottom style="medium">
        <color rgb="FFCCCCCC"/>
      </bottom>
      <diagonal/>
    </border>
    <border>
      <left style="thin">
        <color auto="1"/>
      </left>
      <right style="medium">
        <color rgb="FFBFBFBF"/>
      </right>
      <top style="medium">
        <color rgb="FFBFBFBF"/>
      </top>
      <bottom style="medium">
        <color rgb="FFBFBFBF"/>
      </bottom>
      <diagonal/>
    </border>
    <border>
      <left style="thin">
        <color auto="1"/>
      </left>
      <right style="thin">
        <color auto="1"/>
      </right>
      <top style="medium">
        <color rgb="FFBFBFBF"/>
      </top>
      <bottom style="medium">
        <color rgb="FFBFBFBF"/>
      </bottom>
      <diagonal/>
    </border>
    <border>
      <left style="thin">
        <color auto="1"/>
      </left>
      <right style="thin">
        <color auto="1"/>
      </right>
      <top/>
      <bottom style="medium">
        <color rgb="FFBFBFBF"/>
      </bottom>
      <diagonal/>
    </border>
    <border>
      <left style="medium">
        <color rgb="FFCCCCCC"/>
      </left>
      <right style="medium">
        <color rgb="FFCCCCCC"/>
      </right>
      <top/>
      <bottom style="medium">
        <color rgb="FFCCCCCC"/>
      </bottom>
      <diagonal/>
    </border>
    <border>
      <left/>
      <right/>
      <top style="medium">
        <color rgb="FFCCCCCC"/>
      </top>
      <bottom style="medium">
        <color rgb="FFCCCCCC"/>
      </bottom>
      <diagonal/>
    </border>
    <border>
      <left style="medium">
        <color rgb="FFBFBFBF"/>
      </left>
      <right/>
      <top/>
      <bottom/>
      <diagonal/>
    </border>
    <border>
      <left style="medium">
        <color rgb="FFBFBFBF"/>
      </left>
      <right/>
      <top/>
      <bottom style="medium">
        <color rgb="FFBFBFBF"/>
      </bottom>
      <diagonal/>
    </border>
    <border>
      <left style="thin">
        <color rgb="FFFFFFFF"/>
      </left>
      <right style="thin">
        <color rgb="FFFFFFFF"/>
      </right>
      <top/>
      <bottom/>
      <diagonal/>
    </border>
    <border>
      <left style="thin">
        <color rgb="FFFFFFFF"/>
      </left>
      <right/>
      <top/>
      <bottom/>
      <diagonal/>
    </border>
    <border>
      <left style="medium">
        <color rgb="FFCCCCCC"/>
      </left>
      <right style="medium">
        <color rgb="FFCCCCCC"/>
      </right>
      <top style="medium">
        <color rgb="FFCCCCCC"/>
      </top>
      <bottom style="thin">
        <color rgb="FFD8D8D8"/>
      </bottom>
      <diagonal/>
    </border>
    <border>
      <left style="medium">
        <color rgb="FFCCCCCC"/>
      </left>
      <right style="medium">
        <color rgb="FFCCCCCC"/>
      </right>
      <top style="medium">
        <color rgb="FFCCCCCC"/>
      </top>
      <bottom/>
      <diagonal/>
    </border>
    <border>
      <left style="medium">
        <color rgb="FFE7E6E6"/>
      </left>
      <right style="medium">
        <color rgb="FFE7E6E6"/>
      </right>
      <top style="medium">
        <color rgb="FFE7E6E6"/>
      </top>
      <bottom style="medium">
        <color rgb="FFCCCCCC"/>
      </bottom>
      <diagonal/>
    </border>
    <border>
      <left style="medium">
        <color rgb="FFE7E6E6"/>
      </left>
      <right style="medium">
        <color rgb="FFE7E6E6"/>
      </right>
      <top style="medium">
        <color rgb="FFCCCCCC"/>
      </top>
      <bottom style="medium">
        <color rgb="FFE7E6E6"/>
      </bottom>
      <diagonal/>
    </border>
    <border>
      <left style="medium">
        <color rgb="FFE7E6E6"/>
      </left>
      <right style="medium">
        <color rgb="FFE7E6E6"/>
      </right>
      <top/>
      <bottom style="medium">
        <color rgb="FFCCCCCC"/>
      </bottom>
      <diagonal/>
    </border>
    <border>
      <left style="medium">
        <color rgb="FFE7E6E6"/>
      </left>
      <right style="medium">
        <color rgb="FFE7E6E6"/>
      </right>
      <top style="medium">
        <color rgb="FFCCCCCC"/>
      </top>
      <bottom style="medium">
        <color rgb="FFCCCCCC"/>
      </bottom>
      <diagonal/>
    </border>
    <border>
      <left style="medium">
        <color rgb="FFE7E6E6"/>
      </left>
      <right style="medium">
        <color rgb="FFE7E6E6"/>
      </right>
      <top style="medium">
        <color rgb="FFCCCCCC"/>
      </top>
      <bottom/>
      <diagonal/>
    </border>
    <border>
      <left style="medium">
        <color rgb="FFE7E6E6"/>
      </left>
      <right style="medium">
        <color rgb="FFE7E6E6"/>
      </right>
      <top style="medium">
        <color rgb="FFE7E6E6"/>
      </top>
      <bottom style="medium">
        <color rgb="FFE7E6E6"/>
      </bottom>
      <diagonal/>
    </border>
    <border>
      <left style="medium">
        <color rgb="FFE7E6E6"/>
      </left>
      <right style="medium">
        <color rgb="FFE7E6E6"/>
      </right>
      <top/>
      <bottom style="medium">
        <color rgb="FFE7E6E6"/>
      </bottom>
      <diagonal/>
    </border>
    <border>
      <left style="thin">
        <color auto="1"/>
      </left>
      <right style="thin">
        <color auto="1"/>
      </right>
      <top style="thin">
        <color auto="1"/>
      </top>
      <bottom/>
      <diagonal/>
    </border>
    <border>
      <left/>
      <right/>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top/>
      <bottom/>
      <diagonal/>
    </border>
    <border>
      <left/>
      <right style="thin">
        <color auto="1"/>
      </right>
      <top style="thin">
        <color auto="1"/>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47" fillId="41" borderId="0" applyNumberFormat="0" applyBorder="0" applyAlignment="0" applyProtection="0">
      <alignment vertical="center"/>
    </xf>
    <xf numFmtId="0" fontId="45" fillId="39" borderId="0" applyNumberFormat="0" applyBorder="0" applyAlignment="0" applyProtection="0">
      <alignment vertical="center"/>
    </xf>
    <xf numFmtId="0" fontId="47" fillId="17" borderId="0" applyNumberFormat="0" applyBorder="0" applyAlignment="0" applyProtection="0">
      <alignment vertical="center"/>
    </xf>
    <xf numFmtId="0" fontId="47" fillId="31" borderId="0" applyNumberFormat="0" applyBorder="0" applyAlignment="0" applyProtection="0">
      <alignment vertical="center"/>
    </xf>
    <xf numFmtId="0" fontId="45" fillId="19" borderId="0" applyNumberFormat="0" applyBorder="0" applyAlignment="0" applyProtection="0">
      <alignment vertical="center"/>
    </xf>
    <xf numFmtId="0" fontId="45" fillId="28" borderId="0" applyNumberFormat="0" applyBorder="0" applyAlignment="0" applyProtection="0">
      <alignment vertical="center"/>
    </xf>
    <xf numFmtId="0" fontId="47" fillId="24" borderId="0" applyNumberFormat="0" applyBorder="0" applyAlignment="0" applyProtection="0">
      <alignment vertical="center"/>
    </xf>
    <xf numFmtId="0" fontId="47" fillId="38" borderId="0" applyNumberFormat="0" applyBorder="0" applyAlignment="0" applyProtection="0">
      <alignment vertical="center"/>
    </xf>
    <xf numFmtId="0" fontId="45" fillId="43" borderId="0" applyNumberFormat="0" applyBorder="0" applyAlignment="0" applyProtection="0">
      <alignment vertical="center"/>
    </xf>
    <xf numFmtId="0" fontId="47" fillId="21" borderId="0" applyNumberFormat="0" applyBorder="0" applyAlignment="0" applyProtection="0">
      <alignment vertical="center"/>
    </xf>
    <xf numFmtId="0" fontId="58" fillId="0" borderId="46" applyNumberFormat="0" applyFill="0" applyAlignment="0" applyProtection="0">
      <alignment vertical="center"/>
    </xf>
    <xf numFmtId="0" fontId="45" fillId="23" borderId="0" applyNumberFormat="0" applyBorder="0" applyAlignment="0" applyProtection="0">
      <alignment vertical="center"/>
    </xf>
    <xf numFmtId="0" fontId="47" fillId="33" borderId="0" applyNumberFormat="0" applyBorder="0" applyAlignment="0" applyProtection="0">
      <alignment vertical="center"/>
    </xf>
    <xf numFmtId="0" fontId="47" fillId="32" borderId="0" applyNumberFormat="0" applyBorder="0" applyAlignment="0" applyProtection="0">
      <alignment vertical="center"/>
    </xf>
    <xf numFmtId="0" fontId="45" fillId="42" borderId="0" applyNumberFormat="0" applyBorder="0" applyAlignment="0" applyProtection="0">
      <alignment vertical="center"/>
    </xf>
    <xf numFmtId="0" fontId="45" fillId="15" borderId="0" applyNumberFormat="0" applyBorder="0" applyAlignment="0" applyProtection="0">
      <alignment vertical="center"/>
    </xf>
    <xf numFmtId="0" fontId="47" fillId="30" borderId="0" applyNumberFormat="0" applyBorder="0" applyAlignment="0" applyProtection="0">
      <alignment vertical="center"/>
    </xf>
    <xf numFmtId="0" fontId="45" fillId="40" borderId="0" applyNumberFormat="0" applyBorder="0" applyAlignment="0" applyProtection="0">
      <alignment vertical="center"/>
    </xf>
    <xf numFmtId="0" fontId="45" fillId="27" borderId="0" applyNumberFormat="0" applyBorder="0" applyAlignment="0" applyProtection="0">
      <alignment vertical="center"/>
    </xf>
    <xf numFmtId="0" fontId="47" fillId="26" borderId="0" applyNumberFormat="0" applyBorder="0" applyAlignment="0" applyProtection="0">
      <alignment vertical="center"/>
    </xf>
    <xf numFmtId="0" fontId="55" fillId="25" borderId="0" applyNumberFormat="0" applyBorder="0" applyAlignment="0" applyProtection="0">
      <alignment vertical="center"/>
    </xf>
    <xf numFmtId="0" fontId="47" fillId="29" borderId="0" applyNumberFormat="0" applyBorder="0" applyAlignment="0" applyProtection="0">
      <alignment vertical="center"/>
    </xf>
    <xf numFmtId="0" fontId="57" fillId="35" borderId="0" applyNumberFormat="0" applyBorder="0" applyAlignment="0" applyProtection="0">
      <alignment vertical="center"/>
    </xf>
    <xf numFmtId="0" fontId="45" fillId="11" borderId="0" applyNumberFormat="0" applyBorder="0" applyAlignment="0" applyProtection="0">
      <alignment vertical="center"/>
    </xf>
    <xf numFmtId="0" fontId="54" fillId="0" borderId="44" applyNumberFormat="0" applyFill="0" applyAlignment="0" applyProtection="0">
      <alignment vertical="center"/>
    </xf>
    <xf numFmtId="0" fontId="56" fillId="34" borderId="45" applyNumberFormat="0" applyAlignment="0" applyProtection="0">
      <alignment vertical="center"/>
    </xf>
    <xf numFmtId="44" fontId="43" fillId="0" borderId="0" applyFont="0" applyFill="0" applyBorder="0" applyAlignment="0" applyProtection="0">
      <alignment vertical="center"/>
    </xf>
    <xf numFmtId="0" fontId="45" fillId="22" borderId="0" applyNumberFormat="0" applyBorder="0" applyAlignment="0" applyProtection="0">
      <alignment vertical="center"/>
    </xf>
    <xf numFmtId="0" fontId="43" fillId="18" borderId="42" applyNumberFormat="0" applyFont="0" applyAlignment="0" applyProtection="0">
      <alignment vertical="center"/>
    </xf>
    <xf numFmtId="0" fontId="59" fillId="36" borderId="47" applyNumberFormat="0" applyAlignment="0" applyProtection="0">
      <alignment vertical="center"/>
    </xf>
    <xf numFmtId="0" fontId="49" fillId="0" borderId="0" applyNumberFormat="0" applyFill="0" applyBorder="0" applyAlignment="0" applyProtection="0">
      <alignment vertical="center"/>
    </xf>
    <xf numFmtId="0" fontId="61" fillId="34" borderId="47" applyNumberFormat="0" applyAlignment="0" applyProtection="0">
      <alignment vertical="center"/>
    </xf>
    <xf numFmtId="0" fontId="51" fillId="20" borderId="0" applyNumberFormat="0" applyBorder="0" applyAlignment="0" applyProtection="0">
      <alignment vertical="center"/>
    </xf>
    <xf numFmtId="0" fontId="49" fillId="0" borderId="43" applyNumberFormat="0" applyFill="0" applyAlignment="0" applyProtection="0">
      <alignment vertical="center"/>
    </xf>
    <xf numFmtId="0" fontId="52" fillId="0" borderId="0" applyNumberFormat="0" applyFill="0" applyBorder="0" applyAlignment="0" applyProtection="0">
      <alignment vertical="center"/>
    </xf>
    <xf numFmtId="0" fontId="48" fillId="0" borderId="41" applyNumberFormat="0" applyFill="0" applyAlignment="0" applyProtection="0">
      <alignment vertical="center"/>
    </xf>
    <xf numFmtId="41" fontId="43" fillId="0" borderId="0" applyFont="0" applyFill="0" applyBorder="0" applyAlignment="0" applyProtection="0">
      <alignment vertical="center"/>
    </xf>
    <xf numFmtId="0" fontId="45" fillId="16" borderId="0" applyNumberFormat="0" applyBorder="0" applyAlignment="0" applyProtection="0">
      <alignment vertical="center"/>
    </xf>
    <xf numFmtId="0" fontId="46" fillId="0" borderId="0" applyNumberFormat="0" applyFill="0" applyBorder="0" applyAlignment="0" applyProtection="0">
      <alignment vertical="center"/>
    </xf>
    <xf numFmtId="42" fontId="43" fillId="0" borderId="0" applyFont="0" applyFill="0" applyBorder="0" applyAlignment="0" applyProtection="0">
      <alignment vertical="center"/>
    </xf>
    <xf numFmtId="0" fontId="50"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44" fillId="0" borderId="41" applyNumberFormat="0" applyFill="0" applyAlignment="0" applyProtection="0">
      <alignment vertical="center"/>
    </xf>
    <xf numFmtId="43" fontId="43" fillId="0" borderId="0" applyFont="0" applyFill="0" applyBorder="0" applyAlignment="0" applyProtection="0">
      <alignment vertical="center"/>
    </xf>
    <xf numFmtId="0" fontId="60" fillId="37" borderId="48" applyNumberFormat="0" applyAlignment="0" applyProtection="0">
      <alignment vertical="center"/>
    </xf>
    <xf numFmtId="0" fontId="47" fillId="44" borderId="0" applyNumberFormat="0" applyBorder="0" applyAlignment="0" applyProtection="0">
      <alignment vertical="center"/>
    </xf>
    <xf numFmtId="9" fontId="43" fillId="0" borderId="0" applyFont="0" applyFill="0" applyBorder="0" applyAlignment="0" applyProtection="0">
      <alignment vertical="center"/>
    </xf>
    <xf numFmtId="0" fontId="14" fillId="0" borderId="0" applyNumberFormat="0" applyFill="0" applyBorder="0" applyAlignment="0" applyProtection="0"/>
  </cellStyleXfs>
  <cellXfs count="163">
    <xf numFmtId="0" fontId="0" fillId="0" borderId="0" xfId="0"/>
    <xf numFmtId="0" fontId="1" fillId="0" borderId="0" xfId="0" applyFont="1"/>
    <xf numFmtId="0" fontId="0" fillId="0" borderId="0" xfId="0" applyFont="1"/>
    <xf numFmtId="178" fontId="0" fillId="0" borderId="0" xfId="0" applyNumberFormat="1" applyFont="1"/>
    <xf numFmtId="0" fontId="2" fillId="2" borderId="1" xfId="0" applyFont="1" applyFill="1" applyBorder="1" applyAlignment="1">
      <alignment horizontal="left" vertical="center" wrapText="1"/>
    </xf>
    <xf numFmtId="2" fontId="0" fillId="0" borderId="0" xfId="0" applyNumberFormat="1" applyFont="1"/>
    <xf numFmtId="0" fontId="1" fillId="2" borderId="2" xfId="0" applyFont="1" applyFill="1" applyBorder="1" applyAlignment="1">
      <alignment horizontal="center" vertical="center" wrapText="1"/>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3" xfId="0" applyFont="1" applyBorder="1" applyAlignment="1">
      <alignment wrapText="1"/>
    </xf>
    <xf numFmtId="0" fontId="0" fillId="0" borderId="4" xfId="0" applyFont="1" applyBorder="1" applyAlignment="1">
      <alignment wrapText="1"/>
    </xf>
    <xf numFmtId="0" fontId="0" fillId="0" borderId="5" xfId="0" applyFont="1" applyBorder="1" applyAlignment="1">
      <alignment wrapText="1"/>
    </xf>
    <xf numFmtId="0" fontId="8" fillId="3" borderId="6" xfId="0" applyFont="1" applyFill="1" applyBorder="1" applyAlignment="1">
      <alignment horizontal="center" vertical="center"/>
    </xf>
    <xf numFmtId="0" fontId="8" fillId="3" borderId="1" xfId="0" applyFont="1" applyFill="1" applyBorder="1" applyAlignment="1">
      <alignment horizontal="center" vertical="center" wrapText="1"/>
    </xf>
    <xf numFmtId="0" fontId="9" fillId="0" borderId="0" xfId="0" applyFont="1"/>
    <xf numFmtId="0" fontId="10" fillId="0" borderId="0" xfId="0" applyFont="1"/>
    <xf numFmtId="0" fontId="11" fillId="4" borderId="7" xfId="0" applyFont="1" applyFill="1" applyBorder="1" applyAlignment="1">
      <alignment horizontal="left" vertical="top"/>
    </xf>
    <xf numFmtId="0" fontId="11" fillId="4" borderId="8" xfId="0" applyFont="1" applyFill="1" applyBorder="1" applyAlignment="1">
      <alignment horizontal="left" vertical="top"/>
    </xf>
    <xf numFmtId="0" fontId="12" fillId="0" borderId="0" xfId="0" applyFont="1" applyAlignment="1">
      <alignment horizontal="center"/>
    </xf>
    <xf numFmtId="0" fontId="0" fillId="0" borderId="6" xfId="0" applyFont="1" applyBorder="1"/>
    <xf numFmtId="0" fontId="5" fillId="0" borderId="6" xfId="0" applyFont="1" applyBorder="1" applyAlignment="1">
      <alignment horizontal="center" vertical="top" wrapText="1"/>
    </xf>
    <xf numFmtId="0" fontId="5" fillId="0" borderId="9" xfId="0" applyFont="1" applyBorder="1" applyAlignment="1">
      <alignment horizontal="center" vertical="top" wrapText="1"/>
    </xf>
    <xf numFmtId="0" fontId="13" fillId="0" borderId="6" xfId="0" applyFont="1" applyBorder="1" applyAlignment="1">
      <alignment vertical="top" wrapText="1"/>
    </xf>
    <xf numFmtId="0" fontId="13" fillId="0" borderId="10" xfId="0" applyFont="1" applyBorder="1" applyAlignment="1">
      <alignment vertical="top" wrapText="1"/>
    </xf>
    <xf numFmtId="0" fontId="0" fillId="0" borderId="6" xfId="0" applyFont="1" applyBorder="1" applyAlignment="1">
      <alignment horizontal="center" vertical="top" wrapText="1"/>
    </xf>
    <xf numFmtId="0" fontId="13" fillId="0" borderId="9" xfId="0" applyFont="1" applyBorder="1" applyAlignment="1">
      <alignment vertical="top" wrapText="1"/>
    </xf>
    <xf numFmtId="0" fontId="5" fillId="0" borderId="6" xfId="0" applyFont="1" applyBorder="1" applyAlignment="1">
      <alignment vertical="top"/>
    </xf>
    <xf numFmtId="0" fontId="13" fillId="5" borderId="6" xfId="0" applyFont="1" applyFill="1" applyBorder="1" applyAlignment="1">
      <alignment horizontal="left" vertical="top" wrapText="1"/>
    </xf>
    <xf numFmtId="0" fontId="13" fillId="0" borderId="6" xfId="0" applyFont="1" applyBorder="1" applyAlignment="1">
      <alignment horizontal="left" vertical="top" wrapText="1"/>
    </xf>
    <xf numFmtId="20" fontId="14" fillId="0" borderId="0" xfId="48" applyNumberFormat="1" applyAlignment="1">
      <alignment horizontal="right" vertical="center" wrapText="1"/>
    </xf>
    <xf numFmtId="0" fontId="15" fillId="0" borderId="0" xfId="0" applyFont="1"/>
    <xf numFmtId="0" fontId="5" fillId="6" borderId="0" xfId="0" applyFont="1" applyFill="1"/>
    <xf numFmtId="0" fontId="10" fillId="0" borderId="4" xfId="0" applyFont="1" applyBorder="1" applyAlignment="1">
      <alignment wrapText="1"/>
    </xf>
    <xf numFmtId="0" fontId="1" fillId="0" borderId="4" xfId="0" applyFont="1" applyBorder="1" applyAlignment="1">
      <alignment wrapText="1"/>
    </xf>
    <xf numFmtId="0" fontId="12" fillId="0" borderId="4" xfId="0" applyFont="1" applyBorder="1" applyAlignment="1">
      <alignment wrapText="1"/>
    </xf>
    <xf numFmtId="0" fontId="1" fillId="2" borderId="4" xfId="0" applyFont="1" applyFill="1" applyBorder="1" applyAlignment="1">
      <alignment horizontal="left" vertical="center"/>
    </xf>
    <xf numFmtId="0" fontId="1" fillId="0" borderId="4" xfId="0" applyFont="1" applyBorder="1" applyAlignment="1">
      <alignment horizontal="left" vertical="center"/>
    </xf>
    <xf numFmtId="0" fontId="16" fillId="6" borderId="4" xfId="0" applyFont="1" applyFill="1" applyBorder="1" applyAlignment="1">
      <alignment horizontal="left" vertical="center"/>
    </xf>
    <xf numFmtId="0" fontId="1" fillId="2" borderId="4" xfId="0" applyFont="1" applyFill="1" applyBorder="1" applyAlignment="1">
      <alignment wrapText="1"/>
    </xf>
    <xf numFmtId="0" fontId="16" fillId="2" borderId="4" xfId="0" applyFont="1" applyFill="1" applyBorder="1" applyAlignment="1">
      <alignment horizontal="left"/>
    </xf>
    <xf numFmtId="0" fontId="17" fillId="6" borderId="4" xfId="0" applyFont="1" applyFill="1" applyBorder="1" applyAlignment="1">
      <alignment vertical="center" wrapText="1"/>
    </xf>
    <xf numFmtId="0" fontId="17" fillId="6" borderId="4" xfId="0" applyFont="1" applyFill="1" applyBorder="1" applyAlignment="1">
      <alignment horizontal="left" vertical="center" wrapText="1"/>
    </xf>
    <xf numFmtId="0" fontId="3" fillId="0" borderId="4" xfId="0" applyFont="1" applyBorder="1" applyAlignment="1">
      <alignment vertical="center" wrapText="1"/>
    </xf>
    <xf numFmtId="0" fontId="3" fillId="0" borderId="4" xfId="0" applyFont="1" applyBorder="1" applyAlignment="1">
      <alignment horizontal="left" vertical="center" wrapText="1"/>
    </xf>
    <xf numFmtId="0" fontId="18" fillId="2" borderId="4" xfId="0" applyFont="1" applyFill="1" applyBorder="1" applyAlignment="1">
      <alignment horizontal="left" vertical="center"/>
    </xf>
    <xf numFmtId="0" fontId="10" fillId="2" borderId="4" xfId="0" applyFont="1" applyFill="1" applyBorder="1" applyAlignment="1">
      <alignment horizontal="left"/>
    </xf>
    <xf numFmtId="0" fontId="0" fillId="2" borderId="0" xfId="0" applyFont="1" applyFill="1"/>
    <xf numFmtId="0" fontId="1" fillId="2" borderId="11" xfId="0" applyFont="1" applyFill="1" applyBorder="1" applyAlignment="1">
      <alignment horizontal="left" vertical="center"/>
    </xf>
    <xf numFmtId="58" fontId="1" fillId="2" borderId="11" xfId="0" applyNumberFormat="1" applyFont="1" applyFill="1" applyBorder="1" applyAlignment="1">
      <alignment horizontal="left" vertical="center"/>
    </xf>
    <xf numFmtId="58" fontId="1" fillId="2" borderId="4" xfId="0" applyNumberFormat="1" applyFont="1" applyFill="1" applyBorder="1" applyAlignment="1">
      <alignment horizontal="left" vertical="center"/>
    </xf>
    <xf numFmtId="0" fontId="0" fillId="2" borderId="12" xfId="0" applyFont="1" applyFill="1" applyBorder="1"/>
    <xf numFmtId="58" fontId="3" fillId="0" borderId="4" xfId="0" applyNumberFormat="1" applyFont="1" applyBorder="1" applyAlignment="1">
      <alignment horizontal="left" vertical="center" wrapText="1"/>
    </xf>
    <xf numFmtId="177" fontId="3" fillId="0" borderId="4" xfId="0" applyNumberFormat="1" applyFont="1" applyBorder="1" applyAlignment="1">
      <alignment horizontal="left" vertical="center" wrapText="1"/>
    </xf>
    <xf numFmtId="0" fontId="6" fillId="0" borderId="4" xfId="0" applyFont="1" applyBorder="1" applyAlignment="1">
      <alignment horizontal="left" vertical="center" wrapText="1"/>
    </xf>
    <xf numFmtId="0" fontId="19" fillId="0" borderId="4" xfId="0" applyFont="1" applyBorder="1" applyAlignment="1">
      <alignment vertical="center" wrapText="1"/>
    </xf>
    <xf numFmtId="0" fontId="6" fillId="2" borderId="4" xfId="0" applyFont="1" applyFill="1" applyBorder="1" applyAlignment="1">
      <alignment horizontal="left" vertical="center" wrapText="1"/>
    </xf>
    <xf numFmtId="0" fontId="20" fillId="0" borderId="4" xfId="0" applyFont="1" applyBorder="1" applyAlignment="1">
      <alignment horizontal="left" vertical="center" wrapText="1"/>
    </xf>
    <xf numFmtId="0" fontId="19" fillId="0" borderId="4" xfId="0" applyFont="1" applyBorder="1" applyAlignment="1">
      <alignment horizontal="left" vertical="center" wrapText="1"/>
    </xf>
    <xf numFmtId="0" fontId="19" fillId="0" borderId="13" xfId="0" applyFont="1" applyBorder="1" applyAlignment="1">
      <alignment horizontal="left" vertical="center" wrapText="1"/>
    </xf>
    <xf numFmtId="0" fontId="19" fillId="0" borderId="14" xfId="0" applyFont="1" applyBorder="1" applyAlignment="1">
      <alignment horizontal="left" vertical="center" wrapText="1"/>
    </xf>
    <xf numFmtId="0" fontId="19" fillId="0" borderId="15" xfId="0" applyFont="1" applyBorder="1" applyAlignment="1">
      <alignment horizontal="left" vertical="center" wrapText="1"/>
    </xf>
    <xf numFmtId="0" fontId="21" fillId="0" borderId="4" xfId="0" applyFont="1" applyBorder="1" applyAlignment="1">
      <alignment horizontal="left" vertical="center" wrapText="1"/>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0" fontId="21" fillId="0" borderId="18" xfId="0" applyFont="1" applyBorder="1" applyAlignment="1">
      <alignment horizontal="left" vertical="center" wrapText="1"/>
    </xf>
    <xf numFmtId="0" fontId="19" fillId="0" borderId="18" xfId="0" applyFont="1" applyBorder="1" applyAlignment="1">
      <alignment horizontal="left" vertical="center" wrapText="1"/>
    </xf>
    <xf numFmtId="0" fontId="19" fillId="0" borderId="19" xfId="0" applyFont="1" applyBorder="1" applyAlignment="1">
      <alignment horizontal="left" vertical="center" wrapText="1"/>
    </xf>
    <xf numFmtId="0" fontId="19" fillId="0" borderId="20" xfId="0" applyFont="1" applyBorder="1" applyAlignment="1">
      <alignment horizontal="left" vertical="center" wrapText="1"/>
    </xf>
    <xf numFmtId="0" fontId="19" fillId="0" borderId="21" xfId="0" applyFont="1" applyBorder="1" applyAlignment="1">
      <alignment horizontal="left" vertical="center" wrapText="1"/>
    </xf>
    <xf numFmtId="58" fontId="1" fillId="2" borderId="22" xfId="0" applyNumberFormat="1" applyFont="1" applyFill="1" applyBorder="1" applyAlignment="1">
      <alignment horizontal="left" vertical="center"/>
    </xf>
    <xf numFmtId="0" fontId="0" fillId="2" borderId="23" xfId="0" applyFont="1" applyFill="1" applyBorder="1"/>
    <xf numFmtId="0" fontId="1" fillId="2" borderId="22" xfId="0" applyFont="1" applyFill="1" applyBorder="1" applyAlignment="1">
      <alignment horizontal="left" vertical="center"/>
    </xf>
    <xf numFmtId="0" fontId="0" fillId="2" borderId="24" xfId="0" applyFont="1" applyFill="1" applyBorder="1"/>
    <xf numFmtId="0" fontId="1" fillId="2" borderId="4" xfId="0" applyFont="1" applyFill="1" applyBorder="1" applyAlignment="1">
      <alignment horizontal="left"/>
    </xf>
    <xf numFmtId="58" fontId="1" fillId="2" borderId="4" xfId="0" applyNumberFormat="1" applyFont="1" applyFill="1" applyBorder="1" applyAlignment="1">
      <alignment horizontal="left"/>
    </xf>
    <xf numFmtId="0" fontId="13" fillId="0" borderId="4" xfId="0" applyFont="1" applyBorder="1" applyAlignment="1">
      <alignment horizontal="left" vertical="center" wrapText="1"/>
    </xf>
    <xf numFmtId="0" fontId="8" fillId="7" borderId="0" xfId="0" applyFont="1" applyFill="1"/>
    <xf numFmtId="0" fontId="2" fillId="0" borderId="0" xfId="0" applyFont="1"/>
    <xf numFmtId="0" fontId="2" fillId="0" borderId="0" xfId="0" applyFont="1" applyAlignment="1">
      <alignment horizontal="left"/>
    </xf>
    <xf numFmtId="0" fontId="22" fillId="0" borderId="0" xfId="0" applyFont="1"/>
    <xf numFmtId="0" fontId="23" fillId="0" borderId="0" xfId="0" applyFont="1"/>
    <xf numFmtId="0" fontId="24" fillId="0" borderId="0" xfId="0" applyFont="1"/>
    <xf numFmtId="0" fontId="24" fillId="0" borderId="25" xfId="0" applyFont="1" applyBorder="1"/>
    <xf numFmtId="0" fontId="24" fillId="0" borderId="26" xfId="0" applyFont="1" applyBorder="1" applyAlignment="1">
      <alignment horizontal="center"/>
    </xf>
    <xf numFmtId="0" fontId="25" fillId="0" borderId="0" xfId="0" applyFont="1" applyAlignment="1">
      <alignment horizontal="left" vertical="center"/>
    </xf>
    <xf numFmtId="0" fontId="25" fillId="8" borderId="0" xfId="0" applyFont="1" applyFill="1" applyAlignment="1">
      <alignment horizontal="center" vertical="center"/>
    </xf>
    <xf numFmtId="0" fontId="26" fillId="0" borderId="0" xfId="0" applyFont="1" applyAlignment="1">
      <alignment horizontal="left" vertical="center"/>
    </xf>
    <xf numFmtId="0" fontId="24" fillId="0" borderId="0" xfId="0" applyFont="1" applyAlignment="1">
      <alignment horizontal="left" vertical="top" wrapText="1"/>
    </xf>
    <xf numFmtId="0" fontId="26" fillId="0" borderId="0" xfId="0" applyFont="1" applyAlignment="1">
      <alignment horizontal="center" vertical="center"/>
    </xf>
    <xf numFmtId="0" fontId="27" fillId="0" borderId="0" xfId="0" applyFont="1" applyAlignment="1">
      <alignment horizontal="left" vertical="center"/>
    </xf>
    <xf numFmtId="0" fontId="28" fillId="0" borderId="0" xfId="0" applyFont="1" applyAlignment="1">
      <alignment horizontal="left" vertical="center"/>
    </xf>
    <xf numFmtId="0" fontId="24" fillId="0" borderId="0" xfId="0" applyFont="1" applyAlignment="1">
      <alignment horizontal="left" vertical="center"/>
    </xf>
    <xf numFmtId="0" fontId="29" fillId="9" borderId="0" xfId="0" applyFont="1" applyFill="1" applyAlignment="1">
      <alignment horizontal="center" vertical="center"/>
    </xf>
    <xf numFmtId="0" fontId="30" fillId="0" borderId="0" xfId="0" applyFont="1" applyAlignment="1">
      <alignment vertical="center"/>
    </xf>
    <xf numFmtId="0" fontId="24" fillId="0" borderId="0" xfId="0" applyFont="1" applyAlignment="1">
      <alignment vertical="top" wrapText="1"/>
    </xf>
    <xf numFmtId="0" fontId="31" fillId="0" borderId="0" xfId="0" applyFont="1" applyAlignment="1">
      <alignment horizontal="center" vertical="center"/>
    </xf>
    <xf numFmtId="0" fontId="32" fillId="0" borderId="0" xfId="0" applyFont="1"/>
    <xf numFmtId="0" fontId="32" fillId="0" borderId="0" xfId="0" applyFont="1" applyAlignment="1">
      <alignment wrapText="1"/>
    </xf>
    <xf numFmtId="0" fontId="33" fillId="10" borderId="4"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32" fillId="0" borderId="4" xfId="0" applyFont="1" applyBorder="1" applyAlignment="1">
      <alignment horizontal="center" vertical="center" wrapText="1"/>
    </xf>
    <xf numFmtId="0" fontId="34" fillId="0" borderId="0" xfId="0" applyFont="1" applyAlignment="1">
      <alignment horizontal="center" vertical="center" wrapText="1"/>
    </xf>
    <xf numFmtId="0" fontId="33" fillId="0" borderId="4" xfId="0" applyFont="1" applyBorder="1" applyAlignment="1">
      <alignment horizontal="center" vertical="center" wrapText="1"/>
    </xf>
    <xf numFmtId="0" fontId="34" fillId="0" borderId="4" xfId="0" applyFont="1" applyBorder="1" applyAlignment="1">
      <alignment horizontal="center" vertical="center" wrapText="1"/>
    </xf>
    <xf numFmtId="0" fontId="34" fillId="2" borderId="4" xfId="0" applyFont="1" applyFill="1" applyBorder="1" applyAlignment="1">
      <alignment horizontal="center" vertical="center" wrapText="1"/>
    </xf>
    <xf numFmtId="0" fontId="32" fillId="0" borderId="11" xfId="0" applyFont="1" applyBorder="1" applyAlignment="1">
      <alignment horizontal="center" vertical="center" wrapText="1"/>
    </xf>
    <xf numFmtId="0" fontId="35" fillId="2" borderId="4" xfId="0" applyFont="1" applyFill="1" applyBorder="1" applyAlignment="1">
      <alignment horizontal="center" vertical="center" wrapText="1"/>
    </xf>
    <xf numFmtId="0" fontId="32" fillId="0" borderId="27" xfId="0" applyFont="1" applyBorder="1" applyAlignment="1">
      <alignment horizontal="center" vertical="center" wrapText="1"/>
    </xf>
    <xf numFmtId="0" fontId="35" fillId="2" borderId="0" xfId="0" applyFont="1" applyFill="1" applyAlignment="1">
      <alignment horizontal="center" vertical="center" wrapText="1"/>
    </xf>
    <xf numFmtId="0" fontId="32" fillId="0" borderId="5" xfId="0" applyFont="1" applyBorder="1" applyAlignment="1">
      <alignment horizontal="center" vertical="center" wrapText="1"/>
    </xf>
    <xf numFmtId="0" fontId="32" fillId="0" borderId="21" xfId="0" applyFont="1" applyBorder="1" applyAlignment="1">
      <alignment horizontal="center" vertical="center" wrapText="1"/>
    </xf>
    <xf numFmtId="0" fontId="32" fillId="2" borderId="4" xfId="0" applyFont="1" applyFill="1" applyBorder="1" applyAlignment="1">
      <alignment horizontal="center" vertical="center" wrapText="1"/>
    </xf>
    <xf numFmtId="0" fontId="33" fillId="2" borderId="28" xfId="0" applyFont="1" applyFill="1" applyBorder="1" applyAlignment="1">
      <alignment horizontal="center" vertical="center" wrapText="1"/>
    </xf>
    <xf numFmtId="0" fontId="35" fillId="2" borderId="29" xfId="0" applyFont="1" applyFill="1" applyBorder="1" applyAlignment="1">
      <alignment horizontal="center" vertical="center" wrapText="1"/>
    </xf>
    <xf numFmtId="0" fontId="36" fillId="0" borderId="0" xfId="0" applyFont="1" applyAlignment="1">
      <alignment horizontal="center" vertical="center" wrapText="1"/>
    </xf>
    <xf numFmtId="0" fontId="35" fillId="2" borderId="30" xfId="0" applyFont="1" applyFill="1" applyBorder="1" applyAlignment="1">
      <alignment horizontal="center" vertical="center" wrapText="1"/>
    </xf>
    <xf numFmtId="0" fontId="35" fillId="2" borderId="31" xfId="0" applyFont="1" applyFill="1" applyBorder="1" applyAlignment="1">
      <alignment horizontal="center" vertical="center" wrapText="1"/>
    </xf>
    <xf numFmtId="0" fontId="32" fillId="0" borderId="4" xfId="0" applyFont="1" applyBorder="1" applyAlignment="1">
      <alignment horizontal="center" wrapText="1"/>
    </xf>
    <xf numFmtId="0" fontId="35" fillId="2" borderId="32" xfId="0" applyFont="1" applyFill="1" applyBorder="1" applyAlignment="1">
      <alignment horizontal="center" vertical="center" wrapText="1"/>
    </xf>
    <xf numFmtId="0" fontId="35" fillId="2" borderId="33" xfId="0" applyFont="1" applyFill="1" applyBorder="1" applyAlignment="1">
      <alignment horizontal="center" vertical="center" wrapText="1"/>
    </xf>
    <xf numFmtId="0" fontId="35" fillId="2" borderId="34" xfId="0" applyFont="1" applyFill="1" applyBorder="1" applyAlignment="1">
      <alignment horizontal="center" vertical="center" wrapText="1"/>
    </xf>
    <xf numFmtId="0" fontId="35" fillId="2" borderId="35" xfId="0" applyFont="1" applyFill="1" applyBorder="1" applyAlignment="1">
      <alignment horizontal="center" vertical="center" wrapText="1"/>
    </xf>
    <xf numFmtId="0" fontId="33" fillId="0" borderId="0" xfId="0" applyFont="1" applyAlignment="1">
      <alignment horizontal="left"/>
    </xf>
    <xf numFmtId="0" fontId="34" fillId="0" borderId="5" xfId="0" applyFont="1" applyBorder="1" applyAlignment="1">
      <alignment horizontal="center" vertical="center" wrapText="1"/>
    </xf>
    <xf numFmtId="0" fontId="34" fillId="0" borderId="4" xfId="0" applyFont="1" applyBorder="1" applyAlignment="1">
      <alignment vertical="top" wrapText="1"/>
    </xf>
    <xf numFmtId="0" fontId="32" fillId="0" borderId="0" xfId="0" applyFont="1" applyAlignment="1">
      <alignment horizontal="center" vertical="center"/>
    </xf>
    <xf numFmtId="58" fontId="32" fillId="0" borderId="4" xfId="0" applyNumberFormat="1" applyFont="1" applyBorder="1" applyAlignment="1">
      <alignment horizontal="center" vertical="center" wrapText="1"/>
    </xf>
    <xf numFmtId="0" fontId="37" fillId="0" borderId="0" xfId="0" applyFont="1" applyAlignment="1">
      <alignment horizontal="center" vertical="center" wrapText="1"/>
    </xf>
    <xf numFmtId="176" fontId="32" fillId="2" borderId="4" xfId="0" applyNumberFormat="1" applyFont="1" applyFill="1" applyBorder="1" applyAlignment="1">
      <alignment horizontal="center" vertical="center" wrapText="1"/>
    </xf>
    <xf numFmtId="9" fontId="32" fillId="2" borderId="4" xfId="0" applyNumberFormat="1" applyFont="1" applyFill="1" applyBorder="1" applyAlignment="1">
      <alignment horizontal="center" vertical="center" wrapText="1"/>
    </xf>
    <xf numFmtId="58" fontId="32" fillId="0" borderId="4" xfId="0" applyNumberFormat="1" applyFont="1" applyBorder="1" applyAlignment="1">
      <alignment horizontal="center" wrapText="1"/>
    </xf>
    <xf numFmtId="179" fontId="34" fillId="0" borderId="4" xfId="0" applyNumberFormat="1" applyFont="1" applyBorder="1" applyAlignment="1">
      <alignment horizontal="center" vertical="center" wrapText="1"/>
    </xf>
    <xf numFmtId="58" fontId="34" fillId="0" borderId="4" xfId="0" applyNumberFormat="1" applyFont="1" applyBorder="1" applyAlignment="1">
      <alignment horizontal="center" vertical="center" wrapText="1"/>
    </xf>
    <xf numFmtId="0" fontId="34" fillId="0" borderId="0" xfId="0" applyFont="1" applyAlignment="1">
      <alignment wrapText="1"/>
    </xf>
    <xf numFmtId="0" fontId="0" fillId="11" borderId="0" xfId="0" applyFill="1"/>
    <xf numFmtId="0" fontId="5" fillId="0" borderId="36" xfId="0" applyFont="1" applyBorder="1" applyAlignment="1">
      <alignment horizontal="center" vertical="center" wrapText="1"/>
    </xf>
    <xf numFmtId="0" fontId="8" fillId="12" borderId="6" xfId="0" applyFont="1" applyFill="1" applyBorder="1" applyAlignment="1">
      <alignment horizontal="center" vertical="center" wrapText="1"/>
    </xf>
    <xf numFmtId="0" fontId="8" fillId="13" borderId="6" xfId="0" applyFont="1" applyFill="1" applyBorder="1" applyAlignment="1">
      <alignment horizontal="center" vertical="center" wrapText="1"/>
    </xf>
    <xf numFmtId="58" fontId="0" fillId="0" borderId="0" xfId="0" applyNumberFormat="1" applyFont="1"/>
    <xf numFmtId="0" fontId="5" fillId="0" borderId="6" xfId="0" applyFont="1" applyBorder="1" applyAlignment="1">
      <alignment vertical="center" wrapText="1"/>
    </xf>
    <xf numFmtId="0" fontId="38" fillId="0" borderId="0" xfId="0" applyFont="1"/>
    <xf numFmtId="0" fontId="0" fillId="0" borderId="36" xfId="0" applyFont="1" applyBorder="1"/>
    <xf numFmtId="0" fontId="7" fillId="0" borderId="36" xfId="0" applyFont="1" applyBorder="1" applyAlignment="1">
      <alignment horizontal="center" vertical="center"/>
    </xf>
    <xf numFmtId="0" fontId="2" fillId="0" borderId="36" xfId="0" applyFont="1" applyBorder="1" applyAlignment="1">
      <alignment horizontal="center" vertical="center"/>
    </xf>
    <xf numFmtId="0" fontId="0" fillId="0" borderId="37" xfId="0" applyFont="1" applyBorder="1"/>
    <xf numFmtId="0" fontId="2" fillId="2" borderId="38" xfId="0" applyFont="1" applyFill="1" applyBorder="1" applyAlignment="1">
      <alignment horizontal="center" wrapText="1"/>
    </xf>
    <xf numFmtId="0" fontId="0" fillId="0" borderId="39" xfId="0" applyFont="1" applyBorder="1"/>
    <xf numFmtId="0" fontId="5" fillId="0" borderId="36" xfId="0" applyFont="1" applyBorder="1" applyAlignment="1">
      <alignment horizontal="center" vertical="center"/>
    </xf>
    <xf numFmtId="178" fontId="0" fillId="0" borderId="6" xfId="0" applyNumberFormat="1" applyFont="1" applyBorder="1"/>
    <xf numFmtId="178" fontId="8" fillId="12" borderId="6" xfId="0" applyNumberFormat="1" applyFont="1" applyFill="1" applyBorder="1" applyAlignment="1">
      <alignment horizontal="center" vertical="center" wrapText="1"/>
    </xf>
    <xf numFmtId="176" fontId="0" fillId="0" borderId="0" xfId="0" applyNumberFormat="1" applyFont="1"/>
    <xf numFmtId="2" fontId="0" fillId="0" borderId="6" xfId="0" applyNumberFormat="1" applyFont="1" applyBorder="1"/>
    <xf numFmtId="0" fontId="39" fillId="0" borderId="40" xfId="0" applyFont="1" applyBorder="1"/>
    <xf numFmtId="2" fontId="0" fillId="0" borderId="36" xfId="0" applyNumberFormat="1" applyFont="1" applyBorder="1"/>
    <xf numFmtId="2" fontId="8" fillId="12" borderId="6" xfId="0" applyNumberFormat="1" applyFont="1" applyFill="1" applyBorder="1" applyAlignment="1">
      <alignment horizontal="center" vertical="center" wrapText="1"/>
    </xf>
    <xf numFmtId="0" fontId="40" fillId="0" borderId="6" xfId="0" applyFont="1" applyBorder="1" applyAlignment="1">
      <alignment horizontal="center" vertical="center" wrapText="1"/>
    </xf>
    <xf numFmtId="0" fontId="41" fillId="11" borderId="6" xfId="0" applyFont="1" applyFill="1" applyBorder="1" applyAlignment="1">
      <alignment horizontal="center" vertical="center" wrapText="1"/>
    </xf>
    <xf numFmtId="0" fontId="42" fillId="0" borderId="6" xfId="0" applyFont="1" applyBorder="1"/>
    <xf numFmtId="0" fontId="8" fillId="12" borderId="6" xfId="0" applyFont="1" applyFill="1" applyBorder="1" applyAlignment="1">
      <alignment horizontal="center" vertical="center"/>
    </xf>
    <xf numFmtId="0" fontId="17" fillId="14" borderId="6" xfId="0" applyFont="1" applyFill="1" applyBorder="1" applyAlignment="1">
      <alignment horizontal="center" vertical="center"/>
    </xf>
    <xf numFmtId="179" fontId="34" fillId="0" borderId="4" xfId="0" applyNumberFormat="1" applyFont="1" applyBorder="1" applyAlignment="1" quotePrefix="1">
      <alignment horizontal="center" vertical="center" wrapText="1"/>
    </xf>
    <xf numFmtId="58" fontId="34" fillId="0" borderId="4" xfId="0" applyNumberFormat="1" applyFont="1" applyBorder="1" applyAlignment="1" quotePrefix="1">
      <alignment horizontal="center"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DEEAF6"/>
      <rgbColor rgb="00660066"/>
      <rgbColor rgb="00FF8080"/>
      <rgbColor rgb="000563C1"/>
      <rgbColor rgb="00CCCCCC"/>
      <rgbColor rgb="00000080"/>
      <rgbColor rgb="00FF00FF"/>
      <rgbColor rgb="00FFFF00"/>
      <rgbColor rgb="0000FFFF"/>
      <rgbColor rgb="00800080"/>
      <rgbColor rgb="00800000"/>
      <rgbColor rgb="00008080"/>
      <rgbColor rgb="000000FF"/>
      <rgbColor rgb="0000A0FF"/>
      <rgbColor rgb="00D9E2F3"/>
      <rgbColor rgb="00E2EFD9"/>
      <rgbColor rgb="00FEF2CB"/>
      <rgbColor rgb="00D8D8D8"/>
      <rgbColor rgb="00FBE4D5"/>
      <rgbColor rgb="00E7E6E6"/>
      <rgbColor rgb="00F4B083"/>
      <rgbColor rgb="001155CC"/>
      <rgbColor rgb="0033CCCC"/>
      <rgbColor rgb="0099CC00"/>
      <rgbColor rgb="00FFDE16"/>
      <rgbColor rgb="00FF9900"/>
      <rgbColor rgb="00FF6600"/>
      <rgbColor rgb="004D5156"/>
      <rgbColor rgb="00969696"/>
      <rgbColor rgb="001D1C1D"/>
      <rgbColor rgb="00339966"/>
      <rgbColor rgb="00202124"/>
      <rgbColor rgb="00212529"/>
      <rgbColor rgb="00993300"/>
      <rgbColor rgb="00993366"/>
      <rgbColor rgb="00333399"/>
      <rgbColor rgb="001D2B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47520</xdr:colOff>
      <xdr:row>2</xdr:row>
      <xdr:rowOff>57240</xdr:rowOff>
    </xdr:from>
    <xdr:to>
      <xdr:col>3</xdr:col>
      <xdr:colOff>362160</xdr:colOff>
      <xdr:row>3</xdr:row>
      <xdr:rowOff>123120</xdr:rowOff>
    </xdr:to>
    <xdr:pic>
      <xdr:nvPicPr>
        <xdr:cNvPr id="2" name="image1.png"/>
        <xdr:cNvPicPr/>
      </xdr:nvPicPr>
      <xdr:blipFill>
        <a:blip r:embed="rId1"/>
        <a:stretch>
          <a:fillRect/>
        </a:stretch>
      </xdr:blipFill>
      <xdr:spPr>
        <a:xfrm>
          <a:off x="751205" y="412750"/>
          <a:ext cx="1723390" cy="243205"/>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inv.no/"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inv.n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inv.no/"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invoice1.gst.gov.in/Others/MasterCod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999"/>
  <sheetViews>
    <sheetView tabSelected="1" workbookViewId="0">
      <selection activeCell="A4" sqref="A4"/>
    </sheetView>
  </sheetViews>
  <sheetFormatPr defaultColWidth="14.5" defaultRowHeight="14"/>
  <cols>
    <col min="1" max="1" width="17.5703125" customWidth="1"/>
    <col min="6" max="6" width="24.8359375" customWidth="1"/>
    <col min="11" max="11" width="17.8359375" customWidth="1"/>
    <col min="30" max="30" width="14.5" style="2"/>
    <col min="39" max="39" width="18.5" customWidth="1"/>
    <col min="41" max="41" width="24.6640625" customWidth="1"/>
    <col min="42" max="44" width="20.1640625" customWidth="1"/>
    <col min="45" max="45" width="26.6640625" customWidth="1"/>
    <col min="49" max="50" width="19.5" customWidth="1"/>
    <col min="51" max="51" width="35" customWidth="1"/>
    <col min="52" max="54" width="12.1640625" customWidth="1"/>
    <col min="55" max="62" width="15.6640625" customWidth="1"/>
  </cols>
  <sheetData>
    <row r="1" spans="1:62">
      <c r="A1" s="7" t="s">
        <v>0</v>
      </c>
      <c r="B1" s="2"/>
      <c r="C1" s="2"/>
      <c r="D1" s="2"/>
      <c r="E1" s="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151"/>
      <c r="AO1" s="22"/>
      <c r="AP1" s="22"/>
      <c r="AQ1" s="22"/>
      <c r="AR1" s="22"/>
      <c r="AS1" s="22"/>
      <c r="AT1" s="22"/>
      <c r="AU1" s="154"/>
      <c r="AV1" s="22"/>
      <c r="AW1" s="22"/>
      <c r="AX1" s="22"/>
      <c r="AY1" s="22"/>
      <c r="AZ1" s="22"/>
      <c r="BA1" s="22"/>
      <c r="BB1" s="22"/>
      <c r="BC1" s="22"/>
      <c r="BD1" s="22"/>
      <c r="BE1" s="22"/>
      <c r="BF1" s="22"/>
      <c r="BG1" s="22"/>
      <c r="BH1" s="22"/>
      <c r="BI1" s="22"/>
      <c r="BJ1" s="22"/>
    </row>
    <row r="2" ht="51" customHeight="1" spans="1:76">
      <c r="A2" s="138" t="s">
        <v>1</v>
      </c>
      <c r="B2" s="138"/>
      <c r="C2" s="138"/>
      <c r="D2" s="138"/>
      <c r="E2" s="138"/>
      <c r="F2" s="142" t="s">
        <v>2</v>
      </c>
      <c r="G2" s="138" t="s">
        <v>3</v>
      </c>
      <c r="H2" s="138"/>
      <c r="I2" s="138"/>
      <c r="J2" s="138"/>
      <c r="K2" s="138"/>
      <c r="L2" s="138"/>
      <c r="M2" s="144"/>
      <c r="N2" s="144"/>
      <c r="O2" s="145" t="s">
        <v>4</v>
      </c>
      <c r="P2" s="145"/>
      <c r="Q2" s="145"/>
      <c r="R2" s="145"/>
      <c r="S2" s="145"/>
      <c r="T2" s="145"/>
      <c r="U2" s="145"/>
      <c r="V2" s="145"/>
      <c r="W2" s="145"/>
      <c r="X2" s="146"/>
      <c r="Y2" s="146"/>
      <c r="Z2" s="146"/>
      <c r="AA2" s="138" t="s">
        <v>5</v>
      </c>
      <c r="AB2" s="146"/>
      <c r="AC2" s="150" t="s">
        <v>6</v>
      </c>
      <c r="AD2" s="150"/>
      <c r="AE2" s="150"/>
      <c r="AF2" s="150"/>
      <c r="AG2" s="146"/>
      <c r="AH2" s="146"/>
      <c r="AI2" s="146"/>
      <c r="AJ2" s="146"/>
      <c r="AK2" s="146"/>
      <c r="AL2" s="146"/>
      <c r="AM2" s="146"/>
      <c r="AN2" s="138" t="s">
        <v>7</v>
      </c>
      <c r="AO2" s="138"/>
      <c r="AP2" s="150" t="s">
        <v>8</v>
      </c>
      <c r="AQ2" s="150"/>
      <c r="AR2" s="150"/>
      <c r="AS2" s="155"/>
      <c r="AT2" s="144"/>
      <c r="AU2" s="156"/>
      <c r="AV2" s="138" t="s">
        <v>9</v>
      </c>
      <c r="AW2" s="138"/>
      <c r="AX2" s="138"/>
      <c r="AY2" s="138" t="s">
        <v>10</v>
      </c>
      <c r="AZ2" s="158" t="s">
        <v>11</v>
      </c>
      <c r="BA2" s="158"/>
      <c r="BB2" s="158"/>
      <c r="BC2" s="158" t="s">
        <v>12</v>
      </c>
      <c r="BD2" s="158"/>
      <c r="BE2" s="160"/>
      <c r="BF2" s="158" t="s">
        <v>13</v>
      </c>
      <c r="BG2" s="158"/>
      <c r="BH2" s="158"/>
      <c r="BI2" s="158"/>
      <c r="BJ2" s="158"/>
      <c r="BK2" s="144"/>
      <c r="BL2" s="144"/>
      <c r="BM2" s="144"/>
      <c r="BN2" s="144"/>
      <c r="BO2" s="144"/>
      <c r="BP2" s="144"/>
      <c r="BQ2" s="144"/>
      <c r="BR2" s="144"/>
      <c r="BS2" s="144"/>
      <c r="BT2" s="144"/>
      <c r="BU2" s="144"/>
      <c r="BV2" s="144"/>
      <c r="BW2" s="144"/>
      <c r="BX2" s="144"/>
    </row>
    <row r="3" s="137" customFormat="1" ht="64.5" customHeight="1" spans="1:76">
      <c r="A3" s="139" t="s">
        <v>14</v>
      </c>
      <c r="B3" s="140" t="s">
        <v>15</v>
      </c>
      <c r="C3" s="140" t="s">
        <v>16</v>
      </c>
      <c r="D3" s="139" t="s">
        <v>17</v>
      </c>
      <c r="E3" s="139" t="s">
        <v>18</v>
      </c>
      <c r="F3" s="139" t="s">
        <v>19</v>
      </c>
      <c r="G3" s="139" t="s">
        <v>20</v>
      </c>
      <c r="H3" s="139" t="s">
        <v>21</v>
      </c>
      <c r="I3" s="139" t="s">
        <v>22</v>
      </c>
      <c r="J3" s="139" t="s">
        <v>23</v>
      </c>
      <c r="K3" s="139" t="s">
        <v>24</v>
      </c>
      <c r="L3" s="139" t="s">
        <v>25</v>
      </c>
      <c r="M3" s="139" t="s">
        <v>26</v>
      </c>
      <c r="N3" s="140" t="s">
        <v>27</v>
      </c>
      <c r="O3" s="139" t="s">
        <v>28</v>
      </c>
      <c r="P3" s="139" t="s">
        <v>29</v>
      </c>
      <c r="Q3" s="139" t="s">
        <v>30</v>
      </c>
      <c r="R3" s="139" t="s">
        <v>31</v>
      </c>
      <c r="S3" s="139" t="s">
        <v>32</v>
      </c>
      <c r="T3" s="139" t="s">
        <v>33</v>
      </c>
      <c r="U3" s="139" t="s">
        <v>34</v>
      </c>
      <c r="V3" s="139" t="s">
        <v>35</v>
      </c>
      <c r="W3" s="139" t="s">
        <v>36</v>
      </c>
      <c r="X3" s="139" t="s">
        <v>37</v>
      </c>
      <c r="Y3" s="139" t="s">
        <v>38</v>
      </c>
      <c r="Z3" s="139" t="s">
        <v>39</v>
      </c>
      <c r="AA3" s="139" t="s">
        <v>40</v>
      </c>
      <c r="AB3" s="139" t="s">
        <v>41</v>
      </c>
      <c r="AC3" s="139" t="s">
        <v>42</v>
      </c>
      <c r="AD3" s="139" t="s">
        <v>43</v>
      </c>
      <c r="AE3" s="139" t="s">
        <v>44</v>
      </c>
      <c r="AF3" s="139" t="s">
        <v>45</v>
      </c>
      <c r="AG3" s="139" t="s">
        <v>46</v>
      </c>
      <c r="AH3" s="139" t="s">
        <v>47</v>
      </c>
      <c r="AI3" s="139" t="s">
        <v>48</v>
      </c>
      <c r="AJ3" s="139" t="s">
        <v>49</v>
      </c>
      <c r="AK3" s="139" t="s">
        <v>50</v>
      </c>
      <c r="AL3" s="139" t="s">
        <v>51</v>
      </c>
      <c r="AM3" s="139" t="s">
        <v>52</v>
      </c>
      <c r="AN3" s="152" t="s">
        <v>53</v>
      </c>
      <c r="AO3" s="139" t="s">
        <v>54</v>
      </c>
      <c r="AP3" s="139" t="s">
        <v>55</v>
      </c>
      <c r="AQ3" s="139" t="s">
        <v>56</v>
      </c>
      <c r="AR3" s="139" t="s">
        <v>57</v>
      </c>
      <c r="AS3" s="139" t="s">
        <v>58</v>
      </c>
      <c r="AT3" s="139" t="s">
        <v>59</v>
      </c>
      <c r="AU3" s="157" t="s">
        <v>60</v>
      </c>
      <c r="AV3" s="139" t="s">
        <v>61</v>
      </c>
      <c r="AW3" s="139" t="s">
        <v>62</v>
      </c>
      <c r="AX3" s="139" t="s">
        <v>63</v>
      </c>
      <c r="AY3" s="139" t="s">
        <v>64</v>
      </c>
      <c r="AZ3" s="159" t="s">
        <v>65</v>
      </c>
      <c r="BA3" s="159" t="s">
        <v>66</v>
      </c>
      <c r="BB3" s="159" t="s">
        <v>67</v>
      </c>
      <c r="BC3" s="159" t="s">
        <v>68</v>
      </c>
      <c r="BD3" s="159" t="s">
        <v>69</v>
      </c>
      <c r="BE3" s="159" t="s">
        <v>70</v>
      </c>
      <c r="BF3" s="159" t="s">
        <v>71</v>
      </c>
      <c r="BG3" s="159" t="s">
        <v>72</v>
      </c>
      <c r="BH3" s="159" t="s">
        <v>73</v>
      </c>
      <c r="BI3" s="159" t="s">
        <v>74</v>
      </c>
      <c r="BJ3" s="159" t="s">
        <v>75</v>
      </c>
      <c r="BK3" s="139" t="s">
        <v>76</v>
      </c>
      <c r="BL3" s="139" t="s">
        <v>77</v>
      </c>
      <c r="BM3" s="139" t="s">
        <v>78</v>
      </c>
      <c r="BN3" s="139" t="s">
        <v>79</v>
      </c>
      <c r="BO3" s="139" t="s">
        <v>80</v>
      </c>
      <c r="BP3" s="139" t="s">
        <v>81</v>
      </c>
      <c r="BQ3" s="161" t="s">
        <v>82</v>
      </c>
      <c r="BR3" s="139" t="s">
        <v>83</v>
      </c>
      <c r="BS3" s="139" t="s">
        <v>84</v>
      </c>
      <c r="BT3" s="139" t="s">
        <v>85</v>
      </c>
      <c r="BU3" s="161" t="s">
        <v>86</v>
      </c>
      <c r="BV3" s="162" t="s">
        <v>87</v>
      </c>
      <c r="BW3" s="162" t="s">
        <v>88</v>
      </c>
      <c r="BX3" s="162" t="s">
        <v>89</v>
      </c>
    </row>
    <row r="4" spans="1:47">
      <c r="A4" s="2"/>
      <c r="B4" s="141"/>
      <c r="C4" s="2"/>
      <c r="F4" s="2"/>
      <c r="G4" s="2"/>
      <c r="K4" s="2"/>
      <c r="O4" s="2"/>
      <c r="P4" s="2"/>
      <c r="R4" s="2"/>
      <c r="T4" s="2"/>
      <c r="X4" s="2"/>
      <c r="Y4" s="2"/>
      <c r="Z4" s="2"/>
      <c r="AA4" s="2"/>
      <c r="AB4" s="2"/>
      <c r="AC4" s="2"/>
      <c r="AG4" s="2"/>
      <c r="AK4" s="2"/>
      <c r="AL4" s="2"/>
      <c r="AM4" s="2"/>
      <c r="AN4" s="3"/>
      <c r="AO4" s="2"/>
      <c r="AU4" s="5"/>
    </row>
    <row r="5" spans="1:47">
      <c r="A5" s="2"/>
      <c r="B5" s="141"/>
      <c r="C5" s="2"/>
      <c r="F5" s="2"/>
      <c r="G5" s="2"/>
      <c r="K5" s="2"/>
      <c r="O5" s="2"/>
      <c r="P5" s="2"/>
      <c r="R5" s="2"/>
      <c r="T5" s="2"/>
      <c r="X5" s="2"/>
      <c r="Y5" s="147"/>
      <c r="Z5" s="2"/>
      <c r="AA5" s="2"/>
      <c r="AB5" s="2"/>
      <c r="AC5" s="2"/>
      <c r="AG5" s="2"/>
      <c r="AK5" s="2"/>
      <c r="AL5" s="2"/>
      <c r="AM5" s="2"/>
      <c r="AN5" s="3"/>
      <c r="AO5" s="2"/>
      <c r="AU5" s="5"/>
    </row>
    <row r="6" spans="1:62">
      <c r="A6" s="2"/>
      <c r="B6" s="141"/>
      <c r="C6" s="2"/>
      <c r="D6" s="2"/>
      <c r="E6" s="2"/>
      <c r="F6" s="2"/>
      <c r="G6" s="2"/>
      <c r="H6" s="2"/>
      <c r="I6" s="2"/>
      <c r="J6" s="2"/>
      <c r="K6" s="2"/>
      <c r="L6" s="2"/>
      <c r="M6" s="2"/>
      <c r="N6" s="2"/>
      <c r="O6" s="7"/>
      <c r="P6" s="2"/>
      <c r="R6" s="2"/>
      <c r="T6" s="7"/>
      <c r="U6" s="7"/>
      <c r="V6" s="7"/>
      <c r="W6" s="2"/>
      <c r="X6" s="2"/>
      <c r="Y6" s="148"/>
      <c r="Z6" s="149"/>
      <c r="AA6" s="2"/>
      <c r="AB6" s="2"/>
      <c r="AC6" s="2"/>
      <c r="AE6" s="2"/>
      <c r="AF6" s="2"/>
      <c r="AG6" s="2"/>
      <c r="AH6" s="2"/>
      <c r="AI6" s="2"/>
      <c r="AJ6" s="2"/>
      <c r="AK6" s="2"/>
      <c r="AL6" s="2"/>
      <c r="AM6" s="2"/>
      <c r="AN6" s="3"/>
      <c r="AO6" s="153"/>
      <c r="AP6" s="2"/>
      <c r="AQ6" s="2"/>
      <c r="AR6" s="2"/>
      <c r="AS6" s="2"/>
      <c r="AT6" s="2"/>
      <c r="AU6" s="5"/>
      <c r="AV6" s="2"/>
      <c r="AW6" s="2"/>
      <c r="AX6" s="2"/>
      <c r="AY6" s="2"/>
      <c r="AZ6" s="2"/>
      <c r="BA6" s="2"/>
      <c r="BB6" s="2"/>
      <c r="BC6" s="2"/>
      <c r="BD6" s="2"/>
      <c r="BE6" s="2"/>
      <c r="BF6" s="2"/>
      <c r="BG6" s="2"/>
      <c r="BH6" s="2"/>
      <c r="BI6" s="2"/>
      <c r="BJ6" s="2"/>
    </row>
    <row r="7" spans="1:47">
      <c r="A7" s="2"/>
      <c r="B7" s="141"/>
      <c r="C7" s="2"/>
      <c r="F7" s="2"/>
      <c r="G7" s="2"/>
      <c r="K7" s="2"/>
      <c r="N7" s="2"/>
      <c r="O7" s="2"/>
      <c r="P7" s="2"/>
      <c r="R7" s="2"/>
      <c r="T7" s="2"/>
      <c r="X7" s="2"/>
      <c r="Y7" s="2"/>
      <c r="Z7" s="2"/>
      <c r="AA7" s="2"/>
      <c r="AB7" s="2"/>
      <c r="AC7" s="2"/>
      <c r="AG7" s="2"/>
      <c r="AK7" s="2"/>
      <c r="AL7" s="2"/>
      <c r="AM7" s="2"/>
      <c r="AN7" s="3"/>
      <c r="AO7" s="153"/>
      <c r="AU7" s="5"/>
    </row>
    <row r="8" spans="1:47">
      <c r="A8" s="2"/>
      <c r="B8" s="141"/>
      <c r="C8" s="141"/>
      <c r="F8" s="2"/>
      <c r="G8" s="2"/>
      <c r="K8" s="2"/>
      <c r="N8" s="2"/>
      <c r="O8" s="2"/>
      <c r="P8" s="2"/>
      <c r="R8" s="2"/>
      <c r="T8" s="2"/>
      <c r="X8" s="2"/>
      <c r="Y8" s="2"/>
      <c r="Z8" s="2"/>
      <c r="AA8" s="2"/>
      <c r="AB8" s="2"/>
      <c r="AC8" s="2"/>
      <c r="AG8" s="2"/>
      <c r="AK8" s="2"/>
      <c r="AL8" s="2"/>
      <c r="AM8" s="2"/>
      <c r="AN8" s="3"/>
      <c r="AO8" s="2"/>
      <c r="AU8" s="5"/>
    </row>
    <row r="9" spans="1:47">
      <c r="A9" s="2"/>
      <c r="B9" s="141"/>
      <c r="C9" s="2"/>
      <c r="F9" s="2"/>
      <c r="G9" s="2"/>
      <c r="K9" s="2"/>
      <c r="N9" s="2"/>
      <c r="O9" s="2"/>
      <c r="P9" s="2"/>
      <c r="R9" s="2"/>
      <c r="T9" s="2"/>
      <c r="X9" s="2"/>
      <c r="Y9" s="2"/>
      <c r="Z9" s="2"/>
      <c r="AA9" s="2"/>
      <c r="AB9" s="2"/>
      <c r="AC9" s="2"/>
      <c r="AG9" s="2"/>
      <c r="AK9" s="2"/>
      <c r="AL9" s="2"/>
      <c r="AM9" s="2"/>
      <c r="AN9" s="3"/>
      <c r="AO9" s="2"/>
      <c r="AU9" s="5"/>
    </row>
    <row r="10" spans="1:47">
      <c r="A10" s="2"/>
      <c r="B10" s="141"/>
      <c r="C10" s="2"/>
      <c r="F10" s="2"/>
      <c r="G10" s="2"/>
      <c r="K10" s="2"/>
      <c r="N10" s="2"/>
      <c r="O10" s="2"/>
      <c r="P10" s="2"/>
      <c r="R10" s="2"/>
      <c r="T10" s="2"/>
      <c r="X10" s="2"/>
      <c r="Y10" s="2"/>
      <c r="Z10" s="2"/>
      <c r="AA10" s="2"/>
      <c r="AB10" s="2"/>
      <c r="AC10" s="2"/>
      <c r="AG10" s="2"/>
      <c r="AK10" s="2"/>
      <c r="AL10" s="2"/>
      <c r="AM10" s="2"/>
      <c r="AN10" s="3"/>
      <c r="AO10" s="2"/>
      <c r="AU10" s="5"/>
    </row>
    <row r="11" spans="1:47">
      <c r="A11" s="2"/>
      <c r="B11" s="141"/>
      <c r="C11" s="2"/>
      <c r="F11" s="2"/>
      <c r="G11" s="2"/>
      <c r="K11" s="2"/>
      <c r="N11" s="2"/>
      <c r="O11" s="2"/>
      <c r="P11" s="2"/>
      <c r="R11" s="2"/>
      <c r="T11" s="2"/>
      <c r="X11" s="2"/>
      <c r="Y11" s="2"/>
      <c r="Z11" s="2"/>
      <c r="AA11" s="2"/>
      <c r="AB11" s="2"/>
      <c r="AC11" s="2"/>
      <c r="AG11" s="2"/>
      <c r="AK11" s="2"/>
      <c r="AL11" s="2"/>
      <c r="AM11" s="2"/>
      <c r="AN11" s="3"/>
      <c r="AO11" s="2"/>
      <c r="AU11" s="5"/>
    </row>
    <row r="12" spans="1:47">
      <c r="A12" s="2"/>
      <c r="B12" s="141"/>
      <c r="C12" s="2"/>
      <c r="F12" s="2"/>
      <c r="G12" s="2"/>
      <c r="K12" s="2"/>
      <c r="N12" s="2"/>
      <c r="O12" s="2"/>
      <c r="P12" s="2"/>
      <c r="R12" s="2"/>
      <c r="T12" s="2"/>
      <c r="X12" s="2"/>
      <c r="Y12" s="2"/>
      <c r="Z12" s="2"/>
      <c r="AA12" s="2"/>
      <c r="AB12" s="2"/>
      <c r="AC12" s="2"/>
      <c r="AG12" s="2"/>
      <c r="AK12" s="2"/>
      <c r="AL12" s="2"/>
      <c r="AM12" s="2"/>
      <c r="AN12" s="3"/>
      <c r="AO12" s="2"/>
      <c r="AU12" s="5"/>
    </row>
    <row r="13" spans="1:47">
      <c r="A13" s="2"/>
      <c r="B13" s="141"/>
      <c r="C13" s="2"/>
      <c r="F13" s="2"/>
      <c r="G13" s="2"/>
      <c r="K13" s="2"/>
      <c r="N13" s="2"/>
      <c r="O13" s="2"/>
      <c r="P13" s="2"/>
      <c r="R13" s="2"/>
      <c r="T13" s="2"/>
      <c r="X13" s="2"/>
      <c r="Y13" s="2"/>
      <c r="Z13" s="2"/>
      <c r="AA13" s="2"/>
      <c r="AB13" s="2"/>
      <c r="AC13" s="2"/>
      <c r="AG13" s="2"/>
      <c r="AK13" s="2"/>
      <c r="AL13" s="2"/>
      <c r="AM13" s="2"/>
      <c r="AN13" s="3"/>
      <c r="AO13" s="2"/>
      <c r="AU13" s="5"/>
    </row>
    <row r="14" spans="1:47">
      <c r="A14" s="2"/>
      <c r="B14" s="141"/>
      <c r="C14" s="2"/>
      <c r="E14" s="143"/>
      <c r="F14" s="2"/>
      <c r="G14" s="2"/>
      <c r="K14" s="2"/>
      <c r="N14" s="2"/>
      <c r="O14" s="2"/>
      <c r="P14" s="2"/>
      <c r="R14" s="2"/>
      <c r="T14" s="2"/>
      <c r="X14" s="2"/>
      <c r="Y14" s="2"/>
      <c r="Z14" s="2"/>
      <c r="AA14" s="2"/>
      <c r="AB14" s="147"/>
      <c r="AC14" s="2"/>
      <c r="AG14" s="2"/>
      <c r="AK14" s="2"/>
      <c r="AL14" s="2"/>
      <c r="AM14" s="2"/>
      <c r="AN14" s="3"/>
      <c r="AO14" s="2"/>
      <c r="AU14" s="5"/>
    </row>
    <row r="15" spans="1:47">
      <c r="A15" s="2"/>
      <c r="B15" s="141"/>
      <c r="C15" s="2"/>
      <c r="F15" s="2"/>
      <c r="G15" s="2"/>
      <c r="K15" s="2"/>
      <c r="N15" s="2"/>
      <c r="O15" s="2"/>
      <c r="P15" s="2"/>
      <c r="R15" s="2"/>
      <c r="S15" s="2"/>
      <c r="T15" s="2"/>
      <c r="X15" s="2"/>
      <c r="Y15" s="2"/>
      <c r="Z15" s="2"/>
      <c r="AA15" s="2"/>
      <c r="AB15" s="2"/>
      <c r="AC15" s="2"/>
      <c r="AG15" s="2"/>
      <c r="AK15" s="2"/>
      <c r="AL15" s="2"/>
      <c r="AM15" s="2"/>
      <c r="AN15" s="3"/>
      <c r="AO15" s="2"/>
      <c r="AU15" s="5"/>
    </row>
    <row r="16" spans="1:47">
      <c r="A16" s="2"/>
      <c r="F16" s="2"/>
      <c r="G16" s="2"/>
      <c r="K16" s="2"/>
      <c r="O16" s="2"/>
      <c r="P16" s="2"/>
      <c r="R16" s="2"/>
      <c r="T16" s="2"/>
      <c r="X16" s="2"/>
      <c r="Y16" s="2"/>
      <c r="Z16" s="2"/>
      <c r="AA16" s="2"/>
      <c r="AB16" s="2"/>
      <c r="AC16" s="2"/>
      <c r="AG16" s="2"/>
      <c r="AK16" s="2"/>
      <c r="AL16" s="2"/>
      <c r="AM16" s="2"/>
      <c r="AN16" s="3"/>
      <c r="AO16" s="2"/>
      <c r="AU16" s="5"/>
    </row>
    <row r="17" spans="1:47">
      <c r="A17" s="2"/>
      <c r="F17" s="2"/>
      <c r="G17" s="2"/>
      <c r="K17" s="2"/>
      <c r="O17" s="2"/>
      <c r="P17" s="2"/>
      <c r="R17" s="2"/>
      <c r="T17" s="2"/>
      <c r="X17" s="2"/>
      <c r="Y17" s="2"/>
      <c r="Z17" s="2"/>
      <c r="AA17" s="2"/>
      <c r="AB17" s="2"/>
      <c r="AC17" s="2"/>
      <c r="AG17" s="2"/>
      <c r="AK17" s="2"/>
      <c r="AL17" s="2"/>
      <c r="AM17" s="2"/>
      <c r="AN17" s="3"/>
      <c r="AO17" s="2"/>
      <c r="AU17" s="5"/>
    </row>
    <row r="18" spans="1:47">
      <c r="A18" s="2"/>
      <c r="F18" s="2"/>
      <c r="G18" s="2"/>
      <c r="K18" s="2"/>
      <c r="O18" s="2"/>
      <c r="P18" s="2"/>
      <c r="R18" s="2"/>
      <c r="T18" s="2"/>
      <c r="X18" s="2"/>
      <c r="Y18" s="2"/>
      <c r="Z18" s="2"/>
      <c r="AA18" s="2"/>
      <c r="AB18" s="2"/>
      <c r="AC18" s="2"/>
      <c r="AG18" s="2"/>
      <c r="AK18" s="2"/>
      <c r="AL18" s="2"/>
      <c r="AM18" s="2"/>
      <c r="AN18" s="3"/>
      <c r="AO18" s="2"/>
      <c r="AU18" s="5"/>
    </row>
    <row r="19" spans="1:47">
      <c r="A19" s="2"/>
      <c r="F19" s="2"/>
      <c r="G19" s="2"/>
      <c r="K19" s="2"/>
      <c r="O19" s="2"/>
      <c r="P19" s="2"/>
      <c r="R19" s="2"/>
      <c r="T19" s="2"/>
      <c r="X19" s="2"/>
      <c r="Y19" s="2"/>
      <c r="Z19" s="2"/>
      <c r="AA19" s="2"/>
      <c r="AB19" s="2"/>
      <c r="AC19" s="2"/>
      <c r="AG19" s="2"/>
      <c r="AK19" s="2"/>
      <c r="AL19" s="2"/>
      <c r="AM19" s="2"/>
      <c r="AN19" s="3"/>
      <c r="AO19" s="2"/>
      <c r="AU19" s="5"/>
    </row>
    <row r="20" ht="15.75" customHeight="1" spans="1:47">
      <c r="A20" s="2"/>
      <c r="F20" s="2"/>
      <c r="G20" s="2"/>
      <c r="K20" s="2"/>
      <c r="O20" s="2"/>
      <c r="P20" s="2"/>
      <c r="R20" s="2"/>
      <c r="T20" s="2"/>
      <c r="X20" s="2"/>
      <c r="Y20" s="2"/>
      <c r="Z20" s="2"/>
      <c r="AA20" s="2"/>
      <c r="AB20" s="2"/>
      <c r="AC20" s="2"/>
      <c r="AG20" s="2"/>
      <c r="AK20" s="2"/>
      <c r="AL20" s="2"/>
      <c r="AM20" s="2"/>
      <c r="AN20" s="3"/>
      <c r="AO20" s="2"/>
      <c r="AU20" s="5"/>
    </row>
    <row r="21" ht="15.75" customHeight="1" spans="1:47">
      <c r="A21" s="2"/>
      <c r="F21" s="2"/>
      <c r="G21" s="2"/>
      <c r="K21" s="2"/>
      <c r="O21" s="2"/>
      <c r="P21" s="2"/>
      <c r="R21" s="2"/>
      <c r="T21" s="2"/>
      <c r="X21" s="2"/>
      <c r="Y21" s="2"/>
      <c r="Z21" s="2"/>
      <c r="AA21" s="2"/>
      <c r="AB21" s="2"/>
      <c r="AC21" s="2"/>
      <c r="AG21" s="2"/>
      <c r="AK21" s="2"/>
      <c r="AL21" s="2"/>
      <c r="AM21" s="2"/>
      <c r="AN21" s="3"/>
      <c r="AO21" s="2"/>
      <c r="AU21" s="5"/>
    </row>
    <row r="22" ht="15.75" customHeight="1" spans="1:47">
      <c r="A22" s="2"/>
      <c r="F22" s="2"/>
      <c r="G22" s="2"/>
      <c r="K22" s="2"/>
      <c r="O22" s="2"/>
      <c r="P22" s="2"/>
      <c r="R22" s="2"/>
      <c r="T22" s="2"/>
      <c r="X22" s="2"/>
      <c r="Y22" s="2"/>
      <c r="Z22" s="2"/>
      <c r="AA22" s="2"/>
      <c r="AB22" s="2"/>
      <c r="AC22" s="2"/>
      <c r="AG22" s="2"/>
      <c r="AK22" s="2"/>
      <c r="AL22" s="2"/>
      <c r="AM22" s="2"/>
      <c r="AN22" s="3"/>
      <c r="AO22" s="2"/>
      <c r="AU22" s="5"/>
    </row>
    <row r="23" ht="15.75" customHeight="1" spans="1:47">
      <c r="A23" s="2"/>
      <c r="F23" s="2"/>
      <c r="G23" s="2"/>
      <c r="K23" s="2"/>
      <c r="O23" s="2"/>
      <c r="P23" s="2"/>
      <c r="R23" s="2"/>
      <c r="T23" s="2"/>
      <c r="X23" s="2"/>
      <c r="Y23" s="2"/>
      <c r="Z23" s="2"/>
      <c r="AA23" s="2"/>
      <c r="AB23" s="2"/>
      <c r="AC23" s="2"/>
      <c r="AG23" s="2"/>
      <c r="AK23" s="2"/>
      <c r="AL23" s="2"/>
      <c r="AM23" s="2"/>
      <c r="AN23" s="3"/>
      <c r="AO23" s="2"/>
      <c r="AU23" s="5"/>
    </row>
    <row r="24" ht="15.75" customHeight="1" spans="1:47">
      <c r="A24" s="2"/>
      <c r="F24" s="2"/>
      <c r="G24" s="2"/>
      <c r="K24" s="2"/>
      <c r="O24" s="2"/>
      <c r="P24" s="2"/>
      <c r="R24" s="2"/>
      <c r="T24" s="2"/>
      <c r="X24" s="2"/>
      <c r="Y24" s="2"/>
      <c r="Z24" s="2"/>
      <c r="AA24" s="2"/>
      <c r="AB24" s="2"/>
      <c r="AC24" s="2"/>
      <c r="AG24" s="2"/>
      <c r="AK24" s="2"/>
      <c r="AL24" s="2"/>
      <c r="AM24" s="2"/>
      <c r="AN24" s="3"/>
      <c r="AO24" s="2"/>
      <c r="AU24" s="5"/>
    </row>
    <row r="25" ht="15.75" customHeight="1" spans="1:47">
      <c r="A25" s="2"/>
      <c r="F25" s="2"/>
      <c r="G25" s="2"/>
      <c r="K25" s="2"/>
      <c r="O25" s="2"/>
      <c r="P25" s="2"/>
      <c r="R25" s="2"/>
      <c r="T25" s="2"/>
      <c r="X25" s="2"/>
      <c r="Y25" s="2"/>
      <c r="Z25" s="2"/>
      <c r="AA25" s="2"/>
      <c r="AB25" s="2"/>
      <c r="AC25" s="2"/>
      <c r="AG25" s="2"/>
      <c r="AK25" s="2"/>
      <c r="AL25" s="2"/>
      <c r="AM25" s="2"/>
      <c r="AN25" s="3"/>
      <c r="AO25" s="2"/>
      <c r="AU25" s="5"/>
    </row>
    <row r="26" ht="15.75" customHeight="1" spans="1:47">
      <c r="A26" s="2"/>
      <c r="F26" s="2"/>
      <c r="G26" s="2"/>
      <c r="K26" s="2"/>
      <c r="O26" s="2"/>
      <c r="P26" s="2"/>
      <c r="R26" s="2"/>
      <c r="T26" s="2"/>
      <c r="X26" s="2"/>
      <c r="Y26" s="2"/>
      <c r="Z26" s="2"/>
      <c r="AA26" s="2"/>
      <c r="AB26" s="2"/>
      <c r="AC26" s="2"/>
      <c r="AG26" s="2"/>
      <c r="AK26" s="2"/>
      <c r="AL26" s="2"/>
      <c r="AM26" s="2"/>
      <c r="AN26" s="3"/>
      <c r="AO26" s="2"/>
      <c r="AU26" s="5"/>
    </row>
    <row r="27" ht="15.75" customHeight="1" spans="1:47">
      <c r="A27" s="2"/>
      <c r="F27" s="2"/>
      <c r="G27" s="2"/>
      <c r="K27" s="2"/>
      <c r="O27" s="2"/>
      <c r="P27" s="2"/>
      <c r="R27" s="2"/>
      <c r="T27" s="2"/>
      <c r="X27" s="2"/>
      <c r="Y27" s="2"/>
      <c r="Z27" s="2"/>
      <c r="AA27" s="2"/>
      <c r="AB27" s="2"/>
      <c r="AC27" s="2"/>
      <c r="AG27" s="2"/>
      <c r="AK27" s="2"/>
      <c r="AL27" s="2"/>
      <c r="AM27" s="2"/>
      <c r="AN27" s="3"/>
      <c r="AO27" s="2"/>
      <c r="AU27" s="5"/>
    </row>
    <row r="28" ht="15.75" customHeight="1" spans="1:47">
      <c r="A28" s="2"/>
      <c r="F28" s="2"/>
      <c r="G28" s="2"/>
      <c r="K28" s="2"/>
      <c r="O28" s="2"/>
      <c r="P28" s="2"/>
      <c r="R28" s="2"/>
      <c r="T28" s="2"/>
      <c r="X28" s="2"/>
      <c r="Y28" s="2"/>
      <c r="Z28" s="2"/>
      <c r="AA28" s="2"/>
      <c r="AB28" s="2"/>
      <c r="AC28" s="2"/>
      <c r="AG28" s="2"/>
      <c r="AK28" s="2"/>
      <c r="AL28" s="2"/>
      <c r="AM28" s="2"/>
      <c r="AN28" s="3"/>
      <c r="AO28" s="2"/>
      <c r="AU28" s="5"/>
    </row>
    <row r="29" ht="15.75" customHeight="1" spans="1:47">
      <c r="A29" s="2"/>
      <c r="F29" s="2"/>
      <c r="G29" s="2"/>
      <c r="K29" s="2"/>
      <c r="O29" s="2"/>
      <c r="P29" s="2"/>
      <c r="R29" s="2"/>
      <c r="T29" s="2"/>
      <c r="X29" s="2"/>
      <c r="Y29" s="2"/>
      <c r="Z29" s="2"/>
      <c r="AA29" s="2"/>
      <c r="AB29" s="2"/>
      <c r="AC29" s="2"/>
      <c r="AG29" s="2"/>
      <c r="AK29" s="2"/>
      <c r="AL29" s="2"/>
      <c r="AM29" s="2"/>
      <c r="AN29" s="3"/>
      <c r="AO29" s="2"/>
      <c r="AU29" s="5"/>
    </row>
    <row r="30" ht="15.75" customHeight="1" spans="1:47">
      <c r="A30" s="2"/>
      <c r="F30" s="2"/>
      <c r="G30" s="2"/>
      <c r="K30" s="2"/>
      <c r="O30" s="2"/>
      <c r="P30" s="2"/>
      <c r="R30" s="2"/>
      <c r="T30" s="2"/>
      <c r="X30" s="2"/>
      <c r="Y30" s="2"/>
      <c r="Z30" s="2"/>
      <c r="AA30" s="2"/>
      <c r="AB30" s="2"/>
      <c r="AC30" s="2"/>
      <c r="AG30" s="2"/>
      <c r="AK30" s="2"/>
      <c r="AL30" s="2"/>
      <c r="AM30" s="2"/>
      <c r="AN30" s="3"/>
      <c r="AO30" s="2"/>
      <c r="AU30" s="5"/>
    </row>
    <row r="31" ht="15.75" customHeight="1" spans="1:47">
      <c r="A31" s="2"/>
      <c r="F31" s="2"/>
      <c r="G31" s="2"/>
      <c r="K31" s="2"/>
      <c r="O31" s="2"/>
      <c r="P31" s="2"/>
      <c r="R31" s="2"/>
      <c r="T31" s="2"/>
      <c r="X31" s="2"/>
      <c r="Y31" s="2"/>
      <c r="Z31" s="2"/>
      <c r="AA31" s="2"/>
      <c r="AB31" s="2"/>
      <c r="AC31" s="2"/>
      <c r="AG31" s="2"/>
      <c r="AK31" s="2"/>
      <c r="AL31" s="2"/>
      <c r="AM31" s="2"/>
      <c r="AN31" s="3"/>
      <c r="AO31" s="2"/>
      <c r="AU31" s="5"/>
    </row>
    <row r="32" ht="15.75" customHeight="1" spans="1:47">
      <c r="A32" s="2"/>
      <c r="F32" s="2"/>
      <c r="G32" s="2"/>
      <c r="K32" s="2"/>
      <c r="O32" s="2"/>
      <c r="P32" s="2"/>
      <c r="R32" s="2"/>
      <c r="T32" s="2"/>
      <c r="X32" s="2"/>
      <c r="Y32" s="2"/>
      <c r="Z32" s="2"/>
      <c r="AA32" s="2"/>
      <c r="AB32" s="2"/>
      <c r="AC32" s="2"/>
      <c r="AG32" s="2"/>
      <c r="AK32" s="2"/>
      <c r="AL32" s="2"/>
      <c r="AM32" s="2"/>
      <c r="AN32" s="3"/>
      <c r="AO32" s="2"/>
      <c r="AU32" s="5"/>
    </row>
    <row r="33" ht="15.75" customHeight="1" spans="1:47">
      <c r="A33" s="2"/>
      <c r="F33" s="2"/>
      <c r="G33" s="2"/>
      <c r="K33" s="2"/>
      <c r="O33" s="2"/>
      <c r="P33" s="2"/>
      <c r="R33" s="2"/>
      <c r="T33" s="2"/>
      <c r="X33" s="2"/>
      <c r="Y33" s="2"/>
      <c r="Z33" s="2"/>
      <c r="AA33" s="2"/>
      <c r="AB33" s="2"/>
      <c r="AC33" s="2"/>
      <c r="AG33" s="2"/>
      <c r="AK33" s="2"/>
      <c r="AL33" s="2"/>
      <c r="AM33" s="2"/>
      <c r="AN33" s="3"/>
      <c r="AO33" s="2"/>
      <c r="AU33" s="5"/>
    </row>
    <row r="34" ht="15.75" customHeight="1" spans="1:47">
      <c r="A34" s="2"/>
      <c r="F34" s="2"/>
      <c r="G34" s="2"/>
      <c r="K34" s="2"/>
      <c r="O34" s="2"/>
      <c r="P34" s="2"/>
      <c r="R34" s="2"/>
      <c r="T34" s="2"/>
      <c r="X34" s="2"/>
      <c r="Y34" s="2"/>
      <c r="Z34" s="2"/>
      <c r="AA34" s="2"/>
      <c r="AB34" s="2"/>
      <c r="AC34" s="2"/>
      <c r="AG34" s="2"/>
      <c r="AK34" s="2"/>
      <c r="AL34" s="2"/>
      <c r="AM34" s="2"/>
      <c r="AN34" s="3"/>
      <c r="AO34" s="2"/>
      <c r="AU34" s="5"/>
    </row>
    <row r="35" ht="15.75" customHeight="1" spans="1:47">
      <c r="A35" s="2"/>
      <c r="F35" s="2"/>
      <c r="G35" s="2"/>
      <c r="K35" s="2"/>
      <c r="O35" s="2"/>
      <c r="P35" s="2"/>
      <c r="R35" s="2"/>
      <c r="T35" s="2"/>
      <c r="X35" s="2"/>
      <c r="Y35" s="2"/>
      <c r="Z35" s="2"/>
      <c r="AA35" s="2"/>
      <c r="AB35" s="2"/>
      <c r="AC35" s="2"/>
      <c r="AG35" s="2"/>
      <c r="AK35" s="2"/>
      <c r="AL35" s="2"/>
      <c r="AM35" s="2"/>
      <c r="AN35" s="3"/>
      <c r="AO35" s="2"/>
      <c r="AU35" s="5"/>
    </row>
    <row r="36" ht="15.75" customHeight="1" spans="1:47">
      <c r="A36" s="2"/>
      <c r="F36" s="2"/>
      <c r="G36" s="2"/>
      <c r="K36" s="2"/>
      <c r="O36" s="2"/>
      <c r="P36" s="2"/>
      <c r="R36" s="2"/>
      <c r="T36" s="2"/>
      <c r="X36" s="2"/>
      <c r="Y36" s="2"/>
      <c r="Z36" s="2"/>
      <c r="AA36" s="2"/>
      <c r="AB36" s="2"/>
      <c r="AC36" s="2"/>
      <c r="AG36" s="2"/>
      <c r="AK36" s="2"/>
      <c r="AL36" s="2"/>
      <c r="AM36" s="2"/>
      <c r="AN36" s="3"/>
      <c r="AO36" s="2"/>
      <c r="AU36" s="5"/>
    </row>
    <row r="37" ht="15.75" customHeight="1" spans="1:47">
      <c r="A37" s="2"/>
      <c r="F37" s="2"/>
      <c r="G37" s="2"/>
      <c r="K37" s="2"/>
      <c r="O37" s="2"/>
      <c r="P37" s="2"/>
      <c r="R37" s="2"/>
      <c r="T37" s="2"/>
      <c r="X37" s="2"/>
      <c r="Y37" s="2"/>
      <c r="Z37" s="2"/>
      <c r="AA37" s="2"/>
      <c r="AB37" s="2"/>
      <c r="AC37" s="2"/>
      <c r="AG37" s="2"/>
      <c r="AK37" s="2"/>
      <c r="AL37" s="2"/>
      <c r="AM37" s="2"/>
      <c r="AN37" s="3"/>
      <c r="AO37" s="2"/>
      <c r="AU37" s="5"/>
    </row>
    <row r="38" ht="15.75" customHeight="1" spans="1:47">
      <c r="A38" s="2"/>
      <c r="F38" s="2"/>
      <c r="G38" s="2"/>
      <c r="K38" s="2"/>
      <c r="O38" s="2"/>
      <c r="P38" s="2"/>
      <c r="R38" s="2"/>
      <c r="T38" s="2"/>
      <c r="X38" s="2"/>
      <c r="Y38" s="2"/>
      <c r="Z38" s="2"/>
      <c r="AA38" s="2"/>
      <c r="AB38" s="2"/>
      <c r="AC38" s="2"/>
      <c r="AG38" s="2"/>
      <c r="AK38" s="2"/>
      <c r="AL38" s="2"/>
      <c r="AM38" s="2"/>
      <c r="AN38" s="3"/>
      <c r="AO38" s="2"/>
      <c r="AU38" s="5"/>
    </row>
    <row r="39" ht="15.75" customHeight="1" spans="1:47">
      <c r="A39" s="2"/>
      <c r="F39" s="2"/>
      <c r="G39" s="2"/>
      <c r="K39" s="2"/>
      <c r="O39" s="2"/>
      <c r="P39" s="2"/>
      <c r="R39" s="2"/>
      <c r="T39" s="2"/>
      <c r="X39" s="2"/>
      <c r="Y39" s="2"/>
      <c r="Z39" s="2"/>
      <c r="AA39" s="2"/>
      <c r="AB39" s="2"/>
      <c r="AC39" s="2"/>
      <c r="AG39" s="2"/>
      <c r="AK39" s="2"/>
      <c r="AL39" s="2"/>
      <c r="AM39" s="2"/>
      <c r="AN39" s="3"/>
      <c r="AO39" s="2"/>
      <c r="AU39" s="5"/>
    </row>
    <row r="40" ht="15.75" customHeight="1" spans="1:47">
      <c r="A40" s="2"/>
      <c r="F40" s="2"/>
      <c r="G40" s="2"/>
      <c r="K40" s="2"/>
      <c r="O40" s="2"/>
      <c r="P40" s="2"/>
      <c r="R40" s="2"/>
      <c r="T40" s="2"/>
      <c r="X40" s="2"/>
      <c r="Y40" s="2"/>
      <c r="Z40" s="2"/>
      <c r="AA40" s="2"/>
      <c r="AB40" s="2"/>
      <c r="AC40" s="2"/>
      <c r="AG40" s="2"/>
      <c r="AK40" s="2"/>
      <c r="AL40" s="2"/>
      <c r="AM40" s="2"/>
      <c r="AN40" s="3"/>
      <c r="AO40" s="2"/>
      <c r="AU40" s="5"/>
    </row>
    <row r="41" ht="15.75" customHeight="1" spans="1:47">
      <c r="A41" s="2"/>
      <c r="F41" s="2"/>
      <c r="G41" s="2"/>
      <c r="K41" s="2"/>
      <c r="O41" s="2"/>
      <c r="P41" s="2"/>
      <c r="R41" s="2"/>
      <c r="T41" s="2"/>
      <c r="X41" s="2"/>
      <c r="Y41" s="2"/>
      <c r="Z41" s="2"/>
      <c r="AA41" s="2"/>
      <c r="AB41" s="2"/>
      <c r="AC41" s="2"/>
      <c r="AG41" s="2"/>
      <c r="AK41" s="2"/>
      <c r="AL41" s="2"/>
      <c r="AM41" s="2"/>
      <c r="AN41" s="3"/>
      <c r="AO41" s="2"/>
      <c r="AU41" s="5"/>
    </row>
    <row r="42" ht="15.75" customHeight="1" spans="1:47">
      <c r="A42" s="2"/>
      <c r="F42" s="2"/>
      <c r="G42" s="2"/>
      <c r="K42" s="2"/>
      <c r="O42" s="2"/>
      <c r="P42" s="2"/>
      <c r="R42" s="2"/>
      <c r="T42" s="2"/>
      <c r="X42" s="2"/>
      <c r="Y42" s="2"/>
      <c r="Z42" s="2"/>
      <c r="AA42" s="2"/>
      <c r="AB42" s="2"/>
      <c r="AC42" s="2"/>
      <c r="AG42" s="2"/>
      <c r="AK42" s="2"/>
      <c r="AL42" s="2"/>
      <c r="AM42" s="2"/>
      <c r="AN42" s="3"/>
      <c r="AO42" s="2"/>
      <c r="AU42" s="5"/>
    </row>
    <row r="43" ht="15.75" customHeight="1" spans="1:47">
      <c r="A43" s="2"/>
      <c r="F43" s="2"/>
      <c r="G43" s="2"/>
      <c r="K43" s="2"/>
      <c r="O43" s="2"/>
      <c r="P43" s="2"/>
      <c r="R43" s="2"/>
      <c r="T43" s="2"/>
      <c r="X43" s="2"/>
      <c r="Y43" s="2"/>
      <c r="Z43" s="2"/>
      <c r="AA43" s="2"/>
      <c r="AB43" s="2"/>
      <c r="AC43" s="2"/>
      <c r="AG43" s="2"/>
      <c r="AK43" s="2"/>
      <c r="AL43" s="2"/>
      <c r="AM43" s="2"/>
      <c r="AN43" s="3"/>
      <c r="AO43" s="2"/>
      <c r="AU43" s="5"/>
    </row>
    <row r="44" ht="15.75" customHeight="1" spans="1:47">
      <c r="A44" s="2"/>
      <c r="F44" s="2"/>
      <c r="G44" s="2"/>
      <c r="K44" s="2"/>
      <c r="O44" s="2"/>
      <c r="P44" s="2"/>
      <c r="R44" s="2"/>
      <c r="T44" s="2"/>
      <c r="X44" s="2"/>
      <c r="Y44" s="2"/>
      <c r="Z44" s="2"/>
      <c r="AA44" s="2"/>
      <c r="AB44" s="2"/>
      <c r="AC44" s="2"/>
      <c r="AG44" s="2"/>
      <c r="AK44" s="2"/>
      <c r="AL44" s="2"/>
      <c r="AM44" s="2"/>
      <c r="AN44" s="3"/>
      <c r="AO44" s="2"/>
      <c r="AU44" s="5"/>
    </row>
    <row r="45" ht="15.75" customHeight="1" spans="1:47">
      <c r="A45" s="2"/>
      <c r="F45" s="2"/>
      <c r="G45" s="2"/>
      <c r="K45" s="2"/>
      <c r="O45" s="2"/>
      <c r="P45" s="2"/>
      <c r="R45" s="2"/>
      <c r="T45" s="2"/>
      <c r="X45" s="2"/>
      <c r="Y45" s="2"/>
      <c r="Z45" s="2"/>
      <c r="AA45" s="2"/>
      <c r="AB45" s="2"/>
      <c r="AC45" s="2"/>
      <c r="AG45" s="2"/>
      <c r="AK45" s="2"/>
      <c r="AL45" s="2"/>
      <c r="AM45" s="2"/>
      <c r="AN45" s="3"/>
      <c r="AO45" s="2"/>
      <c r="AU45" s="5"/>
    </row>
    <row r="46" ht="15.75" customHeight="1" spans="1:47">
      <c r="A46" s="2"/>
      <c r="F46" s="2"/>
      <c r="G46" s="2"/>
      <c r="K46" s="2"/>
      <c r="O46" s="2"/>
      <c r="P46" s="2"/>
      <c r="R46" s="2"/>
      <c r="T46" s="2"/>
      <c r="X46" s="2"/>
      <c r="Y46" s="2"/>
      <c r="Z46" s="2"/>
      <c r="AA46" s="2"/>
      <c r="AB46" s="2"/>
      <c r="AC46" s="2"/>
      <c r="AG46" s="2"/>
      <c r="AK46" s="2"/>
      <c r="AL46" s="2"/>
      <c r="AM46" s="2"/>
      <c r="AN46" s="3"/>
      <c r="AO46" s="2"/>
      <c r="AU46" s="5"/>
    </row>
    <row r="47" ht="15.75" customHeight="1" spans="1:47">
      <c r="A47" s="2"/>
      <c r="F47" s="2"/>
      <c r="G47" s="2"/>
      <c r="K47" s="2"/>
      <c r="O47" s="2"/>
      <c r="P47" s="2"/>
      <c r="R47" s="2"/>
      <c r="T47" s="2"/>
      <c r="X47" s="2"/>
      <c r="Y47" s="2"/>
      <c r="Z47" s="2"/>
      <c r="AA47" s="2"/>
      <c r="AB47" s="2"/>
      <c r="AC47" s="2"/>
      <c r="AG47" s="2"/>
      <c r="AK47" s="2"/>
      <c r="AL47" s="2"/>
      <c r="AM47" s="2"/>
      <c r="AN47" s="3"/>
      <c r="AO47" s="2"/>
      <c r="AU47" s="5"/>
    </row>
    <row r="48" ht="15.75" customHeight="1" spans="1:47">
      <c r="A48" s="2"/>
      <c r="F48" s="2"/>
      <c r="G48" s="2"/>
      <c r="K48" s="2"/>
      <c r="O48" s="2"/>
      <c r="P48" s="2"/>
      <c r="R48" s="2"/>
      <c r="T48" s="2"/>
      <c r="X48" s="2"/>
      <c r="Y48" s="2"/>
      <c r="Z48" s="2"/>
      <c r="AA48" s="2"/>
      <c r="AB48" s="2"/>
      <c r="AC48" s="2"/>
      <c r="AG48" s="2"/>
      <c r="AK48" s="2"/>
      <c r="AL48" s="2"/>
      <c r="AM48" s="2"/>
      <c r="AN48" s="3"/>
      <c r="AO48" s="2"/>
      <c r="AU48" s="5"/>
    </row>
    <row r="49" ht="15.75" customHeight="1" spans="1:47">
      <c r="A49" s="2"/>
      <c r="F49" s="2"/>
      <c r="G49" s="2"/>
      <c r="K49" s="2"/>
      <c r="O49" s="2"/>
      <c r="P49" s="2"/>
      <c r="R49" s="2"/>
      <c r="T49" s="2"/>
      <c r="X49" s="2"/>
      <c r="Y49" s="2"/>
      <c r="Z49" s="2"/>
      <c r="AA49" s="2"/>
      <c r="AB49" s="2"/>
      <c r="AC49" s="2"/>
      <c r="AG49" s="2"/>
      <c r="AK49" s="2"/>
      <c r="AL49" s="2"/>
      <c r="AM49" s="2"/>
      <c r="AN49" s="3"/>
      <c r="AO49" s="2"/>
      <c r="AU49" s="5"/>
    </row>
    <row r="50" ht="15.75" customHeight="1" spans="1:47">
      <c r="A50" s="2"/>
      <c r="F50" s="2"/>
      <c r="G50" s="2"/>
      <c r="K50" s="2"/>
      <c r="O50" s="2"/>
      <c r="P50" s="2"/>
      <c r="R50" s="2"/>
      <c r="T50" s="2"/>
      <c r="X50" s="2"/>
      <c r="Y50" s="2"/>
      <c r="Z50" s="2"/>
      <c r="AA50" s="2"/>
      <c r="AB50" s="2"/>
      <c r="AC50" s="2"/>
      <c r="AG50" s="2"/>
      <c r="AK50" s="2"/>
      <c r="AL50" s="2"/>
      <c r="AM50" s="2"/>
      <c r="AN50" s="3"/>
      <c r="AO50" s="2"/>
      <c r="AU50" s="5"/>
    </row>
    <row r="51" ht="15.75" customHeight="1" spans="1:47">
      <c r="A51" s="2"/>
      <c r="F51" s="2"/>
      <c r="G51" s="2"/>
      <c r="K51" s="2"/>
      <c r="O51" s="2"/>
      <c r="P51" s="2"/>
      <c r="R51" s="2"/>
      <c r="T51" s="2"/>
      <c r="X51" s="2"/>
      <c r="Y51" s="2"/>
      <c r="Z51" s="2"/>
      <c r="AA51" s="2"/>
      <c r="AB51" s="2"/>
      <c r="AC51" s="2"/>
      <c r="AG51" s="2"/>
      <c r="AK51" s="2"/>
      <c r="AL51" s="2"/>
      <c r="AM51" s="2"/>
      <c r="AN51" s="3"/>
      <c r="AO51" s="2"/>
      <c r="AU51" s="5"/>
    </row>
    <row r="52" ht="15.75" customHeight="1" spans="1:47">
      <c r="A52" s="2"/>
      <c r="F52" s="2"/>
      <c r="G52" s="2"/>
      <c r="K52" s="2"/>
      <c r="O52" s="2"/>
      <c r="P52" s="2"/>
      <c r="R52" s="2"/>
      <c r="T52" s="2"/>
      <c r="X52" s="2"/>
      <c r="Y52" s="2"/>
      <c r="Z52" s="2"/>
      <c r="AA52" s="2"/>
      <c r="AB52" s="2"/>
      <c r="AC52" s="2"/>
      <c r="AG52" s="2"/>
      <c r="AK52" s="2"/>
      <c r="AL52" s="2"/>
      <c r="AM52" s="2"/>
      <c r="AN52" s="3"/>
      <c r="AO52" s="2"/>
      <c r="AU52" s="5"/>
    </row>
    <row r="53" ht="15.75" customHeight="1" spans="1:47">
      <c r="A53" s="2"/>
      <c r="F53" s="2"/>
      <c r="G53" s="2"/>
      <c r="K53" s="2"/>
      <c r="O53" s="2"/>
      <c r="P53" s="2"/>
      <c r="R53" s="2"/>
      <c r="T53" s="2"/>
      <c r="X53" s="2"/>
      <c r="Y53" s="2"/>
      <c r="Z53" s="2"/>
      <c r="AA53" s="2"/>
      <c r="AB53" s="2"/>
      <c r="AC53" s="2"/>
      <c r="AG53" s="2"/>
      <c r="AK53" s="2"/>
      <c r="AL53" s="2"/>
      <c r="AM53" s="2"/>
      <c r="AN53" s="3"/>
      <c r="AO53" s="2"/>
      <c r="AU53" s="5"/>
    </row>
    <row r="54" ht="15.75" customHeight="1" spans="1:47">
      <c r="A54" s="2"/>
      <c r="F54" s="2"/>
      <c r="G54" s="2"/>
      <c r="K54" s="2"/>
      <c r="O54" s="2"/>
      <c r="P54" s="2"/>
      <c r="R54" s="2"/>
      <c r="T54" s="2"/>
      <c r="X54" s="2"/>
      <c r="Y54" s="2"/>
      <c r="Z54" s="2"/>
      <c r="AA54" s="2"/>
      <c r="AB54" s="2"/>
      <c r="AC54" s="2"/>
      <c r="AG54" s="2"/>
      <c r="AK54" s="2"/>
      <c r="AL54" s="2"/>
      <c r="AM54" s="2"/>
      <c r="AN54" s="3"/>
      <c r="AO54" s="2"/>
      <c r="AU54" s="5"/>
    </row>
    <row r="55" ht="15.75" customHeight="1" spans="1:47">
      <c r="A55" s="2"/>
      <c r="F55" s="2"/>
      <c r="G55" s="2"/>
      <c r="K55" s="2"/>
      <c r="O55" s="2"/>
      <c r="P55" s="2"/>
      <c r="R55" s="2"/>
      <c r="T55" s="2"/>
      <c r="X55" s="2"/>
      <c r="Y55" s="2"/>
      <c r="Z55" s="2"/>
      <c r="AA55" s="2"/>
      <c r="AB55" s="2"/>
      <c r="AC55" s="2"/>
      <c r="AG55" s="2"/>
      <c r="AK55" s="2"/>
      <c r="AL55" s="2"/>
      <c r="AM55" s="2"/>
      <c r="AN55" s="3"/>
      <c r="AO55" s="2"/>
      <c r="AU55" s="5"/>
    </row>
    <row r="56" ht="15.75" customHeight="1" spans="1:47">
      <c r="A56" s="2"/>
      <c r="F56" s="2"/>
      <c r="G56" s="2"/>
      <c r="K56" s="2"/>
      <c r="O56" s="2"/>
      <c r="P56" s="2"/>
      <c r="R56" s="2"/>
      <c r="T56" s="2"/>
      <c r="X56" s="2"/>
      <c r="Y56" s="2"/>
      <c r="Z56" s="2"/>
      <c r="AA56" s="2"/>
      <c r="AB56" s="2"/>
      <c r="AC56" s="2"/>
      <c r="AG56" s="2"/>
      <c r="AK56" s="2"/>
      <c r="AL56" s="2"/>
      <c r="AM56" s="2"/>
      <c r="AN56" s="3"/>
      <c r="AO56" s="2"/>
      <c r="AU56" s="5"/>
    </row>
    <row r="57" ht="15.75" customHeight="1" spans="1:47">
      <c r="A57" s="2"/>
      <c r="F57" s="2"/>
      <c r="G57" s="2"/>
      <c r="K57" s="2"/>
      <c r="O57" s="2"/>
      <c r="P57" s="2"/>
      <c r="R57" s="2"/>
      <c r="T57" s="2"/>
      <c r="X57" s="2"/>
      <c r="Y57" s="2"/>
      <c r="Z57" s="2"/>
      <c r="AA57" s="2"/>
      <c r="AB57" s="2"/>
      <c r="AC57" s="2"/>
      <c r="AG57" s="2"/>
      <c r="AK57" s="2"/>
      <c r="AL57" s="2"/>
      <c r="AM57" s="2"/>
      <c r="AN57" s="3"/>
      <c r="AO57" s="2"/>
      <c r="AU57" s="5"/>
    </row>
    <row r="58" ht="15.75" customHeight="1" spans="1:47">
      <c r="A58" s="2"/>
      <c r="F58" s="2"/>
      <c r="G58" s="2"/>
      <c r="K58" s="2"/>
      <c r="O58" s="2"/>
      <c r="P58" s="2"/>
      <c r="R58" s="2"/>
      <c r="T58" s="2"/>
      <c r="X58" s="2"/>
      <c r="Y58" s="2"/>
      <c r="Z58" s="2"/>
      <c r="AA58" s="2"/>
      <c r="AB58" s="2"/>
      <c r="AC58" s="2"/>
      <c r="AG58" s="2"/>
      <c r="AK58" s="2"/>
      <c r="AL58" s="2"/>
      <c r="AM58" s="2"/>
      <c r="AN58" s="3"/>
      <c r="AO58" s="2"/>
      <c r="AU58" s="5"/>
    </row>
    <row r="59" ht="15.75" customHeight="1" spans="1:47">
      <c r="A59" s="2"/>
      <c r="F59" s="2"/>
      <c r="G59" s="2"/>
      <c r="K59" s="2"/>
      <c r="O59" s="2"/>
      <c r="P59" s="2"/>
      <c r="R59" s="2"/>
      <c r="T59" s="2"/>
      <c r="X59" s="2"/>
      <c r="Y59" s="2"/>
      <c r="Z59" s="2"/>
      <c r="AA59" s="2"/>
      <c r="AB59" s="2"/>
      <c r="AC59" s="2"/>
      <c r="AG59" s="2"/>
      <c r="AK59" s="2"/>
      <c r="AL59" s="2"/>
      <c r="AM59" s="2"/>
      <c r="AN59" s="3"/>
      <c r="AO59" s="2"/>
      <c r="AU59" s="5"/>
    </row>
    <row r="60" ht="15.75" customHeight="1" spans="1:47">
      <c r="A60" s="2"/>
      <c r="F60" s="2"/>
      <c r="G60" s="2"/>
      <c r="K60" s="2"/>
      <c r="O60" s="2"/>
      <c r="P60" s="2"/>
      <c r="R60" s="2"/>
      <c r="T60" s="2"/>
      <c r="X60" s="2"/>
      <c r="Y60" s="2"/>
      <c r="Z60" s="2"/>
      <c r="AA60" s="2"/>
      <c r="AB60" s="2"/>
      <c r="AC60" s="2"/>
      <c r="AG60" s="2"/>
      <c r="AK60" s="2"/>
      <c r="AL60" s="2"/>
      <c r="AM60" s="2"/>
      <c r="AN60" s="3"/>
      <c r="AO60" s="2"/>
      <c r="AU60" s="5"/>
    </row>
    <row r="61" ht="15.75" customHeight="1" spans="1:47">
      <c r="A61" s="2"/>
      <c r="F61" s="2"/>
      <c r="G61" s="2"/>
      <c r="K61" s="2"/>
      <c r="O61" s="2"/>
      <c r="P61" s="2"/>
      <c r="R61" s="2"/>
      <c r="T61" s="2"/>
      <c r="X61" s="2"/>
      <c r="Y61" s="2"/>
      <c r="Z61" s="2"/>
      <c r="AA61" s="2"/>
      <c r="AB61" s="2"/>
      <c r="AC61" s="2"/>
      <c r="AG61" s="2"/>
      <c r="AK61" s="2"/>
      <c r="AL61" s="2"/>
      <c r="AM61" s="2"/>
      <c r="AN61" s="3"/>
      <c r="AO61" s="2"/>
      <c r="AU61" s="5"/>
    </row>
    <row r="62" ht="15.75" customHeight="1" spans="1:47">
      <c r="A62" s="2"/>
      <c r="F62" s="2"/>
      <c r="G62" s="2"/>
      <c r="K62" s="2"/>
      <c r="O62" s="2"/>
      <c r="P62" s="2"/>
      <c r="R62" s="2"/>
      <c r="T62" s="2"/>
      <c r="X62" s="2"/>
      <c r="Y62" s="2"/>
      <c r="Z62" s="2"/>
      <c r="AA62" s="2"/>
      <c r="AB62" s="2"/>
      <c r="AC62" s="2"/>
      <c r="AG62" s="2"/>
      <c r="AK62" s="2"/>
      <c r="AL62" s="2"/>
      <c r="AM62" s="2"/>
      <c r="AN62" s="3"/>
      <c r="AO62" s="2"/>
      <c r="AU62" s="5"/>
    </row>
    <row r="63" ht="15.75" customHeight="1" spans="1:47">
      <c r="A63" s="2"/>
      <c r="F63" s="2"/>
      <c r="G63" s="2"/>
      <c r="K63" s="2"/>
      <c r="O63" s="2"/>
      <c r="P63" s="2"/>
      <c r="R63" s="2"/>
      <c r="T63" s="2"/>
      <c r="X63" s="2"/>
      <c r="Y63" s="2"/>
      <c r="Z63" s="2"/>
      <c r="AA63" s="2"/>
      <c r="AB63" s="2"/>
      <c r="AC63" s="2"/>
      <c r="AG63" s="2"/>
      <c r="AK63" s="2"/>
      <c r="AL63" s="2"/>
      <c r="AM63" s="2"/>
      <c r="AN63" s="3"/>
      <c r="AO63" s="2"/>
      <c r="AU63" s="5"/>
    </row>
    <row r="64" ht="15.75" customHeight="1" spans="1:47">
      <c r="A64" s="2"/>
      <c r="F64" s="2"/>
      <c r="G64" s="2"/>
      <c r="K64" s="2"/>
      <c r="O64" s="2"/>
      <c r="P64" s="2"/>
      <c r="R64" s="2"/>
      <c r="T64" s="2"/>
      <c r="X64" s="2"/>
      <c r="Y64" s="2"/>
      <c r="Z64" s="2"/>
      <c r="AA64" s="2"/>
      <c r="AB64" s="2"/>
      <c r="AC64" s="2"/>
      <c r="AG64" s="2"/>
      <c r="AK64" s="2"/>
      <c r="AL64" s="2"/>
      <c r="AM64" s="2"/>
      <c r="AN64" s="3"/>
      <c r="AO64" s="2"/>
      <c r="AU64" s="5"/>
    </row>
    <row r="65" ht="15.75" customHeight="1" spans="1:47">
      <c r="A65" s="2"/>
      <c r="F65" s="2"/>
      <c r="G65" s="2"/>
      <c r="K65" s="2"/>
      <c r="O65" s="2"/>
      <c r="P65" s="2"/>
      <c r="R65" s="2"/>
      <c r="T65" s="2"/>
      <c r="X65" s="2"/>
      <c r="Y65" s="2"/>
      <c r="Z65" s="2"/>
      <c r="AA65" s="2"/>
      <c r="AB65" s="2"/>
      <c r="AC65" s="2"/>
      <c r="AG65" s="2"/>
      <c r="AK65" s="2"/>
      <c r="AL65" s="2"/>
      <c r="AM65" s="2"/>
      <c r="AN65" s="3"/>
      <c r="AO65" s="2"/>
      <c r="AU65" s="5"/>
    </row>
    <row r="66" ht="15.75" customHeight="1" spans="1:47">
      <c r="A66" s="2"/>
      <c r="F66" s="2"/>
      <c r="G66" s="2"/>
      <c r="K66" s="2"/>
      <c r="O66" s="2"/>
      <c r="P66" s="2"/>
      <c r="R66" s="2"/>
      <c r="T66" s="2"/>
      <c r="X66" s="2"/>
      <c r="Y66" s="2"/>
      <c r="Z66" s="2"/>
      <c r="AA66" s="2"/>
      <c r="AB66" s="2"/>
      <c r="AC66" s="2"/>
      <c r="AG66" s="2"/>
      <c r="AK66" s="2"/>
      <c r="AL66" s="2"/>
      <c r="AM66" s="2"/>
      <c r="AN66" s="3"/>
      <c r="AO66" s="2"/>
      <c r="AU66" s="5"/>
    </row>
    <row r="67" ht="15.75" customHeight="1" spans="1:47">
      <c r="A67" s="2"/>
      <c r="F67" s="2"/>
      <c r="G67" s="2"/>
      <c r="K67" s="2"/>
      <c r="O67" s="2"/>
      <c r="P67" s="2"/>
      <c r="R67" s="2"/>
      <c r="T67" s="2"/>
      <c r="X67" s="2"/>
      <c r="Y67" s="2"/>
      <c r="Z67" s="2"/>
      <c r="AA67" s="2"/>
      <c r="AB67" s="2"/>
      <c r="AC67" s="2"/>
      <c r="AG67" s="2"/>
      <c r="AK67" s="2"/>
      <c r="AL67" s="2"/>
      <c r="AM67" s="2"/>
      <c r="AN67" s="3"/>
      <c r="AO67" s="2"/>
      <c r="AU67" s="5"/>
    </row>
    <row r="68" ht="15.75" customHeight="1" spans="1:47">
      <c r="A68" s="2"/>
      <c r="F68" s="2"/>
      <c r="G68" s="2"/>
      <c r="K68" s="2"/>
      <c r="O68" s="2"/>
      <c r="P68" s="2"/>
      <c r="R68" s="2"/>
      <c r="T68" s="2"/>
      <c r="X68" s="2"/>
      <c r="Y68" s="2"/>
      <c r="Z68" s="2"/>
      <c r="AA68" s="2"/>
      <c r="AB68" s="2"/>
      <c r="AC68" s="2"/>
      <c r="AG68" s="2"/>
      <c r="AK68" s="2"/>
      <c r="AL68" s="2"/>
      <c r="AM68" s="2"/>
      <c r="AN68" s="3"/>
      <c r="AO68" s="2"/>
      <c r="AU68" s="5"/>
    </row>
    <row r="69" ht="15.75" customHeight="1" spans="1:47">
      <c r="A69" s="2"/>
      <c r="F69" s="2"/>
      <c r="G69" s="2"/>
      <c r="K69" s="2"/>
      <c r="O69" s="2"/>
      <c r="P69" s="2"/>
      <c r="R69" s="2"/>
      <c r="T69" s="2"/>
      <c r="X69" s="2"/>
      <c r="Y69" s="2"/>
      <c r="Z69" s="2"/>
      <c r="AA69" s="2"/>
      <c r="AB69" s="2"/>
      <c r="AC69" s="2"/>
      <c r="AG69" s="2"/>
      <c r="AK69" s="2"/>
      <c r="AL69" s="2"/>
      <c r="AM69" s="2"/>
      <c r="AN69" s="3"/>
      <c r="AO69" s="2"/>
      <c r="AU69" s="5"/>
    </row>
    <row r="70" ht="15.75" customHeight="1" spans="1:47">
      <c r="A70" s="2"/>
      <c r="F70" s="2"/>
      <c r="G70" s="2"/>
      <c r="K70" s="2"/>
      <c r="O70" s="2"/>
      <c r="P70" s="2"/>
      <c r="R70" s="2"/>
      <c r="T70" s="2"/>
      <c r="X70" s="2"/>
      <c r="Y70" s="2"/>
      <c r="Z70" s="2"/>
      <c r="AA70" s="2"/>
      <c r="AB70" s="2"/>
      <c r="AC70" s="2"/>
      <c r="AG70" s="2"/>
      <c r="AK70" s="2"/>
      <c r="AL70" s="2"/>
      <c r="AM70" s="2"/>
      <c r="AN70" s="3"/>
      <c r="AO70" s="2"/>
      <c r="AU70" s="5"/>
    </row>
    <row r="71" ht="15.75" customHeight="1" spans="1:47">
      <c r="A71" s="2"/>
      <c r="F71" s="2"/>
      <c r="G71" s="2"/>
      <c r="K71" s="2"/>
      <c r="O71" s="2"/>
      <c r="P71" s="2"/>
      <c r="R71" s="2"/>
      <c r="T71" s="2"/>
      <c r="X71" s="2"/>
      <c r="Y71" s="2"/>
      <c r="Z71" s="2"/>
      <c r="AA71" s="2"/>
      <c r="AB71" s="2"/>
      <c r="AC71" s="2"/>
      <c r="AG71" s="2"/>
      <c r="AK71" s="2"/>
      <c r="AL71" s="2"/>
      <c r="AM71" s="2"/>
      <c r="AN71" s="3"/>
      <c r="AO71" s="2"/>
      <c r="AU71" s="5"/>
    </row>
    <row r="72" ht="15.75" customHeight="1" spans="1:47">
      <c r="A72" s="2"/>
      <c r="F72" s="2"/>
      <c r="G72" s="2"/>
      <c r="K72" s="2"/>
      <c r="O72" s="2"/>
      <c r="P72" s="2"/>
      <c r="R72" s="2"/>
      <c r="T72" s="2"/>
      <c r="X72" s="2"/>
      <c r="Y72" s="2"/>
      <c r="Z72" s="2"/>
      <c r="AA72" s="2"/>
      <c r="AB72" s="2"/>
      <c r="AC72" s="2"/>
      <c r="AG72" s="2"/>
      <c r="AK72" s="2"/>
      <c r="AL72" s="2"/>
      <c r="AM72" s="2"/>
      <c r="AN72" s="3"/>
      <c r="AO72" s="2"/>
      <c r="AU72" s="5"/>
    </row>
    <row r="73" ht="15.75" customHeight="1" spans="1:47">
      <c r="A73" s="2"/>
      <c r="F73" s="2"/>
      <c r="G73" s="2"/>
      <c r="K73" s="2"/>
      <c r="O73" s="2"/>
      <c r="P73" s="2"/>
      <c r="R73" s="2"/>
      <c r="T73" s="2"/>
      <c r="X73" s="2"/>
      <c r="Y73" s="2"/>
      <c r="Z73" s="2"/>
      <c r="AA73" s="2"/>
      <c r="AB73" s="2"/>
      <c r="AC73" s="2"/>
      <c r="AG73" s="2"/>
      <c r="AK73" s="2"/>
      <c r="AL73" s="2"/>
      <c r="AM73" s="2"/>
      <c r="AN73" s="3"/>
      <c r="AO73" s="2"/>
      <c r="AU73" s="5"/>
    </row>
    <row r="74" ht="15.75" customHeight="1" spans="1:47">
      <c r="A74" s="2"/>
      <c r="F74" s="2"/>
      <c r="G74" s="2"/>
      <c r="K74" s="2"/>
      <c r="O74" s="2"/>
      <c r="P74" s="2"/>
      <c r="R74" s="2"/>
      <c r="T74" s="2"/>
      <c r="X74" s="2"/>
      <c r="Y74" s="2"/>
      <c r="Z74" s="2"/>
      <c r="AA74" s="2"/>
      <c r="AB74" s="2"/>
      <c r="AC74" s="2"/>
      <c r="AG74" s="2"/>
      <c r="AK74" s="2"/>
      <c r="AL74" s="2"/>
      <c r="AM74" s="2"/>
      <c r="AN74" s="3"/>
      <c r="AO74" s="2"/>
      <c r="AU74" s="5"/>
    </row>
    <row r="75" ht="15.75" customHeight="1" spans="1:47">
      <c r="A75" s="2"/>
      <c r="F75" s="2"/>
      <c r="G75" s="2"/>
      <c r="K75" s="2"/>
      <c r="O75" s="2"/>
      <c r="P75" s="2"/>
      <c r="R75" s="2"/>
      <c r="T75" s="2"/>
      <c r="X75" s="2"/>
      <c r="Y75" s="2"/>
      <c r="Z75" s="2"/>
      <c r="AA75" s="2"/>
      <c r="AB75" s="2"/>
      <c r="AC75" s="2"/>
      <c r="AG75" s="2"/>
      <c r="AK75" s="2"/>
      <c r="AL75" s="2"/>
      <c r="AM75" s="2"/>
      <c r="AN75" s="3"/>
      <c r="AO75" s="2"/>
      <c r="AU75" s="5"/>
    </row>
    <row r="76" ht="15.75" customHeight="1" spans="1:47">
      <c r="A76" s="2"/>
      <c r="F76" s="2"/>
      <c r="G76" s="2"/>
      <c r="K76" s="2"/>
      <c r="O76" s="2"/>
      <c r="P76" s="2"/>
      <c r="R76" s="2"/>
      <c r="T76" s="2"/>
      <c r="X76" s="2"/>
      <c r="Y76" s="2"/>
      <c r="Z76" s="2"/>
      <c r="AA76" s="2"/>
      <c r="AB76" s="2"/>
      <c r="AC76" s="2"/>
      <c r="AG76" s="2"/>
      <c r="AK76" s="2"/>
      <c r="AL76" s="2"/>
      <c r="AM76" s="2"/>
      <c r="AN76" s="3"/>
      <c r="AO76" s="2"/>
      <c r="AU76" s="5"/>
    </row>
    <row r="77" ht="15.75" customHeight="1" spans="1:47">
      <c r="A77" s="2"/>
      <c r="F77" s="2"/>
      <c r="G77" s="2"/>
      <c r="K77" s="2"/>
      <c r="O77" s="2"/>
      <c r="P77" s="2"/>
      <c r="R77" s="2"/>
      <c r="T77" s="2"/>
      <c r="X77" s="2"/>
      <c r="Y77" s="2"/>
      <c r="Z77" s="2"/>
      <c r="AA77" s="2"/>
      <c r="AB77" s="2"/>
      <c r="AC77" s="2"/>
      <c r="AG77" s="2"/>
      <c r="AK77" s="2"/>
      <c r="AL77" s="2"/>
      <c r="AM77" s="2"/>
      <c r="AN77" s="3"/>
      <c r="AO77" s="2"/>
      <c r="AU77" s="5"/>
    </row>
    <row r="78" ht="15.75" customHeight="1" spans="1:47">
      <c r="A78" s="2"/>
      <c r="F78" s="2"/>
      <c r="G78" s="2"/>
      <c r="K78" s="2"/>
      <c r="O78" s="2"/>
      <c r="P78" s="2"/>
      <c r="R78" s="2"/>
      <c r="T78" s="2"/>
      <c r="X78" s="2"/>
      <c r="Y78" s="2"/>
      <c r="Z78" s="2"/>
      <c r="AA78" s="2"/>
      <c r="AB78" s="2"/>
      <c r="AC78" s="2"/>
      <c r="AG78" s="2"/>
      <c r="AK78" s="2"/>
      <c r="AL78" s="2"/>
      <c r="AM78" s="2"/>
      <c r="AN78" s="3"/>
      <c r="AO78" s="2"/>
      <c r="AU78" s="5"/>
    </row>
    <row r="79" ht="15.75" customHeight="1" spans="1:47">
      <c r="A79" s="2"/>
      <c r="F79" s="2"/>
      <c r="G79" s="2"/>
      <c r="K79" s="2"/>
      <c r="O79" s="2"/>
      <c r="P79" s="2"/>
      <c r="R79" s="2"/>
      <c r="T79" s="2"/>
      <c r="X79" s="2"/>
      <c r="Y79" s="2"/>
      <c r="Z79" s="2"/>
      <c r="AA79" s="2"/>
      <c r="AB79" s="2"/>
      <c r="AC79" s="2"/>
      <c r="AG79" s="2"/>
      <c r="AK79" s="2"/>
      <c r="AL79" s="2"/>
      <c r="AM79" s="2"/>
      <c r="AN79" s="3"/>
      <c r="AO79" s="2"/>
      <c r="AU79" s="5"/>
    </row>
    <row r="80" ht="15.75" customHeight="1" spans="1:47">
      <c r="A80" s="2"/>
      <c r="F80" s="2"/>
      <c r="G80" s="2"/>
      <c r="K80" s="2"/>
      <c r="O80" s="2"/>
      <c r="P80" s="2"/>
      <c r="R80" s="2"/>
      <c r="T80" s="2"/>
      <c r="X80" s="2"/>
      <c r="Y80" s="2"/>
      <c r="Z80" s="2"/>
      <c r="AA80" s="2"/>
      <c r="AB80" s="2"/>
      <c r="AC80" s="2"/>
      <c r="AG80" s="2"/>
      <c r="AK80" s="2"/>
      <c r="AL80" s="2"/>
      <c r="AM80" s="2"/>
      <c r="AN80" s="3"/>
      <c r="AO80" s="2"/>
      <c r="AU80" s="5"/>
    </row>
    <row r="81" ht="15.75" customHeight="1" spans="1:47">
      <c r="A81" s="2"/>
      <c r="F81" s="2"/>
      <c r="G81" s="2"/>
      <c r="K81" s="2"/>
      <c r="O81" s="2"/>
      <c r="P81" s="2"/>
      <c r="R81" s="2"/>
      <c r="T81" s="2"/>
      <c r="X81" s="2"/>
      <c r="Y81" s="2"/>
      <c r="Z81" s="2"/>
      <c r="AA81" s="2"/>
      <c r="AB81" s="2"/>
      <c r="AC81" s="2"/>
      <c r="AG81" s="2"/>
      <c r="AK81" s="2"/>
      <c r="AL81" s="2"/>
      <c r="AM81" s="2"/>
      <c r="AN81" s="3"/>
      <c r="AO81" s="2"/>
      <c r="AU81" s="5"/>
    </row>
    <row r="82" ht="15.75" customHeight="1" spans="1:47">
      <c r="A82" s="2"/>
      <c r="F82" s="2"/>
      <c r="G82" s="2"/>
      <c r="K82" s="2"/>
      <c r="O82" s="2"/>
      <c r="P82" s="2"/>
      <c r="R82" s="2"/>
      <c r="T82" s="2"/>
      <c r="X82" s="2"/>
      <c r="Y82" s="2"/>
      <c r="Z82" s="2"/>
      <c r="AA82" s="2"/>
      <c r="AB82" s="2"/>
      <c r="AC82" s="2"/>
      <c r="AG82" s="2"/>
      <c r="AK82" s="2"/>
      <c r="AL82" s="2"/>
      <c r="AM82" s="2"/>
      <c r="AN82" s="3"/>
      <c r="AO82" s="2"/>
      <c r="AU82" s="5"/>
    </row>
    <row r="83" ht="15.75" customHeight="1" spans="1:47">
      <c r="A83" s="2"/>
      <c r="F83" s="2"/>
      <c r="G83" s="2"/>
      <c r="K83" s="2"/>
      <c r="O83" s="2"/>
      <c r="P83" s="2"/>
      <c r="R83" s="2"/>
      <c r="T83" s="2"/>
      <c r="X83" s="2"/>
      <c r="Y83" s="2"/>
      <c r="Z83" s="2"/>
      <c r="AA83" s="2"/>
      <c r="AB83" s="2"/>
      <c r="AC83" s="2"/>
      <c r="AG83" s="2"/>
      <c r="AK83" s="2"/>
      <c r="AL83" s="2"/>
      <c r="AM83" s="2"/>
      <c r="AN83" s="3"/>
      <c r="AO83" s="2"/>
      <c r="AU83" s="5"/>
    </row>
    <row r="84" ht="15.75" customHeight="1" spans="1:47">
      <c r="A84" s="2"/>
      <c r="F84" s="2"/>
      <c r="G84" s="2"/>
      <c r="K84" s="2"/>
      <c r="O84" s="2"/>
      <c r="P84" s="2"/>
      <c r="R84" s="2"/>
      <c r="T84" s="2"/>
      <c r="X84" s="2"/>
      <c r="Y84" s="2"/>
      <c r="Z84" s="2"/>
      <c r="AA84" s="2"/>
      <c r="AB84" s="2"/>
      <c r="AC84" s="2"/>
      <c r="AG84" s="2"/>
      <c r="AK84" s="2"/>
      <c r="AL84" s="2"/>
      <c r="AM84" s="2"/>
      <c r="AN84" s="3"/>
      <c r="AO84" s="2"/>
      <c r="AU84" s="5"/>
    </row>
    <row r="85" ht="15.75" customHeight="1" spans="1:47">
      <c r="A85" s="2"/>
      <c r="F85" s="2"/>
      <c r="G85" s="2"/>
      <c r="K85" s="2"/>
      <c r="O85" s="2"/>
      <c r="P85" s="2"/>
      <c r="R85" s="2"/>
      <c r="T85" s="2"/>
      <c r="X85" s="2"/>
      <c r="Y85" s="2"/>
      <c r="Z85" s="2"/>
      <c r="AA85" s="2"/>
      <c r="AB85" s="2"/>
      <c r="AC85" s="2"/>
      <c r="AG85" s="2"/>
      <c r="AK85" s="2"/>
      <c r="AL85" s="2"/>
      <c r="AM85" s="2"/>
      <c r="AN85" s="3"/>
      <c r="AO85" s="2"/>
      <c r="AU85" s="5"/>
    </row>
    <row r="86" ht="15.75" customHeight="1" spans="1:47">
      <c r="A86" s="2"/>
      <c r="F86" s="2"/>
      <c r="G86" s="2"/>
      <c r="K86" s="2"/>
      <c r="O86" s="2"/>
      <c r="P86" s="2"/>
      <c r="R86" s="2"/>
      <c r="T86" s="2"/>
      <c r="X86" s="2"/>
      <c r="Y86" s="2"/>
      <c r="Z86" s="2"/>
      <c r="AA86" s="2"/>
      <c r="AB86" s="2"/>
      <c r="AC86" s="2"/>
      <c r="AG86" s="2"/>
      <c r="AK86" s="2"/>
      <c r="AL86" s="2"/>
      <c r="AM86" s="2"/>
      <c r="AN86" s="3"/>
      <c r="AO86" s="2"/>
      <c r="AU86" s="5"/>
    </row>
    <row r="87" ht="15.75" customHeight="1" spans="1:47">
      <c r="A87" s="2"/>
      <c r="F87" s="2"/>
      <c r="G87" s="2"/>
      <c r="K87" s="2"/>
      <c r="O87" s="2"/>
      <c r="P87" s="2"/>
      <c r="R87" s="2"/>
      <c r="T87" s="2"/>
      <c r="X87" s="2"/>
      <c r="Y87" s="2"/>
      <c r="Z87" s="2"/>
      <c r="AA87" s="2"/>
      <c r="AB87" s="2"/>
      <c r="AC87" s="2"/>
      <c r="AG87" s="2"/>
      <c r="AK87" s="2"/>
      <c r="AL87" s="2"/>
      <c r="AM87" s="2"/>
      <c r="AN87" s="3"/>
      <c r="AO87" s="2"/>
      <c r="AU87" s="5"/>
    </row>
    <row r="88" ht="15.75" customHeight="1" spans="1:47">
      <c r="A88" s="2"/>
      <c r="F88" s="2"/>
      <c r="G88" s="2"/>
      <c r="K88" s="2"/>
      <c r="O88" s="2"/>
      <c r="P88" s="2"/>
      <c r="R88" s="2"/>
      <c r="T88" s="2"/>
      <c r="X88" s="2"/>
      <c r="Y88" s="2"/>
      <c r="Z88" s="2"/>
      <c r="AA88" s="2"/>
      <c r="AB88" s="2"/>
      <c r="AC88" s="2"/>
      <c r="AG88" s="2"/>
      <c r="AK88" s="2"/>
      <c r="AL88" s="2"/>
      <c r="AM88" s="2"/>
      <c r="AN88" s="3"/>
      <c r="AO88" s="2"/>
      <c r="AU88" s="5"/>
    </row>
    <row r="89" ht="15.75" customHeight="1" spans="1:47">
      <c r="A89" s="2"/>
      <c r="F89" s="2"/>
      <c r="G89" s="2"/>
      <c r="K89" s="2"/>
      <c r="O89" s="2"/>
      <c r="P89" s="2"/>
      <c r="R89" s="2"/>
      <c r="T89" s="2"/>
      <c r="X89" s="2"/>
      <c r="Y89" s="2"/>
      <c r="Z89" s="2"/>
      <c r="AA89" s="2"/>
      <c r="AB89" s="2"/>
      <c r="AC89" s="2"/>
      <c r="AG89" s="2"/>
      <c r="AK89" s="2"/>
      <c r="AL89" s="2"/>
      <c r="AM89" s="2"/>
      <c r="AN89" s="3"/>
      <c r="AO89" s="2"/>
      <c r="AU89" s="5"/>
    </row>
    <row r="90" ht="15.75" customHeight="1" spans="1:47">
      <c r="A90" s="2"/>
      <c r="F90" s="2"/>
      <c r="G90" s="2"/>
      <c r="K90" s="2"/>
      <c r="O90" s="2"/>
      <c r="P90" s="2"/>
      <c r="R90" s="2"/>
      <c r="T90" s="2"/>
      <c r="X90" s="2"/>
      <c r="Y90" s="2"/>
      <c r="Z90" s="2"/>
      <c r="AA90" s="2"/>
      <c r="AB90" s="2"/>
      <c r="AC90" s="2"/>
      <c r="AG90" s="2"/>
      <c r="AK90" s="2"/>
      <c r="AL90" s="2"/>
      <c r="AM90" s="2"/>
      <c r="AN90" s="3"/>
      <c r="AO90" s="2"/>
      <c r="AU90" s="5"/>
    </row>
    <row r="91" ht="15.75" customHeight="1" spans="1:47">
      <c r="A91" s="2"/>
      <c r="F91" s="2"/>
      <c r="G91" s="2"/>
      <c r="K91" s="2"/>
      <c r="O91" s="2"/>
      <c r="P91" s="2"/>
      <c r="R91" s="2"/>
      <c r="T91" s="2"/>
      <c r="X91" s="2"/>
      <c r="Y91" s="2"/>
      <c r="Z91" s="2"/>
      <c r="AA91" s="2"/>
      <c r="AB91" s="2"/>
      <c r="AC91" s="2"/>
      <c r="AG91" s="2"/>
      <c r="AK91" s="2"/>
      <c r="AL91" s="2"/>
      <c r="AM91" s="2"/>
      <c r="AN91" s="3"/>
      <c r="AO91" s="2"/>
      <c r="AU91" s="5"/>
    </row>
    <row r="92" ht="15.75" customHeight="1" spans="1:47">
      <c r="A92" s="2"/>
      <c r="F92" s="2"/>
      <c r="G92" s="2"/>
      <c r="K92" s="2"/>
      <c r="O92" s="2"/>
      <c r="P92" s="2"/>
      <c r="R92" s="2"/>
      <c r="T92" s="2"/>
      <c r="X92" s="2"/>
      <c r="Y92" s="2"/>
      <c r="Z92" s="2"/>
      <c r="AA92" s="2"/>
      <c r="AB92" s="2"/>
      <c r="AC92" s="2"/>
      <c r="AG92" s="2"/>
      <c r="AK92" s="2"/>
      <c r="AL92" s="2"/>
      <c r="AM92" s="2"/>
      <c r="AN92" s="3"/>
      <c r="AO92" s="2"/>
      <c r="AU92" s="5"/>
    </row>
    <row r="93" ht="15.75" customHeight="1" spans="1:47">
      <c r="A93" s="2"/>
      <c r="F93" s="2"/>
      <c r="G93" s="2"/>
      <c r="K93" s="2"/>
      <c r="O93" s="2"/>
      <c r="P93" s="2"/>
      <c r="R93" s="2"/>
      <c r="T93" s="2"/>
      <c r="X93" s="2"/>
      <c r="Y93" s="2"/>
      <c r="Z93" s="2"/>
      <c r="AA93" s="2"/>
      <c r="AB93" s="2"/>
      <c r="AC93" s="2"/>
      <c r="AG93" s="2"/>
      <c r="AK93" s="2"/>
      <c r="AL93" s="2"/>
      <c r="AM93" s="2"/>
      <c r="AN93" s="3"/>
      <c r="AO93" s="2"/>
      <c r="AU93" s="5"/>
    </row>
    <row r="94" ht="15.75" customHeight="1" spans="1:47">
      <c r="A94" s="2"/>
      <c r="F94" s="2"/>
      <c r="G94" s="2"/>
      <c r="K94" s="2"/>
      <c r="O94" s="2"/>
      <c r="P94" s="2"/>
      <c r="R94" s="2"/>
      <c r="T94" s="2"/>
      <c r="X94" s="2"/>
      <c r="Y94" s="2"/>
      <c r="Z94" s="2"/>
      <c r="AA94" s="2"/>
      <c r="AB94" s="2"/>
      <c r="AC94" s="2"/>
      <c r="AG94" s="2"/>
      <c r="AK94" s="2"/>
      <c r="AL94" s="2"/>
      <c r="AM94" s="2"/>
      <c r="AN94" s="3"/>
      <c r="AO94" s="2"/>
      <c r="AU94" s="5"/>
    </row>
    <row r="95" ht="15.75" customHeight="1" spans="1:47">
      <c r="A95" s="2"/>
      <c r="F95" s="2"/>
      <c r="G95" s="2"/>
      <c r="K95" s="2"/>
      <c r="O95" s="2"/>
      <c r="P95" s="2"/>
      <c r="R95" s="2"/>
      <c r="T95" s="2"/>
      <c r="X95" s="2"/>
      <c r="Y95" s="2"/>
      <c r="Z95" s="2"/>
      <c r="AA95" s="2"/>
      <c r="AB95" s="2"/>
      <c r="AC95" s="2"/>
      <c r="AG95" s="2"/>
      <c r="AK95" s="2"/>
      <c r="AL95" s="2"/>
      <c r="AM95" s="2"/>
      <c r="AN95" s="3"/>
      <c r="AO95" s="2"/>
      <c r="AU95" s="5"/>
    </row>
    <row r="96" ht="15.75" customHeight="1" spans="1:47">
      <c r="A96" s="2"/>
      <c r="F96" s="2"/>
      <c r="G96" s="2"/>
      <c r="K96" s="2"/>
      <c r="O96" s="2"/>
      <c r="P96" s="2"/>
      <c r="R96" s="2"/>
      <c r="T96" s="2"/>
      <c r="X96" s="2"/>
      <c r="Y96" s="2"/>
      <c r="Z96" s="2"/>
      <c r="AA96" s="2"/>
      <c r="AB96" s="2"/>
      <c r="AC96" s="2"/>
      <c r="AG96" s="2"/>
      <c r="AK96" s="2"/>
      <c r="AL96" s="2"/>
      <c r="AM96" s="2"/>
      <c r="AN96" s="3"/>
      <c r="AO96" s="2"/>
      <c r="AU96" s="5"/>
    </row>
    <row r="97" ht="15.75" customHeight="1" spans="1:47">
      <c r="A97" s="2"/>
      <c r="F97" s="2"/>
      <c r="G97" s="2"/>
      <c r="K97" s="2"/>
      <c r="O97" s="2"/>
      <c r="P97" s="2"/>
      <c r="R97" s="2"/>
      <c r="T97" s="2"/>
      <c r="X97" s="2"/>
      <c r="Y97" s="2"/>
      <c r="Z97" s="2"/>
      <c r="AA97" s="2"/>
      <c r="AB97" s="2"/>
      <c r="AC97" s="2"/>
      <c r="AG97" s="2"/>
      <c r="AK97" s="2"/>
      <c r="AL97" s="2"/>
      <c r="AM97" s="2"/>
      <c r="AN97" s="3"/>
      <c r="AO97" s="2"/>
      <c r="AU97" s="5"/>
    </row>
    <row r="98" ht="15.75" customHeight="1" spans="1:47">
      <c r="A98" s="2"/>
      <c r="F98" s="2"/>
      <c r="G98" s="2"/>
      <c r="K98" s="2"/>
      <c r="O98" s="2"/>
      <c r="P98" s="2"/>
      <c r="R98" s="2"/>
      <c r="T98" s="2"/>
      <c r="X98" s="2"/>
      <c r="Y98" s="2"/>
      <c r="Z98" s="2"/>
      <c r="AA98" s="2"/>
      <c r="AB98" s="2"/>
      <c r="AC98" s="2"/>
      <c r="AG98" s="2"/>
      <c r="AK98" s="2"/>
      <c r="AL98" s="2"/>
      <c r="AM98" s="2"/>
      <c r="AN98" s="3"/>
      <c r="AO98" s="2"/>
      <c r="AU98" s="5"/>
    </row>
    <row r="99" ht="15.75" customHeight="1" spans="1:47">
      <c r="A99" s="2"/>
      <c r="F99" s="2"/>
      <c r="G99" s="2"/>
      <c r="K99" s="2"/>
      <c r="O99" s="2"/>
      <c r="P99" s="2"/>
      <c r="R99" s="2"/>
      <c r="T99" s="2"/>
      <c r="X99" s="2"/>
      <c r="Y99" s="2"/>
      <c r="Z99" s="2"/>
      <c r="AA99" s="2"/>
      <c r="AB99" s="2"/>
      <c r="AC99" s="2"/>
      <c r="AG99" s="2"/>
      <c r="AK99" s="2"/>
      <c r="AL99" s="2"/>
      <c r="AM99" s="2"/>
      <c r="AN99" s="3"/>
      <c r="AO99" s="2"/>
      <c r="AU99" s="5"/>
    </row>
    <row r="100" ht="15.75" customHeight="1" spans="1:47">
      <c r="A100" s="2"/>
      <c r="F100" s="2"/>
      <c r="G100" s="2"/>
      <c r="K100" s="2"/>
      <c r="O100" s="2"/>
      <c r="P100" s="2"/>
      <c r="R100" s="2"/>
      <c r="T100" s="2"/>
      <c r="X100" s="2"/>
      <c r="Y100" s="2"/>
      <c r="Z100" s="2"/>
      <c r="AA100" s="2"/>
      <c r="AB100" s="2"/>
      <c r="AC100" s="2"/>
      <c r="AG100" s="2"/>
      <c r="AK100" s="2"/>
      <c r="AL100" s="2"/>
      <c r="AM100" s="2"/>
      <c r="AN100" s="3"/>
      <c r="AO100" s="2"/>
      <c r="AU100" s="5"/>
    </row>
    <row r="101" ht="15.75" customHeight="1" spans="1:47">
      <c r="A101" s="2"/>
      <c r="F101" s="2"/>
      <c r="G101" s="2"/>
      <c r="K101" s="2"/>
      <c r="O101" s="2"/>
      <c r="P101" s="2"/>
      <c r="R101" s="2"/>
      <c r="T101" s="2"/>
      <c r="X101" s="2"/>
      <c r="Y101" s="2"/>
      <c r="Z101" s="2"/>
      <c r="AA101" s="2"/>
      <c r="AB101" s="2"/>
      <c r="AC101" s="2"/>
      <c r="AG101" s="2"/>
      <c r="AK101" s="2"/>
      <c r="AL101" s="2"/>
      <c r="AM101" s="2"/>
      <c r="AN101" s="3"/>
      <c r="AO101" s="2"/>
      <c r="AU101" s="5"/>
    </row>
    <row r="102" ht="15.75" customHeight="1" spans="1:47">
      <c r="A102" s="2"/>
      <c r="F102" s="2"/>
      <c r="G102" s="2"/>
      <c r="K102" s="2"/>
      <c r="O102" s="2"/>
      <c r="P102" s="2"/>
      <c r="R102" s="2"/>
      <c r="T102" s="2"/>
      <c r="X102" s="2"/>
      <c r="Y102" s="2"/>
      <c r="Z102" s="2"/>
      <c r="AA102" s="2"/>
      <c r="AB102" s="2"/>
      <c r="AC102" s="2"/>
      <c r="AG102" s="2"/>
      <c r="AK102" s="2"/>
      <c r="AL102" s="2"/>
      <c r="AM102" s="2"/>
      <c r="AN102" s="3"/>
      <c r="AO102" s="2"/>
      <c r="AU102" s="5"/>
    </row>
    <row r="103" ht="15.75" customHeight="1" spans="1:47">
      <c r="A103" s="2"/>
      <c r="F103" s="2"/>
      <c r="G103" s="2"/>
      <c r="K103" s="2"/>
      <c r="O103" s="2"/>
      <c r="P103" s="2"/>
      <c r="R103" s="2"/>
      <c r="T103" s="2"/>
      <c r="X103" s="2"/>
      <c r="Y103" s="2"/>
      <c r="Z103" s="2"/>
      <c r="AA103" s="2"/>
      <c r="AB103" s="2"/>
      <c r="AC103" s="2"/>
      <c r="AG103" s="2"/>
      <c r="AK103" s="2"/>
      <c r="AL103" s="2"/>
      <c r="AM103" s="2"/>
      <c r="AN103" s="3"/>
      <c r="AO103" s="2"/>
      <c r="AU103" s="5"/>
    </row>
    <row r="104" ht="15.75" customHeight="1" spans="1:47">
      <c r="A104" s="2"/>
      <c r="F104" s="2"/>
      <c r="G104" s="2"/>
      <c r="K104" s="2"/>
      <c r="O104" s="2"/>
      <c r="P104" s="2"/>
      <c r="R104" s="2"/>
      <c r="T104" s="2"/>
      <c r="X104" s="2"/>
      <c r="Y104" s="2"/>
      <c r="Z104" s="2"/>
      <c r="AA104" s="2"/>
      <c r="AB104" s="2"/>
      <c r="AC104" s="2"/>
      <c r="AG104" s="2"/>
      <c r="AK104" s="2"/>
      <c r="AL104" s="2"/>
      <c r="AM104" s="2"/>
      <c r="AN104" s="3"/>
      <c r="AO104" s="2"/>
      <c r="AU104" s="5"/>
    </row>
    <row r="105" ht="15.75" customHeight="1" spans="1:47">
      <c r="A105" s="2"/>
      <c r="F105" s="2"/>
      <c r="G105" s="2"/>
      <c r="K105" s="2"/>
      <c r="O105" s="2"/>
      <c r="P105" s="2"/>
      <c r="R105" s="2"/>
      <c r="T105" s="2"/>
      <c r="X105" s="2"/>
      <c r="Y105" s="2"/>
      <c r="Z105" s="2"/>
      <c r="AA105" s="2"/>
      <c r="AB105" s="2"/>
      <c r="AC105" s="2"/>
      <c r="AG105" s="2"/>
      <c r="AK105" s="2"/>
      <c r="AL105" s="2"/>
      <c r="AM105" s="2"/>
      <c r="AN105" s="3"/>
      <c r="AO105" s="2"/>
      <c r="AU105" s="5"/>
    </row>
    <row r="106" ht="15.75" customHeight="1" spans="1:47">
      <c r="A106" s="2"/>
      <c r="F106" s="2"/>
      <c r="G106" s="2"/>
      <c r="K106" s="2"/>
      <c r="O106" s="2"/>
      <c r="P106" s="2"/>
      <c r="R106" s="2"/>
      <c r="T106" s="2"/>
      <c r="X106" s="2"/>
      <c r="Y106" s="2"/>
      <c r="Z106" s="2"/>
      <c r="AA106" s="2"/>
      <c r="AB106" s="2"/>
      <c r="AC106" s="2"/>
      <c r="AG106" s="2"/>
      <c r="AK106" s="2"/>
      <c r="AL106" s="2"/>
      <c r="AM106" s="2"/>
      <c r="AN106" s="3"/>
      <c r="AO106" s="2"/>
      <c r="AU106" s="5"/>
    </row>
    <row r="107" ht="15.75" customHeight="1" spans="1:47">
      <c r="A107" s="2"/>
      <c r="F107" s="2"/>
      <c r="G107" s="2"/>
      <c r="K107" s="2"/>
      <c r="O107" s="2"/>
      <c r="P107" s="2"/>
      <c r="R107" s="2"/>
      <c r="T107" s="2"/>
      <c r="X107" s="2"/>
      <c r="Y107" s="2"/>
      <c r="Z107" s="2"/>
      <c r="AA107" s="2"/>
      <c r="AB107" s="2"/>
      <c r="AC107" s="2"/>
      <c r="AG107" s="2"/>
      <c r="AK107" s="2"/>
      <c r="AL107" s="2"/>
      <c r="AM107" s="2"/>
      <c r="AN107" s="3"/>
      <c r="AO107" s="2"/>
      <c r="AU107" s="5"/>
    </row>
    <row r="108" ht="15.75" customHeight="1" spans="1:47">
      <c r="A108" s="2"/>
      <c r="F108" s="2"/>
      <c r="G108" s="2"/>
      <c r="K108" s="2"/>
      <c r="O108" s="2"/>
      <c r="P108" s="2"/>
      <c r="R108" s="2"/>
      <c r="T108" s="2"/>
      <c r="X108" s="2"/>
      <c r="Y108" s="2"/>
      <c r="Z108" s="2"/>
      <c r="AA108" s="2"/>
      <c r="AB108" s="2"/>
      <c r="AC108" s="2"/>
      <c r="AG108" s="2"/>
      <c r="AK108" s="2"/>
      <c r="AL108" s="2"/>
      <c r="AM108" s="2"/>
      <c r="AN108" s="3"/>
      <c r="AO108" s="2"/>
      <c r="AU108" s="5"/>
    </row>
    <row r="109" ht="15.75" customHeight="1" spans="1:47">
      <c r="A109" s="2"/>
      <c r="F109" s="2"/>
      <c r="G109" s="2"/>
      <c r="K109" s="2"/>
      <c r="O109" s="2"/>
      <c r="P109" s="2"/>
      <c r="R109" s="2"/>
      <c r="T109" s="2"/>
      <c r="X109" s="2"/>
      <c r="Y109" s="2"/>
      <c r="Z109" s="2"/>
      <c r="AA109" s="2"/>
      <c r="AB109" s="2"/>
      <c r="AC109" s="2"/>
      <c r="AG109" s="2"/>
      <c r="AK109" s="2"/>
      <c r="AL109" s="2"/>
      <c r="AM109" s="2"/>
      <c r="AN109" s="3"/>
      <c r="AO109" s="2"/>
      <c r="AU109" s="5"/>
    </row>
    <row r="110" ht="15.75" customHeight="1" spans="1:47">
      <c r="A110" s="2"/>
      <c r="F110" s="2"/>
      <c r="G110" s="2"/>
      <c r="K110" s="2"/>
      <c r="O110" s="2"/>
      <c r="P110" s="2"/>
      <c r="R110" s="2"/>
      <c r="T110" s="2"/>
      <c r="X110" s="2"/>
      <c r="Y110" s="2"/>
      <c r="Z110" s="2"/>
      <c r="AA110" s="2"/>
      <c r="AB110" s="2"/>
      <c r="AC110" s="2"/>
      <c r="AG110" s="2"/>
      <c r="AK110" s="2"/>
      <c r="AL110" s="2"/>
      <c r="AM110" s="2"/>
      <c r="AN110" s="3"/>
      <c r="AO110" s="2"/>
      <c r="AU110" s="5"/>
    </row>
    <row r="111" ht="15.75" customHeight="1" spans="1:47">
      <c r="A111" s="2"/>
      <c r="F111" s="2"/>
      <c r="G111" s="2"/>
      <c r="K111" s="2"/>
      <c r="O111" s="2"/>
      <c r="P111" s="2"/>
      <c r="R111" s="2"/>
      <c r="T111" s="2"/>
      <c r="X111" s="2"/>
      <c r="Y111" s="2"/>
      <c r="Z111" s="2"/>
      <c r="AA111" s="2"/>
      <c r="AB111" s="2"/>
      <c r="AC111" s="2"/>
      <c r="AG111" s="2"/>
      <c r="AK111" s="2"/>
      <c r="AL111" s="2"/>
      <c r="AM111" s="2"/>
      <c r="AN111" s="3"/>
      <c r="AO111" s="2"/>
      <c r="AU111" s="5"/>
    </row>
    <row r="112" ht="15.75" customHeight="1" spans="1:47">
      <c r="A112" s="2"/>
      <c r="F112" s="2"/>
      <c r="G112" s="2"/>
      <c r="K112" s="2"/>
      <c r="O112" s="2"/>
      <c r="P112" s="2"/>
      <c r="R112" s="2"/>
      <c r="T112" s="2"/>
      <c r="X112" s="2"/>
      <c r="Y112" s="2"/>
      <c r="Z112" s="2"/>
      <c r="AA112" s="2"/>
      <c r="AB112" s="2"/>
      <c r="AC112" s="2"/>
      <c r="AG112" s="2"/>
      <c r="AK112" s="2"/>
      <c r="AL112" s="2"/>
      <c r="AM112" s="2"/>
      <c r="AN112" s="3"/>
      <c r="AO112" s="2"/>
      <c r="AU112" s="5"/>
    </row>
    <row r="113" ht="15.75" customHeight="1" spans="1:47">
      <c r="A113" s="2"/>
      <c r="F113" s="2"/>
      <c r="G113" s="2"/>
      <c r="K113" s="2"/>
      <c r="O113" s="2"/>
      <c r="P113" s="2"/>
      <c r="R113" s="2"/>
      <c r="T113" s="2"/>
      <c r="X113" s="2"/>
      <c r="Y113" s="2"/>
      <c r="Z113" s="2"/>
      <c r="AA113" s="2"/>
      <c r="AB113" s="2"/>
      <c r="AC113" s="2"/>
      <c r="AG113" s="2"/>
      <c r="AK113" s="2"/>
      <c r="AL113" s="2"/>
      <c r="AM113" s="2"/>
      <c r="AN113" s="3"/>
      <c r="AO113" s="2"/>
      <c r="AU113" s="5"/>
    </row>
    <row r="114" ht="15.75" customHeight="1" spans="1:47">
      <c r="A114" s="2"/>
      <c r="F114" s="2"/>
      <c r="G114" s="2"/>
      <c r="K114" s="2"/>
      <c r="O114" s="2"/>
      <c r="P114" s="2"/>
      <c r="R114" s="2"/>
      <c r="T114" s="2"/>
      <c r="X114" s="2"/>
      <c r="Y114" s="2"/>
      <c r="Z114" s="2"/>
      <c r="AA114" s="2"/>
      <c r="AB114" s="2"/>
      <c r="AC114" s="2"/>
      <c r="AG114" s="2"/>
      <c r="AK114" s="2"/>
      <c r="AL114" s="2"/>
      <c r="AM114" s="2"/>
      <c r="AN114" s="3"/>
      <c r="AO114" s="2"/>
      <c r="AU114" s="5"/>
    </row>
    <row r="115" ht="15.75" customHeight="1" spans="1:47">
      <c r="A115" s="2"/>
      <c r="F115" s="2"/>
      <c r="G115" s="2"/>
      <c r="K115" s="2"/>
      <c r="O115" s="2"/>
      <c r="P115" s="2"/>
      <c r="R115" s="2"/>
      <c r="T115" s="2"/>
      <c r="X115" s="2"/>
      <c r="Y115" s="2"/>
      <c r="Z115" s="2"/>
      <c r="AA115" s="2"/>
      <c r="AB115" s="2"/>
      <c r="AC115" s="2"/>
      <c r="AG115" s="2"/>
      <c r="AK115" s="2"/>
      <c r="AL115" s="2"/>
      <c r="AM115" s="2"/>
      <c r="AN115" s="3"/>
      <c r="AO115" s="2"/>
      <c r="AU115" s="5"/>
    </row>
    <row r="116" ht="15.75" customHeight="1" spans="1:47">
      <c r="A116" s="2"/>
      <c r="F116" s="2"/>
      <c r="G116" s="2"/>
      <c r="K116" s="2"/>
      <c r="O116" s="2"/>
      <c r="P116" s="2"/>
      <c r="R116" s="2"/>
      <c r="T116" s="2"/>
      <c r="X116" s="2"/>
      <c r="Y116" s="2"/>
      <c r="Z116" s="2"/>
      <c r="AA116" s="2"/>
      <c r="AB116" s="2"/>
      <c r="AC116" s="2"/>
      <c r="AG116" s="2"/>
      <c r="AK116" s="2"/>
      <c r="AL116" s="2"/>
      <c r="AM116" s="2"/>
      <c r="AN116" s="3"/>
      <c r="AO116" s="2"/>
      <c r="AU116" s="5"/>
    </row>
    <row r="117" ht="15.75" customHeight="1" spans="1:47">
      <c r="A117" s="2"/>
      <c r="F117" s="2"/>
      <c r="G117" s="2"/>
      <c r="K117" s="2"/>
      <c r="O117" s="2"/>
      <c r="P117" s="2"/>
      <c r="R117" s="2"/>
      <c r="T117" s="2"/>
      <c r="X117" s="2"/>
      <c r="Y117" s="2"/>
      <c r="Z117" s="2"/>
      <c r="AA117" s="2"/>
      <c r="AB117" s="2"/>
      <c r="AC117" s="2"/>
      <c r="AG117" s="2"/>
      <c r="AK117" s="2"/>
      <c r="AL117" s="2"/>
      <c r="AM117" s="2"/>
      <c r="AN117" s="3"/>
      <c r="AO117" s="2"/>
      <c r="AU117" s="5"/>
    </row>
    <row r="118" ht="15.75" customHeight="1" spans="1:47">
      <c r="A118" s="2"/>
      <c r="F118" s="2"/>
      <c r="G118" s="2"/>
      <c r="K118" s="2"/>
      <c r="O118" s="2"/>
      <c r="P118" s="2"/>
      <c r="R118" s="2"/>
      <c r="T118" s="2"/>
      <c r="X118" s="2"/>
      <c r="Y118" s="2"/>
      <c r="Z118" s="2"/>
      <c r="AA118" s="2"/>
      <c r="AB118" s="2"/>
      <c r="AC118" s="2"/>
      <c r="AG118" s="2"/>
      <c r="AK118" s="2"/>
      <c r="AL118" s="2"/>
      <c r="AM118" s="2"/>
      <c r="AN118" s="3"/>
      <c r="AO118" s="2"/>
      <c r="AU118" s="5"/>
    </row>
    <row r="119" ht="15.75" customHeight="1" spans="1:47">
      <c r="A119" s="2"/>
      <c r="F119" s="2"/>
      <c r="G119" s="2"/>
      <c r="K119" s="2"/>
      <c r="O119" s="2"/>
      <c r="P119" s="2"/>
      <c r="R119" s="2"/>
      <c r="T119" s="2"/>
      <c r="X119" s="2"/>
      <c r="Y119" s="2"/>
      <c r="Z119" s="2"/>
      <c r="AA119" s="2"/>
      <c r="AB119" s="2"/>
      <c r="AC119" s="2"/>
      <c r="AG119" s="2"/>
      <c r="AK119" s="2"/>
      <c r="AL119" s="2"/>
      <c r="AM119" s="2"/>
      <c r="AN119" s="3"/>
      <c r="AO119" s="2"/>
      <c r="AU119" s="5"/>
    </row>
    <row r="120" ht="15.75" customHeight="1" spans="1:47">
      <c r="A120" s="2"/>
      <c r="F120" s="2"/>
      <c r="G120" s="2"/>
      <c r="K120" s="2"/>
      <c r="O120" s="2"/>
      <c r="P120" s="2"/>
      <c r="R120" s="2"/>
      <c r="T120" s="2"/>
      <c r="X120" s="2"/>
      <c r="Y120" s="2"/>
      <c r="Z120" s="2"/>
      <c r="AA120" s="2"/>
      <c r="AB120" s="2"/>
      <c r="AC120" s="2"/>
      <c r="AG120" s="2"/>
      <c r="AK120" s="2"/>
      <c r="AL120" s="2"/>
      <c r="AM120" s="2"/>
      <c r="AN120" s="3"/>
      <c r="AO120" s="2"/>
      <c r="AU120" s="5"/>
    </row>
    <row r="121" ht="15.75" customHeight="1" spans="1:47">
      <c r="A121" s="2"/>
      <c r="F121" s="2"/>
      <c r="G121" s="2"/>
      <c r="K121" s="2"/>
      <c r="O121" s="2"/>
      <c r="P121" s="2"/>
      <c r="R121" s="2"/>
      <c r="T121" s="2"/>
      <c r="X121" s="2"/>
      <c r="Y121" s="2"/>
      <c r="Z121" s="2"/>
      <c r="AA121" s="2"/>
      <c r="AB121" s="2"/>
      <c r="AC121" s="2"/>
      <c r="AG121" s="2"/>
      <c r="AK121" s="2"/>
      <c r="AL121" s="2"/>
      <c r="AM121" s="2"/>
      <c r="AN121" s="3"/>
      <c r="AO121" s="2"/>
      <c r="AU121" s="5"/>
    </row>
    <row r="122" ht="15.75" customHeight="1" spans="1:47">
      <c r="A122" s="2"/>
      <c r="F122" s="2"/>
      <c r="G122" s="2"/>
      <c r="K122" s="2"/>
      <c r="O122" s="2"/>
      <c r="P122" s="2"/>
      <c r="R122" s="2"/>
      <c r="T122" s="2"/>
      <c r="X122" s="2"/>
      <c r="Y122" s="2"/>
      <c r="Z122" s="2"/>
      <c r="AA122" s="2"/>
      <c r="AB122" s="2"/>
      <c r="AC122" s="2"/>
      <c r="AG122" s="2"/>
      <c r="AK122" s="2"/>
      <c r="AL122" s="2"/>
      <c r="AM122" s="2"/>
      <c r="AN122" s="3"/>
      <c r="AO122" s="2"/>
      <c r="AU122" s="5"/>
    </row>
    <row r="123" ht="15.75" customHeight="1" spans="1:47">
      <c r="A123" s="2"/>
      <c r="F123" s="2"/>
      <c r="G123" s="2"/>
      <c r="K123" s="2"/>
      <c r="O123" s="2"/>
      <c r="P123" s="2"/>
      <c r="R123" s="2"/>
      <c r="T123" s="2"/>
      <c r="X123" s="2"/>
      <c r="Y123" s="2"/>
      <c r="Z123" s="2"/>
      <c r="AA123" s="2"/>
      <c r="AB123" s="2"/>
      <c r="AC123" s="2"/>
      <c r="AG123" s="2"/>
      <c r="AK123" s="2"/>
      <c r="AL123" s="2"/>
      <c r="AM123" s="2"/>
      <c r="AN123" s="3"/>
      <c r="AO123" s="2"/>
      <c r="AU123" s="5"/>
    </row>
    <row r="124" ht="15.75" customHeight="1" spans="1:47">
      <c r="A124" s="2"/>
      <c r="F124" s="2"/>
      <c r="G124" s="2"/>
      <c r="K124" s="2"/>
      <c r="O124" s="2"/>
      <c r="P124" s="2"/>
      <c r="R124" s="2"/>
      <c r="T124" s="2"/>
      <c r="X124" s="2"/>
      <c r="Y124" s="2"/>
      <c r="Z124" s="2"/>
      <c r="AA124" s="2"/>
      <c r="AB124" s="2"/>
      <c r="AC124" s="2"/>
      <c r="AG124" s="2"/>
      <c r="AK124" s="2"/>
      <c r="AL124" s="2"/>
      <c r="AM124" s="2"/>
      <c r="AN124" s="3"/>
      <c r="AO124" s="2"/>
      <c r="AU124" s="5"/>
    </row>
    <row r="125" ht="15.75" customHeight="1" spans="1:47">
      <c r="A125" s="2"/>
      <c r="F125" s="2"/>
      <c r="G125" s="2"/>
      <c r="K125" s="2"/>
      <c r="O125" s="2"/>
      <c r="P125" s="2"/>
      <c r="R125" s="2"/>
      <c r="T125" s="2"/>
      <c r="X125" s="2"/>
      <c r="Y125" s="2"/>
      <c r="Z125" s="2"/>
      <c r="AA125" s="2"/>
      <c r="AB125" s="2"/>
      <c r="AC125" s="2"/>
      <c r="AG125" s="2"/>
      <c r="AK125" s="2"/>
      <c r="AL125" s="2"/>
      <c r="AM125" s="2"/>
      <c r="AN125" s="3"/>
      <c r="AO125" s="2"/>
      <c r="AU125" s="5"/>
    </row>
    <row r="126" ht="15.75" customHeight="1" spans="1:47">
      <c r="A126" s="2"/>
      <c r="F126" s="2"/>
      <c r="G126" s="2"/>
      <c r="K126" s="2"/>
      <c r="O126" s="2"/>
      <c r="P126" s="2"/>
      <c r="R126" s="2"/>
      <c r="T126" s="2"/>
      <c r="X126" s="2"/>
      <c r="Y126" s="2"/>
      <c r="Z126" s="2"/>
      <c r="AA126" s="2"/>
      <c r="AB126" s="2"/>
      <c r="AC126" s="2"/>
      <c r="AG126" s="2"/>
      <c r="AK126" s="2"/>
      <c r="AL126" s="2"/>
      <c r="AM126" s="2"/>
      <c r="AN126" s="3"/>
      <c r="AO126" s="2"/>
      <c r="AU126" s="5"/>
    </row>
    <row r="127" ht="15.75" customHeight="1" spans="1:47">
      <c r="A127" s="2"/>
      <c r="F127" s="2"/>
      <c r="G127" s="2"/>
      <c r="K127" s="2"/>
      <c r="O127" s="2"/>
      <c r="P127" s="2"/>
      <c r="R127" s="2"/>
      <c r="T127" s="2"/>
      <c r="X127" s="2"/>
      <c r="Y127" s="2"/>
      <c r="Z127" s="2"/>
      <c r="AA127" s="2"/>
      <c r="AB127" s="2"/>
      <c r="AC127" s="2"/>
      <c r="AG127" s="2"/>
      <c r="AK127" s="2"/>
      <c r="AL127" s="2"/>
      <c r="AM127" s="2"/>
      <c r="AN127" s="3"/>
      <c r="AO127" s="2"/>
      <c r="AU127" s="5"/>
    </row>
    <row r="128" ht="15.75" customHeight="1" spans="1:47">
      <c r="A128" s="2"/>
      <c r="F128" s="2"/>
      <c r="G128" s="2"/>
      <c r="K128" s="2"/>
      <c r="O128" s="2"/>
      <c r="P128" s="2"/>
      <c r="R128" s="2"/>
      <c r="T128" s="2"/>
      <c r="X128" s="2"/>
      <c r="Y128" s="2"/>
      <c r="Z128" s="2"/>
      <c r="AA128" s="2"/>
      <c r="AB128" s="2"/>
      <c r="AC128" s="2"/>
      <c r="AG128" s="2"/>
      <c r="AK128" s="2"/>
      <c r="AL128" s="2"/>
      <c r="AM128" s="2"/>
      <c r="AN128" s="3"/>
      <c r="AO128" s="2"/>
      <c r="AU128" s="5"/>
    </row>
    <row r="129" ht="15.75" customHeight="1" spans="1:47">
      <c r="A129" s="2"/>
      <c r="F129" s="2"/>
      <c r="G129" s="2"/>
      <c r="K129" s="2"/>
      <c r="O129" s="2"/>
      <c r="P129" s="2"/>
      <c r="R129" s="2"/>
      <c r="T129" s="2"/>
      <c r="X129" s="2"/>
      <c r="Y129" s="2"/>
      <c r="Z129" s="2"/>
      <c r="AA129" s="2"/>
      <c r="AB129" s="2"/>
      <c r="AC129" s="2"/>
      <c r="AG129" s="2"/>
      <c r="AK129" s="2"/>
      <c r="AL129" s="2"/>
      <c r="AM129" s="2"/>
      <c r="AN129" s="3"/>
      <c r="AO129" s="2"/>
      <c r="AU129" s="5"/>
    </row>
    <row r="130" ht="15.75" customHeight="1" spans="1:47">
      <c r="A130" s="2"/>
      <c r="F130" s="2"/>
      <c r="G130" s="2"/>
      <c r="K130" s="2"/>
      <c r="O130" s="2"/>
      <c r="P130" s="2"/>
      <c r="R130" s="2"/>
      <c r="T130" s="2"/>
      <c r="X130" s="2"/>
      <c r="Y130" s="2"/>
      <c r="Z130" s="2"/>
      <c r="AA130" s="2"/>
      <c r="AB130" s="2"/>
      <c r="AC130" s="2"/>
      <c r="AG130" s="2"/>
      <c r="AK130" s="2"/>
      <c r="AL130" s="2"/>
      <c r="AM130" s="2"/>
      <c r="AN130" s="3"/>
      <c r="AO130" s="2"/>
      <c r="AU130" s="5"/>
    </row>
    <row r="131" ht="15.75" customHeight="1" spans="1:47">
      <c r="A131" s="2"/>
      <c r="F131" s="2"/>
      <c r="G131" s="2"/>
      <c r="K131" s="2"/>
      <c r="O131" s="2"/>
      <c r="P131" s="2"/>
      <c r="R131" s="2"/>
      <c r="T131" s="2"/>
      <c r="X131" s="2"/>
      <c r="Y131" s="2"/>
      <c r="Z131" s="2"/>
      <c r="AA131" s="2"/>
      <c r="AB131" s="2"/>
      <c r="AC131" s="2"/>
      <c r="AG131" s="2"/>
      <c r="AK131" s="2"/>
      <c r="AL131" s="2"/>
      <c r="AM131" s="2"/>
      <c r="AN131" s="3"/>
      <c r="AO131" s="2"/>
      <c r="AU131" s="5"/>
    </row>
    <row r="132" ht="15.75" customHeight="1" spans="1:47">
      <c r="A132" s="2"/>
      <c r="F132" s="2"/>
      <c r="G132" s="2"/>
      <c r="K132" s="2"/>
      <c r="O132" s="2"/>
      <c r="P132" s="2"/>
      <c r="R132" s="2"/>
      <c r="T132" s="2"/>
      <c r="X132" s="2"/>
      <c r="Y132" s="2"/>
      <c r="Z132" s="2"/>
      <c r="AA132" s="2"/>
      <c r="AB132" s="2"/>
      <c r="AC132" s="2"/>
      <c r="AG132" s="2"/>
      <c r="AK132" s="2"/>
      <c r="AL132" s="2"/>
      <c r="AM132" s="2"/>
      <c r="AN132" s="3"/>
      <c r="AO132" s="2"/>
      <c r="AU132" s="5"/>
    </row>
    <row r="133" ht="15.75" customHeight="1" spans="1:47">
      <c r="A133" s="2"/>
      <c r="F133" s="2"/>
      <c r="G133" s="2"/>
      <c r="K133" s="2"/>
      <c r="O133" s="2"/>
      <c r="P133" s="2"/>
      <c r="R133" s="2"/>
      <c r="T133" s="2"/>
      <c r="X133" s="2"/>
      <c r="Y133" s="2"/>
      <c r="Z133" s="2"/>
      <c r="AA133" s="2"/>
      <c r="AB133" s="2"/>
      <c r="AC133" s="2"/>
      <c r="AG133" s="2"/>
      <c r="AK133" s="2"/>
      <c r="AL133" s="2"/>
      <c r="AM133" s="2"/>
      <c r="AN133" s="3"/>
      <c r="AO133" s="2"/>
      <c r="AU133" s="5"/>
    </row>
    <row r="134" ht="15.75" customHeight="1" spans="1:47">
      <c r="A134" s="2"/>
      <c r="F134" s="2"/>
      <c r="G134" s="2"/>
      <c r="K134" s="2"/>
      <c r="O134" s="2"/>
      <c r="P134" s="2"/>
      <c r="R134" s="2"/>
      <c r="T134" s="2"/>
      <c r="X134" s="2"/>
      <c r="Y134" s="2"/>
      <c r="Z134" s="2"/>
      <c r="AA134" s="2"/>
      <c r="AB134" s="2"/>
      <c r="AC134" s="2"/>
      <c r="AG134" s="2"/>
      <c r="AK134" s="2"/>
      <c r="AL134" s="2"/>
      <c r="AM134" s="2"/>
      <c r="AN134" s="3"/>
      <c r="AO134" s="2"/>
      <c r="AU134" s="5"/>
    </row>
    <row r="135" ht="15.75" customHeight="1" spans="1:47">
      <c r="A135" s="2"/>
      <c r="F135" s="2"/>
      <c r="G135" s="2"/>
      <c r="K135" s="2"/>
      <c r="O135" s="2"/>
      <c r="P135" s="2"/>
      <c r="R135" s="2"/>
      <c r="T135" s="2"/>
      <c r="X135" s="2"/>
      <c r="Y135" s="2"/>
      <c r="Z135" s="2"/>
      <c r="AA135" s="2"/>
      <c r="AB135" s="2"/>
      <c r="AC135" s="2"/>
      <c r="AG135" s="2"/>
      <c r="AK135" s="2"/>
      <c r="AL135" s="2"/>
      <c r="AM135" s="2"/>
      <c r="AN135" s="3"/>
      <c r="AO135" s="2"/>
      <c r="AU135" s="5"/>
    </row>
    <row r="136" ht="15.75" customHeight="1" spans="1:47">
      <c r="A136" s="2"/>
      <c r="F136" s="2"/>
      <c r="G136" s="2"/>
      <c r="K136" s="2"/>
      <c r="O136" s="2"/>
      <c r="P136" s="2"/>
      <c r="R136" s="2"/>
      <c r="T136" s="2"/>
      <c r="X136" s="2"/>
      <c r="Y136" s="2"/>
      <c r="Z136" s="2"/>
      <c r="AA136" s="2"/>
      <c r="AB136" s="2"/>
      <c r="AC136" s="2"/>
      <c r="AG136" s="2"/>
      <c r="AK136" s="2"/>
      <c r="AL136" s="2"/>
      <c r="AM136" s="2"/>
      <c r="AN136" s="3"/>
      <c r="AO136" s="2"/>
      <c r="AU136" s="5"/>
    </row>
    <row r="137" ht="15.75" customHeight="1" spans="1:47">
      <c r="A137" s="2"/>
      <c r="F137" s="2"/>
      <c r="G137" s="2"/>
      <c r="K137" s="2"/>
      <c r="O137" s="2"/>
      <c r="P137" s="2"/>
      <c r="R137" s="2"/>
      <c r="T137" s="2"/>
      <c r="X137" s="2"/>
      <c r="Y137" s="2"/>
      <c r="Z137" s="2"/>
      <c r="AA137" s="2"/>
      <c r="AB137" s="2"/>
      <c r="AC137" s="2"/>
      <c r="AG137" s="2"/>
      <c r="AK137" s="2"/>
      <c r="AL137" s="2"/>
      <c r="AM137" s="2"/>
      <c r="AN137" s="3"/>
      <c r="AO137" s="2"/>
      <c r="AU137" s="5"/>
    </row>
    <row r="138" ht="15.75" customHeight="1" spans="1:47">
      <c r="A138" s="2"/>
      <c r="F138" s="2"/>
      <c r="G138" s="2"/>
      <c r="K138" s="2"/>
      <c r="O138" s="2"/>
      <c r="P138" s="2"/>
      <c r="R138" s="2"/>
      <c r="T138" s="2"/>
      <c r="X138" s="2"/>
      <c r="Y138" s="2"/>
      <c r="Z138" s="2"/>
      <c r="AA138" s="2"/>
      <c r="AB138" s="2"/>
      <c r="AC138" s="2"/>
      <c r="AG138" s="2"/>
      <c r="AK138" s="2"/>
      <c r="AL138" s="2"/>
      <c r="AM138" s="2"/>
      <c r="AN138" s="3"/>
      <c r="AO138" s="2"/>
      <c r="AU138" s="5"/>
    </row>
    <row r="139" ht="15.75" customHeight="1" spans="1:47">
      <c r="A139" s="2"/>
      <c r="F139" s="2"/>
      <c r="G139" s="2"/>
      <c r="K139" s="2"/>
      <c r="O139" s="2"/>
      <c r="P139" s="2"/>
      <c r="R139" s="2"/>
      <c r="T139" s="2"/>
      <c r="X139" s="2"/>
      <c r="Y139" s="2"/>
      <c r="Z139" s="2"/>
      <c r="AA139" s="2"/>
      <c r="AB139" s="2"/>
      <c r="AC139" s="2"/>
      <c r="AG139" s="2"/>
      <c r="AK139" s="2"/>
      <c r="AL139" s="2"/>
      <c r="AM139" s="2"/>
      <c r="AN139" s="3"/>
      <c r="AO139" s="2"/>
      <c r="AU139" s="5"/>
    </row>
    <row r="140" ht="15.75" customHeight="1" spans="1:47">
      <c r="A140" s="2"/>
      <c r="F140" s="2"/>
      <c r="G140" s="2"/>
      <c r="K140" s="2"/>
      <c r="O140" s="2"/>
      <c r="P140" s="2"/>
      <c r="R140" s="2"/>
      <c r="T140" s="2"/>
      <c r="X140" s="2"/>
      <c r="Y140" s="2"/>
      <c r="Z140" s="2"/>
      <c r="AA140" s="2"/>
      <c r="AB140" s="2"/>
      <c r="AC140" s="2"/>
      <c r="AG140" s="2"/>
      <c r="AK140" s="2"/>
      <c r="AL140" s="2"/>
      <c r="AM140" s="2"/>
      <c r="AN140" s="3"/>
      <c r="AO140" s="2"/>
      <c r="AU140" s="5"/>
    </row>
    <row r="141" ht="15.75" customHeight="1" spans="1:47">
      <c r="A141" s="2"/>
      <c r="F141" s="2"/>
      <c r="G141" s="2"/>
      <c r="K141" s="2"/>
      <c r="O141" s="2"/>
      <c r="P141" s="2"/>
      <c r="R141" s="2"/>
      <c r="T141" s="2"/>
      <c r="X141" s="2"/>
      <c r="Y141" s="2"/>
      <c r="Z141" s="2"/>
      <c r="AA141" s="2"/>
      <c r="AB141" s="2"/>
      <c r="AC141" s="2"/>
      <c r="AG141" s="2"/>
      <c r="AK141" s="2"/>
      <c r="AL141" s="2"/>
      <c r="AM141" s="2"/>
      <c r="AN141" s="3"/>
      <c r="AO141" s="2"/>
      <c r="AU141" s="5"/>
    </row>
    <row r="142" ht="15.75" customHeight="1" spans="1:47">
      <c r="A142" s="2"/>
      <c r="F142" s="2"/>
      <c r="G142" s="2"/>
      <c r="K142" s="2"/>
      <c r="O142" s="2"/>
      <c r="P142" s="2"/>
      <c r="R142" s="2"/>
      <c r="T142" s="2"/>
      <c r="X142" s="2"/>
      <c r="Y142" s="2"/>
      <c r="Z142" s="2"/>
      <c r="AA142" s="2"/>
      <c r="AB142" s="2"/>
      <c r="AC142" s="2"/>
      <c r="AG142" s="2"/>
      <c r="AK142" s="2"/>
      <c r="AL142" s="2"/>
      <c r="AM142" s="2"/>
      <c r="AN142" s="3"/>
      <c r="AO142" s="2"/>
      <c r="AU142" s="5"/>
    </row>
    <row r="143" ht="15.75" customHeight="1" spans="1:47">
      <c r="A143" s="2"/>
      <c r="F143" s="2"/>
      <c r="G143" s="2"/>
      <c r="K143" s="2"/>
      <c r="O143" s="2"/>
      <c r="P143" s="2"/>
      <c r="R143" s="2"/>
      <c r="T143" s="2"/>
      <c r="X143" s="2"/>
      <c r="Y143" s="2"/>
      <c r="Z143" s="2"/>
      <c r="AA143" s="2"/>
      <c r="AB143" s="2"/>
      <c r="AC143" s="2"/>
      <c r="AG143" s="2"/>
      <c r="AK143" s="2"/>
      <c r="AL143" s="2"/>
      <c r="AM143" s="2"/>
      <c r="AN143" s="3"/>
      <c r="AO143" s="2"/>
      <c r="AU143" s="5"/>
    </row>
    <row r="144" ht="15.75" customHeight="1" spans="1:47">
      <c r="A144" s="2"/>
      <c r="F144" s="2"/>
      <c r="G144" s="2"/>
      <c r="K144" s="2"/>
      <c r="O144" s="2"/>
      <c r="P144" s="2"/>
      <c r="R144" s="2"/>
      <c r="T144" s="2"/>
      <c r="X144" s="2"/>
      <c r="Y144" s="2"/>
      <c r="Z144" s="2"/>
      <c r="AA144" s="2"/>
      <c r="AB144" s="2"/>
      <c r="AC144" s="2"/>
      <c r="AG144" s="2"/>
      <c r="AK144" s="2"/>
      <c r="AL144" s="2"/>
      <c r="AM144" s="2"/>
      <c r="AN144" s="3"/>
      <c r="AO144" s="2"/>
      <c r="AU144" s="5"/>
    </row>
    <row r="145" ht="15.75" customHeight="1" spans="1:47">
      <c r="A145" s="2"/>
      <c r="F145" s="2"/>
      <c r="G145" s="2"/>
      <c r="K145" s="2"/>
      <c r="O145" s="2"/>
      <c r="P145" s="2"/>
      <c r="R145" s="2"/>
      <c r="T145" s="2"/>
      <c r="X145" s="2"/>
      <c r="Y145" s="2"/>
      <c r="Z145" s="2"/>
      <c r="AA145" s="2"/>
      <c r="AB145" s="2"/>
      <c r="AC145" s="2"/>
      <c r="AG145" s="2"/>
      <c r="AK145" s="2"/>
      <c r="AL145" s="2"/>
      <c r="AM145" s="2"/>
      <c r="AN145" s="3"/>
      <c r="AO145" s="2"/>
      <c r="AU145" s="5"/>
    </row>
    <row r="146" ht="15.75" customHeight="1" spans="1:47">
      <c r="A146" s="2"/>
      <c r="F146" s="2"/>
      <c r="G146" s="2"/>
      <c r="K146" s="2"/>
      <c r="O146" s="2"/>
      <c r="P146" s="2"/>
      <c r="R146" s="2"/>
      <c r="T146" s="2"/>
      <c r="X146" s="2"/>
      <c r="Y146" s="2"/>
      <c r="Z146" s="2"/>
      <c r="AA146" s="2"/>
      <c r="AB146" s="2"/>
      <c r="AC146" s="2"/>
      <c r="AG146" s="2"/>
      <c r="AK146" s="2"/>
      <c r="AL146" s="2"/>
      <c r="AM146" s="2"/>
      <c r="AN146" s="3"/>
      <c r="AO146" s="2"/>
      <c r="AU146" s="5"/>
    </row>
    <row r="147" ht="15.75" customHeight="1" spans="1:47">
      <c r="A147" s="2"/>
      <c r="F147" s="2"/>
      <c r="G147" s="2"/>
      <c r="K147" s="2"/>
      <c r="O147" s="2"/>
      <c r="P147" s="2"/>
      <c r="R147" s="2"/>
      <c r="T147" s="2"/>
      <c r="X147" s="2"/>
      <c r="Y147" s="2"/>
      <c r="Z147" s="2"/>
      <c r="AA147" s="2"/>
      <c r="AB147" s="2"/>
      <c r="AC147" s="2"/>
      <c r="AG147" s="2"/>
      <c r="AK147" s="2"/>
      <c r="AL147" s="2"/>
      <c r="AM147" s="2"/>
      <c r="AN147" s="3"/>
      <c r="AO147" s="2"/>
      <c r="AU147" s="5"/>
    </row>
    <row r="148" ht="15.75" customHeight="1" spans="1:47">
      <c r="A148" s="2"/>
      <c r="F148" s="2"/>
      <c r="G148" s="2"/>
      <c r="K148" s="2"/>
      <c r="O148" s="2"/>
      <c r="P148" s="2"/>
      <c r="R148" s="2"/>
      <c r="T148" s="2"/>
      <c r="X148" s="2"/>
      <c r="Y148" s="2"/>
      <c r="Z148" s="2"/>
      <c r="AA148" s="2"/>
      <c r="AB148" s="2"/>
      <c r="AC148" s="2"/>
      <c r="AG148" s="2"/>
      <c r="AK148" s="2"/>
      <c r="AL148" s="2"/>
      <c r="AM148" s="2"/>
      <c r="AN148" s="3"/>
      <c r="AO148" s="2"/>
      <c r="AU148" s="5"/>
    </row>
    <row r="149" ht="15.75" customHeight="1" spans="1:47">
      <c r="A149" s="2"/>
      <c r="F149" s="2"/>
      <c r="G149" s="2"/>
      <c r="K149" s="2"/>
      <c r="O149" s="2"/>
      <c r="P149" s="2"/>
      <c r="R149" s="2"/>
      <c r="T149" s="2"/>
      <c r="X149" s="2"/>
      <c r="Y149" s="2"/>
      <c r="Z149" s="2"/>
      <c r="AA149" s="2"/>
      <c r="AB149" s="2"/>
      <c r="AC149" s="2"/>
      <c r="AG149" s="2"/>
      <c r="AK149" s="2"/>
      <c r="AL149" s="2"/>
      <c r="AM149" s="2"/>
      <c r="AN149" s="3"/>
      <c r="AO149" s="2"/>
      <c r="AU149" s="5"/>
    </row>
    <row r="150" ht="15.75" customHeight="1" spans="1:47">
      <c r="A150" s="2"/>
      <c r="F150" s="2"/>
      <c r="G150" s="2"/>
      <c r="K150" s="2"/>
      <c r="O150" s="2"/>
      <c r="P150" s="2"/>
      <c r="R150" s="2"/>
      <c r="T150" s="2"/>
      <c r="X150" s="2"/>
      <c r="Y150" s="2"/>
      <c r="Z150" s="2"/>
      <c r="AA150" s="2"/>
      <c r="AB150" s="2"/>
      <c r="AC150" s="2"/>
      <c r="AG150" s="2"/>
      <c r="AK150" s="2"/>
      <c r="AL150" s="2"/>
      <c r="AM150" s="2"/>
      <c r="AN150" s="3"/>
      <c r="AO150" s="2"/>
      <c r="AU150" s="5"/>
    </row>
    <row r="151" ht="15.75" customHeight="1" spans="1:47">
      <c r="A151" s="2"/>
      <c r="F151" s="2"/>
      <c r="G151" s="2"/>
      <c r="K151" s="2"/>
      <c r="O151" s="2"/>
      <c r="P151" s="2"/>
      <c r="R151" s="2"/>
      <c r="T151" s="2"/>
      <c r="X151" s="2"/>
      <c r="Y151" s="2"/>
      <c r="Z151" s="2"/>
      <c r="AA151" s="2"/>
      <c r="AB151" s="2"/>
      <c r="AC151" s="2"/>
      <c r="AG151" s="2"/>
      <c r="AK151" s="2"/>
      <c r="AL151" s="2"/>
      <c r="AM151" s="2"/>
      <c r="AN151" s="3"/>
      <c r="AO151" s="2"/>
      <c r="AU151" s="5"/>
    </row>
    <row r="152" ht="15.75" customHeight="1" spans="1:47">
      <c r="A152" s="2"/>
      <c r="F152" s="2"/>
      <c r="G152" s="2"/>
      <c r="K152" s="2"/>
      <c r="O152" s="2"/>
      <c r="P152" s="2"/>
      <c r="R152" s="2"/>
      <c r="T152" s="2"/>
      <c r="X152" s="2"/>
      <c r="Y152" s="2"/>
      <c r="Z152" s="2"/>
      <c r="AA152" s="2"/>
      <c r="AB152" s="2"/>
      <c r="AC152" s="2"/>
      <c r="AG152" s="2"/>
      <c r="AK152" s="2"/>
      <c r="AL152" s="2"/>
      <c r="AM152" s="2"/>
      <c r="AN152" s="3"/>
      <c r="AO152" s="2"/>
      <c r="AU152" s="5"/>
    </row>
    <row r="153" ht="15.75" customHeight="1" spans="1:47">
      <c r="A153" s="2"/>
      <c r="F153" s="2"/>
      <c r="G153" s="2"/>
      <c r="K153" s="2"/>
      <c r="O153" s="2"/>
      <c r="P153" s="2"/>
      <c r="R153" s="2"/>
      <c r="T153" s="2"/>
      <c r="X153" s="2"/>
      <c r="Y153" s="2"/>
      <c r="Z153" s="2"/>
      <c r="AA153" s="2"/>
      <c r="AB153" s="2"/>
      <c r="AC153" s="2"/>
      <c r="AG153" s="2"/>
      <c r="AK153" s="2"/>
      <c r="AL153" s="2"/>
      <c r="AM153" s="2"/>
      <c r="AN153" s="3"/>
      <c r="AO153" s="2"/>
      <c r="AU153" s="5"/>
    </row>
    <row r="154" ht="15.75" customHeight="1" spans="1:47">
      <c r="A154" s="2"/>
      <c r="F154" s="2"/>
      <c r="G154" s="2"/>
      <c r="K154" s="2"/>
      <c r="O154" s="2"/>
      <c r="P154" s="2"/>
      <c r="R154" s="2"/>
      <c r="T154" s="2"/>
      <c r="X154" s="2"/>
      <c r="Y154" s="2"/>
      <c r="Z154" s="2"/>
      <c r="AA154" s="2"/>
      <c r="AB154" s="2"/>
      <c r="AC154" s="2"/>
      <c r="AG154" s="2"/>
      <c r="AK154" s="2"/>
      <c r="AL154" s="2"/>
      <c r="AM154" s="2"/>
      <c r="AN154" s="3"/>
      <c r="AO154" s="2"/>
      <c r="AU154" s="5"/>
    </row>
    <row r="155" ht="15.75" customHeight="1" spans="1:47">
      <c r="A155" s="2"/>
      <c r="F155" s="2"/>
      <c r="G155" s="2"/>
      <c r="K155" s="2"/>
      <c r="O155" s="2"/>
      <c r="P155" s="2"/>
      <c r="R155" s="2"/>
      <c r="T155" s="2"/>
      <c r="X155" s="2"/>
      <c r="Y155" s="2"/>
      <c r="Z155" s="2"/>
      <c r="AA155" s="2"/>
      <c r="AB155" s="2"/>
      <c r="AC155" s="2"/>
      <c r="AG155" s="2"/>
      <c r="AK155" s="2"/>
      <c r="AL155" s="2"/>
      <c r="AM155" s="2"/>
      <c r="AN155" s="3"/>
      <c r="AO155" s="2"/>
      <c r="AU155" s="5"/>
    </row>
    <row r="156" ht="15.75" customHeight="1" spans="1:47">
      <c r="A156" s="2"/>
      <c r="F156" s="2"/>
      <c r="G156" s="2"/>
      <c r="K156" s="2"/>
      <c r="O156" s="2"/>
      <c r="P156" s="2"/>
      <c r="R156" s="2"/>
      <c r="T156" s="2"/>
      <c r="X156" s="2"/>
      <c r="Y156" s="2"/>
      <c r="Z156" s="2"/>
      <c r="AA156" s="2"/>
      <c r="AB156" s="2"/>
      <c r="AC156" s="2"/>
      <c r="AG156" s="2"/>
      <c r="AK156" s="2"/>
      <c r="AL156" s="2"/>
      <c r="AM156" s="2"/>
      <c r="AN156" s="3"/>
      <c r="AO156" s="2"/>
      <c r="AU156" s="5"/>
    </row>
    <row r="157" ht="15.75" customHeight="1" spans="1:47">
      <c r="A157" s="2"/>
      <c r="F157" s="2"/>
      <c r="G157" s="2"/>
      <c r="K157" s="2"/>
      <c r="O157" s="2"/>
      <c r="P157" s="2"/>
      <c r="R157" s="2"/>
      <c r="T157" s="2"/>
      <c r="X157" s="2"/>
      <c r="Y157" s="2"/>
      <c r="Z157" s="2"/>
      <c r="AA157" s="2"/>
      <c r="AB157" s="2"/>
      <c r="AC157" s="2"/>
      <c r="AG157" s="2"/>
      <c r="AK157" s="2"/>
      <c r="AL157" s="2"/>
      <c r="AM157" s="2"/>
      <c r="AN157" s="3"/>
      <c r="AO157" s="2"/>
      <c r="AU157" s="5"/>
    </row>
    <row r="158" ht="15.75" customHeight="1" spans="1:47">
      <c r="A158" s="2"/>
      <c r="F158" s="2"/>
      <c r="G158" s="2"/>
      <c r="K158" s="2"/>
      <c r="O158" s="2"/>
      <c r="P158" s="2"/>
      <c r="R158" s="2"/>
      <c r="T158" s="2"/>
      <c r="X158" s="2"/>
      <c r="Y158" s="2"/>
      <c r="Z158" s="2"/>
      <c r="AA158" s="2"/>
      <c r="AB158" s="2"/>
      <c r="AC158" s="2"/>
      <c r="AG158" s="2"/>
      <c r="AK158" s="2"/>
      <c r="AL158" s="2"/>
      <c r="AM158" s="2"/>
      <c r="AN158" s="3"/>
      <c r="AO158" s="2"/>
      <c r="AU158" s="5"/>
    </row>
    <row r="159" ht="15.75" customHeight="1" spans="1:47">
      <c r="A159" s="2"/>
      <c r="F159" s="2"/>
      <c r="G159" s="2"/>
      <c r="K159" s="2"/>
      <c r="O159" s="2"/>
      <c r="P159" s="2"/>
      <c r="R159" s="2"/>
      <c r="T159" s="2"/>
      <c r="X159" s="2"/>
      <c r="Y159" s="2"/>
      <c r="Z159" s="2"/>
      <c r="AA159" s="2"/>
      <c r="AB159" s="2"/>
      <c r="AC159" s="2"/>
      <c r="AG159" s="2"/>
      <c r="AK159" s="2"/>
      <c r="AL159" s="2"/>
      <c r="AM159" s="2"/>
      <c r="AN159" s="3"/>
      <c r="AO159" s="2"/>
      <c r="AU159" s="5"/>
    </row>
    <row r="160" ht="15.75" customHeight="1" spans="1:47">
      <c r="A160" s="2"/>
      <c r="F160" s="2"/>
      <c r="G160" s="2"/>
      <c r="K160" s="2"/>
      <c r="O160" s="2"/>
      <c r="P160" s="2"/>
      <c r="R160" s="2"/>
      <c r="T160" s="2"/>
      <c r="X160" s="2"/>
      <c r="Y160" s="2"/>
      <c r="Z160" s="2"/>
      <c r="AA160" s="2"/>
      <c r="AB160" s="2"/>
      <c r="AC160" s="2"/>
      <c r="AG160" s="2"/>
      <c r="AK160" s="2"/>
      <c r="AL160" s="2"/>
      <c r="AM160" s="2"/>
      <c r="AN160" s="3"/>
      <c r="AO160" s="2"/>
      <c r="AU160" s="5"/>
    </row>
    <row r="161" ht="15.75" customHeight="1" spans="1:47">
      <c r="A161" s="2"/>
      <c r="F161" s="2"/>
      <c r="G161" s="2"/>
      <c r="K161" s="2"/>
      <c r="O161" s="2"/>
      <c r="P161" s="2"/>
      <c r="R161" s="2"/>
      <c r="T161" s="2"/>
      <c r="X161" s="2"/>
      <c r="Y161" s="2"/>
      <c r="Z161" s="2"/>
      <c r="AA161" s="2"/>
      <c r="AB161" s="2"/>
      <c r="AC161" s="2"/>
      <c r="AG161" s="2"/>
      <c r="AK161" s="2"/>
      <c r="AL161" s="2"/>
      <c r="AM161" s="2"/>
      <c r="AN161" s="3"/>
      <c r="AO161" s="2"/>
      <c r="AU161" s="5"/>
    </row>
    <row r="162" ht="15.75" customHeight="1" spans="1:47">
      <c r="A162" s="2"/>
      <c r="F162" s="2"/>
      <c r="G162" s="2"/>
      <c r="K162" s="2"/>
      <c r="O162" s="2"/>
      <c r="P162" s="2"/>
      <c r="R162" s="2"/>
      <c r="T162" s="2"/>
      <c r="X162" s="2"/>
      <c r="Y162" s="2"/>
      <c r="Z162" s="2"/>
      <c r="AA162" s="2"/>
      <c r="AB162" s="2"/>
      <c r="AC162" s="2"/>
      <c r="AG162" s="2"/>
      <c r="AK162" s="2"/>
      <c r="AL162" s="2"/>
      <c r="AM162" s="2"/>
      <c r="AN162" s="3"/>
      <c r="AO162" s="2"/>
      <c r="AU162" s="5"/>
    </row>
    <row r="163" ht="15.75" customHeight="1" spans="1:47">
      <c r="A163" s="2"/>
      <c r="F163" s="2"/>
      <c r="G163" s="2"/>
      <c r="K163" s="2"/>
      <c r="O163" s="2"/>
      <c r="P163" s="2"/>
      <c r="R163" s="2"/>
      <c r="T163" s="2"/>
      <c r="X163" s="2"/>
      <c r="Y163" s="2"/>
      <c r="Z163" s="2"/>
      <c r="AA163" s="2"/>
      <c r="AB163" s="2"/>
      <c r="AC163" s="2"/>
      <c r="AG163" s="2"/>
      <c r="AK163" s="2"/>
      <c r="AL163" s="2"/>
      <c r="AM163" s="2"/>
      <c r="AN163" s="3"/>
      <c r="AO163" s="2"/>
      <c r="AU163" s="5"/>
    </row>
    <row r="164" ht="15.75" customHeight="1" spans="1:47">
      <c r="A164" s="2"/>
      <c r="F164" s="2"/>
      <c r="G164" s="2"/>
      <c r="K164" s="2"/>
      <c r="O164" s="2"/>
      <c r="P164" s="2"/>
      <c r="R164" s="2"/>
      <c r="T164" s="2"/>
      <c r="X164" s="2"/>
      <c r="Y164" s="2"/>
      <c r="Z164" s="2"/>
      <c r="AA164" s="2"/>
      <c r="AB164" s="2"/>
      <c r="AC164" s="2"/>
      <c r="AG164" s="2"/>
      <c r="AK164" s="2"/>
      <c r="AL164" s="2"/>
      <c r="AM164" s="2"/>
      <c r="AN164" s="3"/>
      <c r="AO164" s="2"/>
      <c r="AU164" s="5"/>
    </row>
    <row r="165" ht="15.75" customHeight="1" spans="1:47">
      <c r="A165" s="2"/>
      <c r="F165" s="2"/>
      <c r="G165" s="2"/>
      <c r="K165" s="2"/>
      <c r="O165" s="2"/>
      <c r="P165" s="2"/>
      <c r="R165" s="2"/>
      <c r="T165" s="2"/>
      <c r="X165" s="2"/>
      <c r="Y165" s="2"/>
      <c r="Z165" s="2"/>
      <c r="AA165" s="2"/>
      <c r="AB165" s="2"/>
      <c r="AC165" s="2"/>
      <c r="AG165" s="2"/>
      <c r="AK165" s="2"/>
      <c r="AL165" s="2"/>
      <c r="AM165" s="2"/>
      <c r="AN165" s="3"/>
      <c r="AO165" s="2"/>
      <c r="AU165" s="5"/>
    </row>
    <row r="166" ht="15.75" customHeight="1" spans="1:47">
      <c r="A166" s="2"/>
      <c r="F166" s="2"/>
      <c r="G166" s="2"/>
      <c r="K166" s="2"/>
      <c r="O166" s="2"/>
      <c r="P166" s="2"/>
      <c r="R166" s="2"/>
      <c r="T166" s="2"/>
      <c r="X166" s="2"/>
      <c r="Y166" s="2"/>
      <c r="Z166" s="2"/>
      <c r="AA166" s="2"/>
      <c r="AB166" s="2"/>
      <c r="AC166" s="2"/>
      <c r="AG166" s="2"/>
      <c r="AK166" s="2"/>
      <c r="AL166" s="2"/>
      <c r="AM166" s="2"/>
      <c r="AN166" s="3"/>
      <c r="AO166" s="2"/>
      <c r="AU166" s="5"/>
    </row>
    <row r="167" ht="15.75" customHeight="1" spans="1:47">
      <c r="A167" s="2"/>
      <c r="F167" s="2"/>
      <c r="G167" s="2"/>
      <c r="K167" s="2"/>
      <c r="O167" s="2"/>
      <c r="P167" s="2"/>
      <c r="R167" s="2"/>
      <c r="T167" s="2"/>
      <c r="X167" s="2"/>
      <c r="Y167" s="2"/>
      <c r="Z167" s="2"/>
      <c r="AA167" s="2"/>
      <c r="AB167" s="2"/>
      <c r="AC167" s="2"/>
      <c r="AG167" s="2"/>
      <c r="AK167" s="2"/>
      <c r="AL167" s="2"/>
      <c r="AM167" s="2"/>
      <c r="AN167" s="3"/>
      <c r="AO167" s="2"/>
      <c r="AU167" s="5"/>
    </row>
    <row r="168" ht="15.75" customHeight="1" spans="1:47">
      <c r="A168" s="2"/>
      <c r="F168" s="2"/>
      <c r="G168" s="2"/>
      <c r="K168" s="2"/>
      <c r="O168" s="2"/>
      <c r="P168" s="2"/>
      <c r="R168" s="2"/>
      <c r="T168" s="2"/>
      <c r="X168" s="2"/>
      <c r="Y168" s="2"/>
      <c r="Z168" s="2"/>
      <c r="AA168" s="2"/>
      <c r="AB168" s="2"/>
      <c r="AC168" s="2"/>
      <c r="AG168" s="2"/>
      <c r="AK168" s="2"/>
      <c r="AL168" s="2"/>
      <c r="AM168" s="2"/>
      <c r="AN168" s="3"/>
      <c r="AO168" s="2"/>
      <c r="AU168" s="5"/>
    </row>
    <row r="169" ht="15.75" customHeight="1" spans="1:47">
      <c r="A169" s="2"/>
      <c r="F169" s="2"/>
      <c r="G169" s="2"/>
      <c r="K169" s="2"/>
      <c r="O169" s="2"/>
      <c r="P169" s="2"/>
      <c r="R169" s="2"/>
      <c r="T169" s="2"/>
      <c r="X169" s="2"/>
      <c r="Y169" s="2"/>
      <c r="Z169" s="2"/>
      <c r="AA169" s="2"/>
      <c r="AB169" s="2"/>
      <c r="AC169" s="2"/>
      <c r="AG169" s="2"/>
      <c r="AK169" s="2"/>
      <c r="AL169" s="2"/>
      <c r="AM169" s="2"/>
      <c r="AN169" s="3"/>
      <c r="AO169" s="2"/>
      <c r="AU169" s="5"/>
    </row>
    <row r="170" ht="15.75" customHeight="1" spans="1:47">
      <c r="A170" s="2"/>
      <c r="F170" s="2"/>
      <c r="G170" s="2"/>
      <c r="K170" s="2"/>
      <c r="O170" s="2"/>
      <c r="P170" s="2"/>
      <c r="R170" s="2"/>
      <c r="T170" s="2"/>
      <c r="X170" s="2"/>
      <c r="Y170" s="2"/>
      <c r="Z170" s="2"/>
      <c r="AA170" s="2"/>
      <c r="AB170" s="2"/>
      <c r="AC170" s="2"/>
      <c r="AG170" s="2"/>
      <c r="AK170" s="2"/>
      <c r="AL170" s="2"/>
      <c r="AM170" s="2"/>
      <c r="AN170" s="3"/>
      <c r="AO170" s="2"/>
      <c r="AU170" s="5"/>
    </row>
    <row r="171" ht="15.75" customHeight="1" spans="1:47">
      <c r="A171" s="2"/>
      <c r="F171" s="2"/>
      <c r="G171" s="2"/>
      <c r="K171" s="2"/>
      <c r="O171" s="2"/>
      <c r="P171" s="2"/>
      <c r="R171" s="2"/>
      <c r="T171" s="2"/>
      <c r="X171" s="2"/>
      <c r="Y171" s="2"/>
      <c r="Z171" s="2"/>
      <c r="AA171" s="2"/>
      <c r="AB171" s="2"/>
      <c r="AC171" s="2"/>
      <c r="AG171" s="2"/>
      <c r="AK171" s="2"/>
      <c r="AL171" s="2"/>
      <c r="AM171" s="2"/>
      <c r="AN171" s="3"/>
      <c r="AO171" s="2"/>
      <c r="AU171" s="5"/>
    </row>
    <row r="172" ht="15.75" customHeight="1" spans="1:47">
      <c r="A172" s="2"/>
      <c r="F172" s="2"/>
      <c r="G172" s="2"/>
      <c r="K172" s="2"/>
      <c r="O172" s="2"/>
      <c r="P172" s="2"/>
      <c r="R172" s="2"/>
      <c r="T172" s="2"/>
      <c r="X172" s="2"/>
      <c r="Y172" s="2"/>
      <c r="Z172" s="2"/>
      <c r="AA172" s="2"/>
      <c r="AB172" s="2"/>
      <c r="AC172" s="2"/>
      <c r="AG172" s="2"/>
      <c r="AK172" s="2"/>
      <c r="AL172" s="2"/>
      <c r="AM172" s="2"/>
      <c r="AN172" s="3"/>
      <c r="AO172" s="2"/>
      <c r="AU172" s="5"/>
    </row>
    <row r="173" ht="15.75" customHeight="1" spans="1:47">
      <c r="A173" s="2"/>
      <c r="F173" s="2"/>
      <c r="G173" s="2"/>
      <c r="K173" s="2"/>
      <c r="O173" s="2"/>
      <c r="P173" s="2"/>
      <c r="R173" s="2"/>
      <c r="T173" s="2"/>
      <c r="X173" s="2"/>
      <c r="Y173" s="2"/>
      <c r="Z173" s="2"/>
      <c r="AA173" s="2"/>
      <c r="AB173" s="2"/>
      <c r="AC173" s="2"/>
      <c r="AG173" s="2"/>
      <c r="AK173" s="2"/>
      <c r="AL173" s="2"/>
      <c r="AM173" s="2"/>
      <c r="AN173" s="3"/>
      <c r="AO173" s="2"/>
      <c r="AU173" s="5"/>
    </row>
    <row r="174" ht="15.75" customHeight="1" spans="1:47">
      <c r="A174" s="2"/>
      <c r="F174" s="2"/>
      <c r="G174" s="2"/>
      <c r="K174" s="2"/>
      <c r="O174" s="2"/>
      <c r="P174" s="2"/>
      <c r="R174" s="2"/>
      <c r="T174" s="2"/>
      <c r="X174" s="2"/>
      <c r="Y174" s="2"/>
      <c r="Z174" s="2"/>
      <c r="AA174" s="2"/>
      <c r="AB174" s="2"/>
      <c r="AC174" s="2"/>
      <c r="AG174" s="2"/>
      <c r="AK174" s="2"/>
      <c r="AL174" s="2"/>
      <c r="AM174" s="2"/>
      <c r="AN174" s="3"/>
      <c r="AO174" s="2"/>
      <c r="AU174" s="5"/>
    </row>
    <row r="175" ht="15.75" customHeight="1" spans="1:47">
      <c r="A175" s="2"/>
      <c r="F175" s="2"/>
      <c r="G175" s="2"/>
      <c r="K175" s="2"/>
      <c r="O175" s="2"/>
      <c r="P175" s="2"/>
      <c r="R175" s="2"/>
      <c r="T175" s="2"/>
      <c r="X175" s="2"/>
      <c r="Y175" s="2"/>
      <c r="Z175" s="2"/>
      <c r="AA175" s="2"/>
      <c r="AB175" s="2"/>
      <c r="AC175" s="2"/>
      <c r="AG175" s="2"/>
      <c r="AK175" s="2"/>
      <c r="AL175" s="2"/>
      <c r="AM175" s="2"/>
      <c r="AN175" s="3"/>
      <c r="AO175" s="2"/>
      <c r="AU175" s="5"/>
    </row>
    <row r="176" ht="15.75" customHeight="1" spans="1:47">
      <c r="A176" s="2"/>
      <c r="F176" s="2"/>
      <c r="G176" s="2"/>
      <c r="K176" s="2"/>
      <c r="O176" s="2"/>
      <c r="P176" s="2"/>
      <c r="R176" s="2"/>
      <c r="T176" s="2"/>
      <c r="X176" s="2"/>
      <c r="Y176" s="2"/>
      <c r="Z176" s="2"/>
      <c r="AA176" s="2"/>
      <c r="AB176" s="2"/>
      <c r="AC176" s="2"/>
      <c r="AG176" s="2"/>
      <c r="AK176" s="2"/>
      <c r="AL176" s="2"/>
      <c r="AM176" s="2"/>
      <c r="AN176" s="3"/>
      <c r="AO176" s="2"/>
      <c r="AU176" s="5"/>
    </row>
    <row r="177" ht="15.75" customHeight="1" spans="1:47">
      <c r="A177" s="2"/>
      <c r="F177" s="2"/>
      <c r="G177" s="2"/>
      <c r="K177" s="2"/>
      <c r="O177" s="2"/>
      <c r="P177" s="2"/>
      <c r="R177" s="2"/>
      <c r="T177" s="2"/>
      <c r="X177" s="2"/>
      <c r="Y177" s="2"/>
      <c r="Z177" s="2"/>
      <c r="AA177" s="2"/>
      <c r="AB177" s="2"/>
      <c r="AC177" s="2"/>
      <c r="AG177" s="2"/>
      <c r="AK177" s="2"/>
      <c r="AL177" s="2"/>
      <c r="AM177" s="2"/>
      <c r="AN177" s="3"/>
      <c r="AO177" s="2"/>
      <c r="AU177" s="5"/>
    </row>
    <row r="178" ht="15.75" customHeight="1" spans="1:47">
      <c r="A178" s="2"/>
      <c r="F178" s="2"/>
      <c r="G178" s="2"/>
      <c r="K178" s="2"/>
      <c r="O178" s="2"/>
      <c r="P178" s="2"/>
      <c r="R178" s="2"/>
      <c r="T178" s="2"/>
      <c r="X178" s="2"/>
      <c r="Y178" s="2"/>
      <c r="Z178" s="2"/>
      <c r="AA178" s="2"/>
      <c r="AB178" s="2"/>
      <c r="AC178" s="2"/>
      <c r="AG178" s="2"/>
      <c r="AK178" s="2"/>
      <c r="AL178" s="2"/>
      <c r="AM178" s="2"/>
      <c r="AN178" s="3"/>
      <c r="AO178" s="2"/>
      <c r="AU178" s="5"/>
    </row>
    <row r="179" ht="15.75" customHeight="1" spans="1:47">
      <c r="A179" s="2"/>
      <c r="F179" s="2"/>
      <c r="G179" s="2"/>
      <c r="K179" s="2"/>
      <c r="O179" s="2"/>
      <c r="P179" s="2"/>
      <c r="R179" s="2"/>
      <c r="T179" s="2"/>
      <c r="X179" s="2"/>
      <c r="Y179" s="2"/>
      <c r="Z179" s="2"/>
      <c r="AA179" s="2"/>
      <c r="AB179" s="2"/>
      <c r="AC179" s="2"/>
      <c r="AG179" s="2"/>
      <c r="AK179" s="2"/>
      <c r="AL179" s="2"/>
      <c r="AM179" s="2"/>
      <c r="AN179" s="3"/>
      <c r="AO179" s="2"/>
      <c r="AU179" s="5"/>
    </row>
    <row r="180" ht="15.75" customHeight="1" spans="1:47">
      <c r="A180" s="2"/>
      <c r="F180" s="2"/>
      <c r="G180" s="2"/>
      <c r="K180" s="2"/>
      <c r="O180" s="2"/>
      <c r="P180" s="2"/>
      <c r="R180" s="2"/>
      <c r="T180" s="2"/>
      <c r="X180" s="2"/>
      <c r="Y180" s="2"/>
      <c r="Z180" s="2"/>
      <c r="AA180" s="2"/>
      <c r="AB180" s="2"/>
      <c r="AC180" s="2"/>
      <c r="AG180" s="2"/>
      <c r="AK180" s="2"/>
      <c r="AL180" s="2"/>
      <c r="AM180" s="2"/>
      <c r="AN180" s="3"/>
      <c r="AO180" s="2"/>
      <c r="AU180" s="5"/>
    </row>
    <row r="181" ht="15.75" customHeight="1" spans="1:47">
      <c r="A181" s="2"/>
      <c r="F181" s="2"/>
      <c r="G181" s="2"/>
      <c r="K181" s="2"/>
      <c r="O181" s="2"/>
      <c r="P181" s="2"/>
      <c r="R181" s="2"/>
      <c r="T181" s="2"/>
      <c r="X181" s="2"/>
      <c r="Y181" s="2"/>
      <c r="Z181" s="2"/>
      <c r="AA181" s="2"/>
      <c r="AB181" s="2"/>
      <c r="AC181" s="2"/>
      <c r="AG181" s="2"/>
      <c r="AK181" s="2"/>
      <c r="AL181" s="2"/>
      <c r="AM181" s="2"/>
      <c r="AN181" s="3"/>
      <c r="AO181" s="2"/>
      <c r="AU181" s="5"/>
    </row>
    <row r="182" ht="15.75" customHeight="1" spans="1:47">
      <c r="A182" s="2"/>
      <c r="F182" s="2"/>
      <c r="G182" s="2"/>
      <c r="K182" s="2"/>
      <c r="O182" s="2"/>
      <c r="P182" s="2"/>
      <c r="R182" s="2"/>
      <c r="T182" s="2"/>
      <c r="X182" s="2"/>
      <c r="Y182" s="2"/>
      <c r="Z182" s="2"/>
      <c r="AA182" s="2"/>
      <c r="AB182" s="2"/>
      <c r="AC182" s="2"/>
      <c r="AG182" s="2"/>
      <c r="AK182" s="2"/>
      <c r="AL182" s="2"/>
      <c r="AM182" s="2"/>
      <c r="AN182" s="3"/>
      <c r="AO182" s="2"/>
      <c r="AU182" s="5"/>
    </row>
    <row r="183" ht="15.75" customHeight="1" spans="1:47">
      <c r="A183" s="2"/>
      <c r="F183" s="2"/>
      <c r="G183" s="2"/>
      <c r="K183" s="2"/>
      <c r="O183" s="2"/>
      <c r="P183" s="2"/>
      <c r="R183" s="2"/>
      <c r="T183" s="2"/>
      <c r="X183" s="2"/>
      <c r="Y183" s="2"/>
      <c r="Z183" s="2"/>
      <c r="AA183" s="2"/>
      <c r="AB183" s="2"/>
      <c r="AC183" s="2"/>
      <c r="AG183" s="2"/>
      <c r="AK183" s="2"/>
      <c r="AL183" s="2"/>
      <c r="AM183" s="2"/>
      <c r="AN183" s="3"/>
      <c r="AO183" s="2"/>
      <c r="AU183" s="5"/>
    </row>
    <row r="184" ht="15.75" customHeight="1" spans="1:47">
      <c r="A184" s="2"/>
      <c r="F184" s="2"/>
      <c r="G184" s="2"/>
      <c r="K184" s="2"/>
      <c r="O184" s="2"/>
      <c r="P184" s="2"/>
      <c r="R184" s="2"/>
      <c r="T184" s="2"/>
      <c r="X184" s="2"/>
      <c r="Y184" s="2"/>
      <c r="Z184" s="2"/>
      <c r="AA184" s="2"/>
      <c r="AB184" s="2"/>
      <c r="AC184" s="2"/>
      <c r="AG184" s="2"/>
      <c r="AK184" s="2"/>
      <c r="AL184" s="2"/>
      <c r="AM184" s="2"/>
      <c r="AN184" s="3"/>
      <c r="AO184" s="2"/>
      <c r="AU184" s="5"/>
    </row>
    <row r="185" ht="15.75" customHeight="1" spans="1:47">
      <c r="A185" s="2"/>
      <c r="F185" s="2"/>
      <c r="G185" s="2"/>
      <c r="K185" s="2"/>
      <c r="O185" s="2"/>
      <c r="P185" s="2"/>
      <c r="R185" s="2"/>
      <c r="T185" s="2"/>
      <c r="X185" s="2"/>
      <c r="Y185" s="2"/>
      <c r="Z185" s="2"/>
      <c r="AA185" s="2"/>
      <c r="AB185" s="2"/>
      <c r="AC185" s="2"/>
      <c r="AG185" s="2"/>
      <c r="AK185" s="2"/>
      <c r="AL185" s="2"/>
      <c r="AM185" s="2"/>
      <c r="AN185" s="3"/>
      <c r="AO185" s="2"/>
      <c r="AU185" s="5"/>
    </row>
    <row r="186" ht="15.75" customHeight="1" spans="1:47">
      <c r="A186" s="2"/>
      <c r="F186" s="2"/>
      <c r="G186" s="2"/>
      <c r="K186" s="2"/>
      <c r="O186" s="2"/>
      <c r="P186" s="2"/>
      <c r="R186" s="2"/>
      <c r="T186" s="2"/>
      <c r="X186" s="2"/>
      <c r="Y186" s="2"/>
      <c r="Z186" s="2"/>
      <c r="AA186" s="2"/>
      <c r="AB186" s="2"/>
      <c r="AC186" s="2"/>
      <c r="AG186" s="2"/>
      <c r="AK186" s="2"/>
      <c r="AL186" s="2"/>
      <c r="AM186" s="2"/>
      <c r="AN186" s="3"/>
      <c r="AO186" s="2"/>
      <c r="AU186" s="5"/>
    </row>
    <row r="187" ht="15.75" customHeight="1" spans="1:47">
      <c r="A187" s="2"/>
      <c r="F187" s="2"/>
      <c r="G187" s="2"/>
      <c r="K187" s="2"/>
      <c r="O187" s="2"/>
      <c r="P187" s="2"/>
      <c r="R187" s="2"/>
      <c r="T187" s="2"/>
      <c r="X187" s="2"/>
      <c r="Y187" s="2"/>
      <c r="Z187" s="2"/>
      <c r="AA187" s="2"/>
      <c r="AB187" s="2"/>
      <c r="AC187" s="2"/>
      <c r="AG187" s="2"/>
      <c r="AK187" s="2"/>
      <c r="AL187" s="2"/>
      <c r="AM187" s="2"/>
      <c r="AN187" s="3"/>
      <c r="AO187" s="2"/>
      <c r="AU187" s="5"/>
    </row>
    <row r="188" ht="15.75" customHeight="1" spans="1:47">
      <c r="A188" s="2"/>
      <c r="F188" s="2"/>
      <c r="G188" s="2"/>
      <c r="K188" s="2"/>
      <c r="O188" s="2"/>
      <c r="P188" s="2"/>
      <c r="R188" s="2"/>
      <c r="T188" s="2"/>
      <c r="X188" s="2"/>
      <c r="Y188" s="2"/>
      <c r="Z188" s="2"/>
      <c r="AA188" s="2"/>
      <c r="AB188" s="2"/>
      <c r="AC188" s="2"/>
      <c r="AG188" s="2"/>
      <c r="AK188" s="2"/>
      <c r="AL188" s="2"/>
      <c r="AM188" s="2"/>
      <c r="AN188" s="3"/>
      <c r="AO188" s="2"/>
      <c r="AU188" s="5"/>
    </row>
    <row r="189" ht="15.75" customHeight="1" spans="1:47">
      <c r="A189" s="2"/>
      <c r="F189" s="2"/>
      <c r="G189" s="2"/>
      <c r="K189" s="2"/>
      <c r="O189" s="2"/>
      <c r="P189" s="2"/>
      <c r="R189" s="2"/>
      <c r="T189" s="2"/>
      <c r="X189" s="2"/>
      <c r="Y189" s="2"/>
      <c r="Z189" s="2"/>
      <c r="AA189" s="2"/>
      <c r="AB189" s="2"/>
      <c r="AC189" s="2"/>
      <c r="AG189" s="2"/>
      <c r="AK189" s="2"/>
      <c r="AL189" s="2"/>
      <c r="AM189" s="2"/>
      <c r="AN189" s="3"/>
      <c r="AO189" s="2"/>
      <c r="AU189" s="5"/>
    </row>
    <row r="190" ht="15.75" customHeight="1" spans="1:47">
      <c r="A190" s="2"/>
      <c r="F190" s="2"/>
      <c r="G190" s="2"/>
      <c r="K190" s="2"/>
      <c r="O190" s="2"/>
      <c r="P190" s="2"/>
      <c r="R190" s="2"/>
      <c r="T190" s="2"/>
      <c r="X190" s="2"/>
      <c r="Y190" s="2"/>
      <c r="Z190" s="2"/>
      <c r="AA190" s="2"/>
      <c r="AB190" s="2"/>
      <c r="AC190" s="2"/>
      <c r="AG190" s="2"/>
      <c r="AK190" s="2"/>
      <c r="AL190" s="2"/>
      <c r="AM190" s="2"/>
      <c r="AN190" s="3"/>
      <c r="AO190" s="2"/>
      <c r="AU190" s="5"/>
    </row>
    <row r="191" ht="15.75" customHeight="1" spans="1:47">
      <c r="A191" s="2"/>
      <c r="F191" s="2"/>
      <c r="G191" s="2"/>
      <c r="K191" s="2"/>
      <c r="O191" s="2"/>
      <c r="P191" s="2"/>
      <c r="R191" s="2"/>
      <c r="T191" s="2"/>
      <c r="X191" s="2"/>
      <c r="Y191" s="2"/>
      <c r="Z191" s="2"/>
      <c r="AA191" s="2"/>
      <c r="AB191" s="2"/>
      <c r="AC191" s="2"/>
      <c r="AG191" s="2"/>
      <c r="AK191" s="2"/>
      <c r="AL191" s="2"/>
      <c r="AM191" s="2"/>
      <c r="AN191" s="3"/>
      <c r="AO191" s="2"/>
      <c r="AU191" s="5"/>
    </row>
    <row r="192" ht="15.75" customHeight="1" spans="1:47">
      <c r="A192" s="2"/>
      <c r="F192" s="2"/>
      <c r="G192" s="2"/>
      <c r="K192" s="2"/>
      <c r="O192" s="2"/>
      <c r="P192" s="2"/>
      <c r="R192" s="2"/>
      <c r="T192" s="2"/>
      <c r="X192" s="2"/>
      <c r="Y192" s="2"/>
      <c r="Z192" s="2"/>
      <c r="AA192" s="2"/>
      <c r="AB192" s="2"/>
      <c r="AC192" s="2"/>
      <c r="AG192" s="2"/>
      <c r="AK192" s="2"/>
      <c r="AL192" s="2"/>
      <c r="AM192" s="2"/>
      <c r="AN192" s="3"/>
      <c r="AO192" s="2"/>
      <c r="AU192" s="5"/>
    </row>
    <row r="193" ht="15.75" customHeight="1" spans="1:47">
      <c r="A193" s="2"/>
      <c r="F193" s="2"/>
      <c r="G193" s="2"/>
      <c r="K193" s="2"/>
      <c r="O193" s="2"/>
      <c r="P193" s="2"/>
      <c r="R193" s="2"/>
      <c r="T193" s="2"/>
      <c r="X193" s="2"/>
      <c r="Y193" s="2"/>
      <c r="Z193" s="2"/>
      <c r="AA193" s="2"/>
      <c r="AB193" s="2"/>
      <c r="AC193" s="2"/>
      <c r="AG193" s="2"/>
      <c r="AK193" s="2"/>
      <c r="AL193" s="2"/>
      <c r="AM193" s="2"/>
      <c r="AN193" s="3"/>
      <c r="AO193" s="2"/>
      <c r="AU193" s="5"/>
    </row>
    <row r="194" ht="15.75" customHeight="1" spans="1:47">
      <c r="A194" s="2"/>
      <c r="F194" s="2"/>
      <c r="G194" s="2"/>
      <c r="K194" s="2"/>
      <c r="O194" s="2"/>
      <c r="P194" s="2"/>
      <c r="R194" s="2"/>
      <c r="T194" s="2"/>
      <c r="X194" s="2"/>
      <c r="Y194" s="2"/>
      <c r="Z194" s="2"/>
      <c r="AA194" s="2"/>
      <c r="AB194" s="2"/>
      <c r="AC194" s="2"/>
      <c r="AG194" s="2"/>
      <c r="AK194" s="2"/>
      <c r="AL194" s="2"/>
      <c r="AM194" s="2"/>
      <c r="AN194" s="3"/>
      <c r="AO194" s="2"/>
      <c r="AU194" s="5"/>
    </row>
    <row r="195" ht="15.75" customHeight="1" spans="1:47">
      <c r="A195" s="2"/>
      <c r="F195" s="2"/>
      <c r="G195" s="2"/>
      <c r="K195" s="2"/>
      <c r="O195" s="2"/>
      <c r="P195" s="2"/>
      <c r="R195" s="2"/>
      <c r="T195" s="2"/>
      <c r="X195" s="2"/>
      <c r="Y195" s="2"/>
      <c r="Z195" s="2"/>
      <c r="AA195" s="2"/>
      <c r="AB195" s="2"/>
      <c r="AC195" s="2"/>
      <c r="AG195" s="2"/>
      <c r="AK195" s="2"/>
      <c r="AL195" s="2"/>
      <c r="AM195" s="2"/>
      <c r="AN195" s="3"/>
      <c r="AO195" s="2"/>
      <c r="AU195" s="5"/>
    </row>
    <row r="196" ht="15.75" customHeight="1" spans="1:47">
      <c r="A196" s="2"/>
      <c r="F196" s="2"/>
      <c r="G196" s="2"/>
      <c r="K196" s="2"/>
      <c r="O196" s="2"/>
      <c r="P196" s="2"/>
      <c r="R196" s="2"/>
      <c r="T196" s="2"/>
      <c r="X196" s="2"/>
      <c r="Y196" s="2"/>
      <c r="Z196" s="2"/>
      <c r="AA196" s="2"/>
      <c r="AB196" s="2"/>
      <c r="AC196" s="2"/>
      <c r="AG196" s="2"/>
      <c r="AK196" s="2"/>
      <c r="AL196" s="2"/>
      <c r="AM196" s="2"/>
      <c r="AN196" s="3"/>
      <c r="AO196" s="2"/>
      <c r="AU196" s="5"/>
    </row>
    <row r="197" ht="15.75" customHeight="1" spans="1:47">
      <c r="A197" s="2"/>
      <c r="F197" s="2"/>
      <c r="G197" s="2"/>
      <c r="K197" s="2"/>
      <c r="O197" s="2"/>
      <c r="P197" s="2"/>
      <c r="R197" s="2"/>
      <c r="T197" s="2"/>
      <c r="X197" s="2"/>
      <c r="Y197" s="2"/>
      <c r="Z197" s="2"/>
      <c r="AA197" s="2"/>
      <c r="AB197" s="2"/>
      <c r="AC197" s="2"/>
      <c r="AG197" s="2"/>
      <c r="AK197" s="2"/>
      <c r="AL197" s="2"/>
      <c r="AM197" s="2"/>
      <c r="AN197" s="3"/>
      <c r="AO197" s="2"/>
      <c r="AU197" s="5"/>
    </row>
    <row r="198" ht="15.75" customHeight="1" spans="1:47">
      <c r="A198" s="2"/>
      <c r="F198" s="2"/>
      <c r="G198" s="2"/>
      <c r="K198" s="2"/>
      <c r="O198" s="2"/>
      <c r="P198" s="2"/>
      <c r="R198" s="2"/>
      <c r="T198" s="2"/>
      <c r="X198" s="2"/>
      <c r="Y198" s="2"/>
      <c r="Z198" s="2"/>
      <c r="AA198" s="2"/>
      <c r="AB198" s="2"/>
      <c r="AC198" s="2"/>
      <c r="AG198" s="2"/>
      <c r="AK198" s="2"/>
      <c r="AL198" s="2"/>
      <c r="AM198" s="2"/>
      <c r="AN198" s="3"/>
      <c r="AO198" s="2"/>
      <c r="AU198" s="5"/>
    </row>
    <row r="199" ht="15.75" customHeight="1" spans="1:47">
      <c r="A199" s="2"/>
      <c r="F199" s="2"/>
      <c r="G199" s="2"/>
      <c r="K199" s="2"/>
      <c r="O199" s="2"/>
      <c r="P199" s="2"/>
      <c r="R199" s="2"/>
      <c r="T199" s="2"/>
      <c r="X199" s="2"/>
      <c r="Y199" s="2"/>
      <c r="Z199" s="2"/>
      <c r="AA199" s="2"/>
      <c r="AB199" s="2"/>
      <c r="AC199" s="2"/>
      <c r="AG199" s="2"/>
      <c r="AK199" s="2"/>
      <c r="AL199" s="2"/>
      <c r="AM199" s="2"/>
      <c r="AN199" s="3"/>
      <c r="AO199" s="2"/>
      <c r="AU199" s="5"/>
    </row>
    <row r="200" ht="15.75" customHeight="1" spans="1:47">
      <c r="A200" s="2"/>
      <c r="F200" s="2"/>
      <c r="G200" s="2"/>
      <c r="K200" s="2"/>
      <c r="O200" s="2"/>
      <c r="P200" s="2"/>
      <c r="R200" s="2"/>
      <c r="T200" s="2"/>
      <c r="X200" s="2"/>
      <c r="Y200" s="2"/>
      <c r="Z200" s="2"/>
      <c r="AA200" s="2"/>
      <c r="AB200" s="2"/>
      <c r="AC200" s="2"/>
      <c r="AG200" s="2"/>
      <c r="AK200" s="2"/>
      <c r="AL200" s="2"/>
      <c r="AM200" s="2"/>
      <c r="AN200" s="3"/>
      <c r="AO200" s="2"/>
      <c r="AU200" s="5"/>
    </row>
    <row r="201" ht="15.75" customHeight="1" spans="1:47">
      <c r="A201" s="2"/>
      <c r="F201" s="2"/>
      <c r="G201" s="2"/>
      <c r="K201" s="2"/>
      <c r="O201" s="2"/>
      <c r="P201" s="2"/>
      <c r="R201" s="2"/>
      <c r="T201" s="2"/>
      <c r="X201" s="2"/>
      <c r="Y201" s="2"/>
      <c r="Z201" s="2"/>
      <c r="AA201" s="2"/>
      <c r="AB201" s="2"/>
      <c r="AC201" s="2"/>
      <c r="AG201" s="2"/>
      <c r="AK201" s="2"/>
      <c r="AL201" s="2"/>
      <c r="AM201" s="2"/>
      <c r="AN201" s="3"/>
      <c r="AO201" s="2"/>
      <c r="AU201" s="5"/>
    </row>
    <row r="202" ht="15.75" customHeight="1" spans="1:47">
      <c r="A202" s="2"/>
      <c r="F202" s="2"/>
      <c r="G202" s="2"/>
      <c r="K202" s="2"/>
      <c r="O202" s="2"/>
      <c r="P202" s="2"/>
      <c r="R202" s="2"/>
      <c r="T202" s="2"/>
      <c r="X202" s="2"/>
      <c r="Y202" s="2"/>
      <c r="Z202" s="2"/>
      <c r="AA202" s="2"/>
      <c r="AB202" s="2"/>
      <c r="AC202" s="2"/>
      <c r="AG202" s="2"/>
      <c r="AK202" s="2"/>
      <c r="AL202" s="2"/>
      <c r="AM202" s="2"/>
      <c r="AN202" s="3"/>
      <c r="AO202" s="2"/>
      <c r="AU202" s="5"/>
    </row>
    <row r="203" ht="15.75" customHeight="1" spans="1:47">
      <c r="A203" s="2"/>
      <c r="F203" s="2"/>
      <c r="G203" s="2"/>
      <c r="K203" s="2"/>
      <c r="O203" s="2"/>
      <c r="P203" s="2"/>
      <c r="R203" s="2"/>
      <c r="T203" s="2"/>
      <c r="X203" s="2"/>
      <c r="Y203" s="2"/>
      <c r="Z203" s="2"/>
      <c r="AA203" s="2"/>
      <c r="AB203" s="2"/>
      <c r="AC203" s="2"/>
      <c r="AG203" s="2"/>
      <c r="AK203" s="2"/>
      <c r="AL203" s="2"/>
      <c r="AM203" s="2"/>
      <c r="AN203" s="3"/>
      <c r="AO203" s="2"/>
      <c r="AU203" s="5"/>
    </row>
    <row r="204" ht="15.75" customHeight="1" spans="1:47">
      <c r="A204" s="2"/>
      <c r="F204" s="2"/>
      <c r="G204" s="2"/>
      <c r="K204" s="2"/>
      <c r="O204" s="2"/>
      <c r="P204" s="2"/>
      <c r="R204" s="2"/>
      <c r="T204" s="2"/>
      <c r="X204" s="2"/>
      <c r="Y204" s="2"/>
      <c r="Z204" s="2"/>
      <c r="AA204" s="2"/>
      <c r="AB204" s="2"/>
      <c r="AC204" s="2"/>
      <c r="AG204" s="2"/>
      <c r="AK204" s="2"/>
      <c r="AL204" s="2"/>
      <c r="AM204" s="2"/>
      <c r="AN204" s="3"/>
      <c r="AO204" s="2"/>
      <c r="AU204" s="5"/>
    </row>
    <row r="205" ht="15.75" customHeight="1" spans="1:47">
      <c r="A205" s="2"/>
      <c r="F205" s="2"/>
      <c r="G205" s="2"/>
      <c r="K205" s="2"/>
      <c r="O205" s="2"/>
      <c r="P205" s="2"/>
      <c r="R205" s="2"/>
      <c r="T205" s="2"/>
      <c r="X205" s="2"/>
      <c r="Y205" s="2"/>
      <c r="Z205" s="2"/>
      <c r="AA205" s="2"/>
      <c r="AB205" s="2"/>
      <c r="AC205" s="2"/>
      <c r="AG205" s="2"/>
      <c r="AK205" s="2"/>
      <c r="AL205" s="2"/>
      <c r="AM205" s="2"/>
      <c r="AN205" s="3"/>
      <c r="AO205" s="2"/>
      <c r="AU205" s="5"/>
    </row>
    <row r="206" ht="15.75" customHeight="1" spans="1:47">
      <c r="A206" s="2"/>
      <c r="F206" s="2"/>
      <c r="G206" s="2"/>
      <c r="K206" s="2"/>
      <c r="O206" s="2"/>
      <c r="P206" s="2"/>
      <c r="R206" s="2"/>
      <c r="T206" s="2"/>
      <c r="X206" s="2"/>
      <c r="Y206" s="2"/>
      <c r="Z206" s="2"/>
      <c r="AA206" s="2"/>
      <c r="AB206" s="2"/>
      <c r="AC206" s="2"/>
      <c r="AG206" s="2"/>
      <c r="AK206" s="2"/>
      <c r="AL206" s="2"/>
      <c r="AM206" s="2"/>
      <c r="AN206" s="3"/>
      <c r="AO206" s="2"/>
      <c r="AU206" s="5"/>
    </row>
    <row r="207" ht="15.75" customHeight="1" spans="1:47">
      <c r="A207" s="2"/>
      <c r="F207" s="2"/>
      <c r="G207" s="2"/>
      <c r="K207" s="2"/>
      <c r="O207" s="2"/>
      <c r="P207" s="2"/>
      <c r="R207" s="2"/>
      <c r="T207" s="2"/>
      <c r="X207" s="2"/>
      <c r="Y207" s="2"/>
      <c r="Z207" s="2"/>
      <c r="AA207" s="2"/>
      <c r="AB207" s="2"/>
      <c r="AC207" s="2"/>
      <c r="AG207" s="2"/>
      <c r="AK207" s="2"/>
      <c r="AL207" s="2"/>
      <c r="AM207" s="2"/>
      <c r="AN207" s="3"/>
      <c r="AO207" s="2"/>
      <c r="AU207" s="5"/>
    </row>
    <row r="208" ht="15.75" customHeight="1" spans="1:47">
      <c r="A208" s="2"/>
      <c r="F208" s="2"/>
      <c r="G208" s="2"/>
      <c r="K208" s="2"/>
      <c r="O208" s="2"/>
      <c r="P208" s="2"/>
      <c r="R208" s="2"/>
      <c r="T208" s="2"/>
      <c r="X208" s="2"/>
      <c r="Y208" s="2"/>
      <c r="Z208" s="2"/>
      <c r="AA208" s="2"/>
      <c r="AB208" s="2"/>
      <c r="AC208" s="2"/>
      <c r="AG208" s="2"/>
      <c r="AK208" s="2"/>
      <c r="AL208" s="2"/>
      <c r="AM208" s="2"/>
      <c r="AN208" s="3"/>
      <c r="AO208" s="2"/>
      <c r="AU208" s="5"/>
    </row>
    <row r="209" ht="15.75" customHeight="1" spans="1:47">
      <c r="A209" s="2"/>
      <c r="F209" s="2"/>
      <c r="G209" s="2"/>
      <c r="K209" s="2"/>
      <c r="O209" s="2"/>
      <c r="P209" s="2"/>
      <c r="R209" s="2"/>
      <c r="T209" s="2"/>
      <c r="X209" s="2"/>
      <c r="Y209" s="2"/>
      <c r="Z209" s="2"/>
      <c r="AA209" s="2"/>
      <c r="AB209" s="2"/>
      <c r="AC209" s="2"/>
      <c r="AG209" s="2"/>
      <c r="AK209" s="2"/>
      <c r="AL209" s="2"/>
      <c r="AM209" s="2"/>
      <c r="AN209" s="3"/>
      <c r="AO209" s="2"/>
      <c r="AU209" s="5"/>
    </row>
    <row r="210" ht="15.75" customHeight="1" spans="1:47">
      <c r="A210" s="2"/>
      <c r="F210" s="2"/>
      <c r="G210" s="2"/>
      <c r="K210" s="2"/>
      <c r="O210" s="2"/>
      <c r="P210" s="2"/>
      <c r="R210" s="2"/>
      <c r="T210" s="2"/>
      <c r="X210" s="2"/>
      <c r="Y210" s="2"/>
      <c r="Z210" s="2"/>
      <c r="AA210" s="2"/>
      <c r="AB210" s="2"/>
      <c r="AC210" s="2"/>
      <c r="AG210" s="2"/>
      <c r="AK210" s="2"/>
      <c r="AL210" s="2"/>
      <c r="AM210" s="2"/>
      <c r="AN210" s="3"/>
      <c r="AO210" s="2"/>
      <c r="AU210" s="5"/>
    </row>
    <row r="211" ht="15.75" customHeight="1" spans="1:47">
      <c r="A211" s="2"/>
      <c r="F211" s="2"/>
      <c r="G211" s="2"/>
      <c r="K211" s="2"/>
      <c r="O211" s="2"/>
      <c r="P211" s="2"/>
      <c r="R211" s="2"/>
      <c r="T211" s="2"/>
      <c r="X211" s="2"/>
      <c r="Y211" s="2"/>
      <c r="Z211" s="2"/>
      <c r="AA211" s="2"/>
      <c r="AB211" s="2"/>
      <c r="AC211" s="2"/>
      <c r="AG211" s="2"/>
      <c r="AK211" s="2"/>
      <c r="AL211" s="2"/>
      <c r="AM211" s="2"/>
      <c r="AN211" s="3"/>
      <c r="AO211" s="2"/>
      <c r="AU211" s="5"/>
    </row>
    <row r="212" ht="15.75" customHeight="1" spans="1:47">
      <c r="A212" s="2"/>
      <c r="F212" s="2"/>
      <c r="G212" s="2"/>
      <c r="K212" s="2"/>
      <c r="O212" s="2"/>
      <c r="P212" s="2"/>
      <c r="R212" s="2"/>
      <c r="T212" s="2"/>
      <c r="X212" s="2"/>
      <c r="Y212" s="2"/>
      <c r="Z212" s="2"/>
      <c r="AA212" s="2"/>
      <c r="AB212" s="2"/>
      <c r="AC212" s="2"/>
      <c r="AG212" s="2"/>
      <c r="AK212" s="2"/>
      <c r="AL212" s="2"/>
      <c r="AM212" s="2"/>
      <c r="AN212" s="3"/>
      <c r="AO212" s="2"/>
      <c r="AU212" s="5"/>
    </row>
    <row r="213" ht="15.75" customHeight="1" spans="1:47">
      <c r="A213" s="2"/>
      <c r="F213" s="2"/>
      <c r="G213" s="2"/>
      <c r="K213" s="2"/>
      <c r="O213" s="2"/>
      <c r="P213" s="2"/>
      <c r="R213" s="2"/>
      <c r="T213" s="2"/>
      <c r="X213" s="2"/>
      <c r="Y213" s="2"/>
      <c r="Z213" s="2"/>
      <c r="AA213" s="2"/>
      <c r="AB213" s="2"/>
      <c r="AC213" s="2"/>
      <c r="AG213" s="2"/>
      <c r="AK213" s="2"/>
      <c r="AL213" s="2"/>
      <c r="AM213" s="2"/>
      <c r="AN213" s="3"/>
      <c r="AO213" s="2"/>
      <c r="AU213" s="5"/>
    </row>
    <row r="214" ht="15.75" customHeight="1" spans="1:47">
      <c r="A214" s="2"/>
      <c r="F214" s="2"/>
      <c r="G214" s="2"/>
      <c r="K214" s="2"/>
      <c r="O214" s="2"/>
      <c r="P214" s="2"/>
      <c r="R214" s="2"/>
      <c r="T214" s="2"/>
      <c r="X214" s="2"/>
      <c r="Y214" s="2"/>
      <c r="Z214" s="2"/>
      <c r="AA214" s="2"/>
      <c r="AB214" s="2"/>
      <c r="AC214" s="2"/>
      <c r="AG214" s="2"/>
      <c r="AK214" s="2"/>
      <c r="AL214" s="2"/>
      <c r="AM214" s="2"/>
      <c r="AN214" s="3"/>
      <c r="AO214" s="2"/>
      <c r="AU214" s="5"/>
    </row>
    <row r="215" ht="15.75" customHeight="1" spans="1:47">
      <c r="A215" s="2"/>
      <c r="F215" s="2"/>
      <c r="G215" s="2"/>
      <c r="K215" s="2"/>
      <c r="O215" s="2"/>
      <c r="P215" s="2"/>
      <c r="R215" s="2"/>
      <c r="T215" s="2"/>
      <c r="X215" s="2"/>
      <c r="Y215" s="2"/>
      <c r="Z215" s="2"/>
      <c r="AA215" s="2"/>
      <c r="AB215" s="2"/>
      <c r="AC215" s="2"/>
      <c r="AG215" s="2"/>
      <c r="AK215" s="2"/>
      <c r="AL215" s="2"/>
      <c r="AM215" s="2"/>
      <c r="AN215" s="3"/>
      <c r="AO215" s="2"/>
      <c r="AU215" s="5"/>
    </row>
    <row r="216" ht="15.75" customHeight="1" spans="1:47">
      <c r="A216" s="2"/>
      <c r="F216" s="2"/>
      <c r="G216" s="2"/>
      <c r="K216" s="2"/>
      <c r="O216" s="2"/>
      <c r="P216" s="2"/>
      <c r="R216" s="2"/>
      <c r="T216" s="2"/>
      <c r="X216" s="2"/>
      <c r="Y216" s="2"/>
      <c r="Z216" s="2"/>
      <c r="AA216" s="2"/>
      <c r="AB216" s="2"/>
      <c r="AC216" s="2"/>
      <c r="AG216" s="2"/>
      <c r="AK216" s="2"/>
      <c r="AL216" s="2"/>
      <c r="AM216" s="2"/>
      <c r="AN216" s="3"/>
      <c r="AO216" s="2"/>
      <c r="AU216" s="5"/>
    </row>
    <row r="217" ht="15.75" customHeight="1" spans="1:47">
      <c r="A217" s="2"/>
      <c r="F217" s="2"/>
      <c r="G217" s="2"/>
      <c r="K217" s="2"/>
      <c r="O217" s="2"/>
      <c r="P217" s="2"/>
      <c r="R217" s="2"/>
      <c r="T217" s="2"/>
      <c r="X217" s="2"/>
      <c r="Y217" s="2"/>
      <c r="Z217" s="2"/>
      <c r="AA217" s="2"/>
      <c r="AB217" s="2"/>
      <c r="AC217" s="2"/>
      <c r="AG217" s="2"/>
      <c r="AK217" s="2"/>
      <c r="AL217" s="2"/>
      <c r="AM217" s="2"/>
      <c r="AN217" s="3"/>
      <c r="AO217" s="2"/>
      <c r="AU217" s="5"/>
    </row>
    <row r="218" ht="15.75" customHeight="1" spans="1:47">
      <c r="A218" s="2"/>
      <c r="F218" s="2"/>
      <c r="G218" s="2"/>
      <c r="K218" s="2"/>
      <c r="O218" s="2"/>
      <c r="P218" s="2"/>
      <c r="R218" s="2"/>
      <c r="T218" s="2"/>
      <c r="X218" s="2"/>
      <c r="Y218" s="2"/>
      <c r="Z218" s="2"/>
      <c r="AA218" s="2"/>
      <c r="AB218" s="2"/>
      <c r="AC218" s="2"/>
      <c r="AG218" s="2"/>
      <c r="AK218" s="2"/>
      <c r="AL218" s="2"/>
      <c r="AM218" s="2"/>
      <c r="AN218" s="3"/>
      <c r="AO218" s="2"/>
      <c r="AU218" s="5"/>
    </row>
    <row r="219" ht="15.75" customHeight="1" spans="1:47">
      <c r="A219" s="2"/>
      <c r="F219" s="2"/>
      <c r="G219" s="2"/>
      <c r="K219" s="2"/>
      <c r="O219" s="2"/>
      <c r="P219" s="2"/>
      <c r="R219" s="2"/>
      <c r="T219" s="2"/>
      <c r="X219" s="2"/>
      <c r="Y219" s="2"/>
      <c r="Z219" s="2"/>
      <c r="AA219" s="2"/>
      <c r="AB219" s="2"/>
      <c r="AC219" s="2"/>
      <c r="AG219" s="2"/>
      <c r="AK219" s="2"/>
      <c r="AL219" s="2"/>
      <c r="AM219" s="2"/>
      <c r="AN219" s="3"/>
      <c r="AO219" s="2"/>
      <c r="AU219" s="5"/>
    </row>
    <row r="220" ht="15.75" customHeight="1" spans="1:47">
      <c r="A220" s="2"/>
      <c r="F220" s="2"/>
      <c r="G220" s="2"/>
      <c r="K220" s="2"/>
      <c r="O220" s="2"/>
      <c r="P220" s="2"/>
      <c r="R220" s="2"/>
      <c r="T220" s="2"/>
      <c r="X220" s="2"/>
      <c r="Y220" s="2"/>
      <c r="Z220" s="2"/>
      <c r="AA220" s="2"/>
      <c r="AB220" s="2"/>
      <c r="AC220" s="2"/>
      <c r="AG220" s="2"/>
      <c r="AK220" s="2"/>
      <c r="AL220" s="2"/>
      <c r="AM220" s="2"/>
      <c r="AN220" s="3"/>
      <c r="AO220" s="2"/>
      <c r="AU220" s="5"/>
    </row>
    <row r="221" ht="15.75" customHeight="1" spans="1:47">
      <c r="A221" s="2"/>
      <c r="F221" s="2"/>
      <c r="G221" s="2"/>
      <c r="K221" s="2"/>
      <c r="O221" s="2"/>
      <c r="P221" s="2"/>
      <c r="R221" s="2"/>
      <c r="T221" s="2"/>
      <c r="X221" s="2"/>
      <c r="Y221" s="2"/>
      <c r="Z221" s="2"/>
      <c r="AA221" s="2"/>
      <c r="AB221" s="2"/>
      <c r="AC221" s="2"/>
      <c r="AG221" s="2"/>
      <c r="AK221" s="2"/>
      <c r="AL221" s="2"/>
      <c r="AM221" s="2"/>
      <c r="AN221" s="3"/>
      <c r="AO221" s="2"/>
      <c r="AU221" s="5"/>
    </row>
    <row r="222" ht="15.75" customHeight="1" spans="1:47">
      <c r="A222" s="2"/>
      <c r="F222" s="2"/>
      <c r="G222" s="2"/>
      <c r="K222" s="2"/>
      <c r="O222" s="2"/>
      <c r="P222" s="2"/>
      <c r="R222" s="2"/>
      <c r="T222" s="2"/>
      <c r="X222" s="2"/>
      <c r="Y222" s="2"/>
      <c r="Z222" s="2"/>
      <c r="AA222" s="2"/>
      <c r="AB222" s="2"/>
      <c r="AC222" s="2"/>
      <c r="AG222" s="2"/>
      <c r="AK222" s="2"/>
      <c r="AL222" s="2"/>
      <c r="AM222" s="2"/>
      <c r="AN222" s="3"/>
      <c r="AO222" s="2"/>
      <c r="AU222" s="5"/>
    </row>
    <row r="223" ht="15.75" customHeight="1" spans="1:47">
      <c r="A223" s="2"/>
      <c r="F223" s="2"/>
      <c r="G223" s="2"/>
      <c r="K223" s="2"/>
      <c r="O223" s="2"/>
      <c r="P223" s="2"/>
      <c r="R223" s="2"/>
      <c r="T223" s="2"/>
      <c r="X223" s="2"/>
      <c r="Y223" s="2"/>
      <c r="Z223" s="2"/>
      <c r="AA223" s="2"/>
      <c r="AB223" s="2"/>
      <c r="AC223" s="2"/>
      <c r="AG223" s="2"/>
      <c r="AK223" s="2"/>
      <c r="AL223" s="2"/>
      <c r="AM223" s="2"/>
      <c r="AN223" s="3"/>
      <c r="AO223" s="2"/>
      <c r="AU223" s="5"/>
    </row>
    <row r="224" ht="15.75" customHeight="1" spans="1:47">
      <c r="A224" s="2"/>
      <c r="F224" s="2"/>
      <c r="G224" s="2"/>
      <c r="K224" s="2"/>
      <c r="O224" s="2"/>
      <c r="P224" s="2"/>
      <c r="R224" s="2"/>
      <c r="T224" s="2"/>
      <c r="X224" s="2"/>
      <c r="Y224" s="2"/>
      <c r="Z224" s="2"/>
      <c r="AA224" s="2"/>
      <c r="AB224" s="2"/>
      <c r="AC224" s="2"/>
      <c r="AG224" s="2"/>
      <c r="AK224" s="2"/>
      <c r="AL224" s="2"/>
      <c r="AM224" s="2"/>
      <c r="AN224" s="3"/>
      <c r="AO224" s="2"/>
      <c r="AU224" s="5"/>
    </row>
    <row r="225" ht="15.75" customHeight="1" spans="1:47">
      <c r="A225" s="2"/>
      <c r="F225" s="2"/>
      <c r="G225" s="2"/>
      <c r="K225" s="2"/>
      <c r="O225" s="2"/>
      <c r="P225" s="2"/>
      <c r="R225" s="2"/>
      <c r="T225" s="2"/>
      <c r="X225" s="2"/>
      <c r="Y225" s="2"/>
      <c r="Z225" s="2"/>
      <c r="AA225" s="2"/>
      <c r="AB225" s="2"/>
      <c r="AC225" s="2"/>
      <c r="AG225" s="2"/>
      <c r="AK225" s="2"/>
      <c r="AL225" s="2"/>
      <c r="AM225" s="2"/>
      <c r="AN225" s="3"/>
      <c r="AO225" s="2"/>
      <c r="AU225" s="5"/>
    </row>
    <row r="226" ht="15.75" customHeight="1" spans="1:47">
      <c r="A226" s="2"/>
      <c r="F226" s="2"/>
      <c r="G226" s="2"/>
      <c r="K226" s="2"/>
      <c r="O226" s="2"/>
      <c r="P226" s="2"/>
      <c r="R226" s="2"/>
      <c r="T226" s="2"/>
      <c r="X226" s="2"/>
      <c r="Y226" s="2"/>
      <c r="Z226" s="2"/>
      <c r="AA226" s="2"/>
      <c r="AB226" s="2"/>
      <c r="AC226" s="2"/>
      <c r="AG226" s="2"/>
      <c r="AK226" s="2"/>
      <c r="AL226" s="2"/>
      <c r="AM226" s="2"/>
      <c r="AN226" s="3"/>
      <c r="AO226" s="2"/>
      <c r="AU226" s="5"/>
    </row>
    <row r="227" ht="15.75" customHeight="1" spans="1:47">
      <c r="A227" s="2"/>
      <c r="F227" s="2"/>
      <c r="G227" s="2"/>
      <c r="K227" s="2"/>
      <c r="O227" s="2"/>
      <c r="P227" s="2"/>
      <c r="R227" s="2"/>
      <c r="T227" s="2"/>
      <c r="X227" s="2"/>
      <c r="Y227" s="2"/>
      <c r="Z227" s="2"/>
      <c r="AA227" s="2"/>
      <c r="AB227" s="2"/>
      <c r="AC227" s="2"/>
      <c r="AG227" s="2"/>
      <c r="AK227" s="2"/>
      <c r="AL227" s="2"/>
      <c r="AM227" s="2"/>
      <c r="AN227" s="3"/>
      <c r="AO227" s="2"/>
      <c r="AU227" s="5"/>
    </row>
    <row r="228" ht="15.75" customHeight="1" spans="1:47">
      <c r="A228" s="2"/>
      <c r="F228" s="2"/>
      <c r="G228" s="2"/>
      <c r="K228" s="2"/>
      <c r="O228" s="2"/>
      <c r="P228" s="2"/>
      <c r="R228" s="2"/>
      <c r="T228" s="2"/>
      <c r="X228" s="2"/>
      <c r="Y228" s="2"/>
      <c r="Z228" s="2"/>
      <c r="AA228" s="2"/>
      <c r="AB228" s="2"/>
      <c r="AC228" s="2"/>
      <c r="AG228" s="2"/>
      <c r="AK228" s="2"/>
      <c r="AL228" s="2"/>
      <c r="AM228" s="2"/>
      <c r="AN228" s="3"/>
      <c r="AO228" s="2"/>
      <c r="AU228" s="5"/>
    </row>
    <row r="229" ht="15.75" customHeight="1" spans="1:47">
      <c r="A229" s="2"/>
      <c r="F229" s="2"/>
      <c r="G229" s="2"/>
      <c r="K229" s="2"/>
      <c r="O229" s="2"/>
      <c r="P229" s="2"/>
      <c r="R229" s="2"/>
      <c r="T229" s="2"/>
      <c r="X229" s="2"/>
      <c r="Y229" s="2"/>
      <c r="Z229" s="2"/>
      <c r="AA229" s="2"/>
      <c r="AB229" s="2"/>
      <c r="AC229" s="2"/>
      <c r="AG229" s="2"/>
      <c r="AK229" s="2"/>
      <c r="AL229" s="2"/>
      <c r="AM229" s="2"/>
      <c r="AN229" s="3"/>
      <c r="AO229" s="2"/>
      <c r="AU229" s="5"/>
    </row>
    <row r="230" ht="15.75" customHeight="1" spans="1:47">
      <c r="A230" s="2"/>
      <c r="F230" s="2"/>
      <c r="G230" s="2"/>
      <c r="K230" s="2"/>
      <c r="O230" s="2"/>
      <c r="P230" s="2"/>
      <c r="R230" s="2"/>
      <c r="T230" s="2"/>
      <c r="X230" s="2"/>
      <c r="Y230" s="2"/>
      <c r="Z230" s="2"/>
      <c r="AA230" s="2"/>
      <c r="AB230" s="2"/>
      <c r="AC230" s="2"/>
      <c r="AG230" s="2"/>
      <c r="AK230" s="2"/>
      <c r="AL230" s="2"/>
      <c r="AM230" s="2"/>
      <c r="AN230" s="3"/>
      <c r="AO230" s="2"/>
      <c r="AU230" s="5"/>
    </row>
    <row r="231" ht="15.75" customHeight="1" spans="1:47">
      <c r="A231" s="2"/>
      <c r="F231" s="2"/>
      <c r="G231" s="2"/>
      <c r="K231" s="2"/>
      <c r="O231" s="2"/>
      <c r="P231" s="2"/>
      <c r="R231" s="2"/>
      <c r="T231" s="2"/>
      <c r="X231" s="2"/>
      <c r="Y231" s="2"/>
      <c r="Z231" s="2"/>
      <c r="AA231" s="2"/>
      <c r="AB231" s="2"/>
      <c r="AC231" s="2"/>
      <c r="AG231" s="2"/>
      <c r="AK231" s="2"/>
      <c r="AL231" s="2"/>
      <c r="AM231" s="2"/>
      <c r="AN231" s="3"/>
      <c r="AO231" s="2"/>
      <c r="AU231" s="5"/>
    </row>
    <row r="232" ht="15.75" customHeight="1" spans="1:47">
      <c r="A232" s="2"/>
      <c r="F232" s="2"/>
      <c r="G232" s="2"/>
      <c r="K232" s="2"/>
      <c r="O232" s="2"/>
      <c r="P232" s="2"/>
      <c r="R232" s="2"/>
      <c r="T232" s="2"/>
      <c r="X232" s="2"/>
      <c r="Y232" s="2"/>
      <c r="Z232" s="2"/>
      <c r="AA232" s="2"/>
      <c r="AB232" s="2"/>
      <c r="AC232" s="2"/>
      <c r="AG232" s="2"/>
      <c r="AK232" s="2"/>
      <c r="AL232" s="2"/>
      <c r="AM232" s="2"/>
      <c r="AN232" s="3"/>
      <c r="AO232" s="2"/>
      <c r="AU232" s="5"/>
    </row>
    <row r="233" ht="15.75" customHeight="1" spans="1:47">
      <c r="A233" s="2"/>
      <c r="F233" s="2"/>
      <c r="G233" s="2"/>
      <c r="K233" s="2"/>
      <c r="O233" s="2"/>
      <c r="P233" s="2"/>
      <c r="R233" s="2"/>
      <c r="T233" s="2"/>
      <c r="X233" s="2"/>
      <c r="Y233" s="2"/>
      <c r="Z233" s="2"/>
      <c r="AA233" s="2"/>
      <c r="AB233" s="2"/>
      <c r="AC233" s="2"/>
      <c r="AG233" s="2"/>
      <c r="AK233" s="2"/>
      <c r="AL233" s="2"/>
      <c r="AM233" s="2"/>
      <c r="AN233" s="3"/>
      <c r="AO233" s="2"/>
      <c r="AU233" s="5"/>
    </row>
    <row r="234" ht="15.75" customHeight="1" spans="1:47">
      <c r="A234" s="2"/>
      <c r="F234" s="2"/>
      <c r="G234" s="2"/>
      <c r="K234" s="2"/>
      <c r="O234" s="2"/>
      <c r="P234" s="2"/>
      <c r="R234" s="2"/>
      <c r="T234" s="2"/>
      <c r="X234" s="2"/>
      <c r="Y234" s="2"/>
      <c r="Z234" s="2"/>
      <c r="AA234" s="2"/>
      <c r="AB234" s="2"/>
      <c r="AC234" s="2"/>
      <c r="AG234" s="2"/>
      <c r="AK234" s="2"/>
      <c r="AL234" s="2"/>
      <c r="AM234" s="2"/>
      <c r="AN234" s="3"/>
      <c r="AO234" s="2"/>
      <c r="AU234" s="5"/>
    </row>
    <row r="235" ht="15.75" customHeight="1" spans="1:47">
      <c r="A235" s="2"/>
      <c r="F235" s="2"/>
      <c r="G235" s="2"/>
      <c r="K235" s="2"/>
      <c r="O235" s="2"/>
      <c r="P235" s="2"/>
      <c r="R235" s="2"/>
      <c r="T235" s="2"/>
      <c r="X235" s="2"/>
      <c r="Y235" s="2"/>
      <c r="Z235" s="2"/>
      <c r="AA235" s="2"/>
      <c r="AB235" s="2"/>
      <c r="AC235" s="2"/>
      <c r="AG235" s="2"/>
      <c r="AK235" s="2"/>
      <c r="AL235" s="2"/>
      <c r="AM235" s="2"/>
      <c r="AN235" s="3"/>
      <c r="AO235" s="2"/>
      <c r="AU235" s="5"/>
    </row>
    <row r="236" ht="15.75" customHeight="1" spans="1:47">
      <c r="A236" s="2"/>
      <c r="F236" s="2"/>
      <c r="G236" s="2"/>
      <c r="K236" s="2"/>
      <c r="O236" s="2"/>
      <c r="P236" s="2"/>
      <c r="R236" s="2"/>
      <c r="T236" s="2"/>
      <c r="X236" s="2"/>
      <c r="Y236" s="2"/>
      <c r="Z236" s="2"/>
      <c r="AA236" s="2"/>
      <c r="AB236" s="2"/>
      <c r="AC236" s="2"/>
      <c r="AG236" s="2"/>
      <c r="AK236" s="2"/>
      <c r="AL236" s="2"/>
      <c r="AM236" s="2"/>
      <c r="AN236" s="3"/>
      <c r="AO236" s="2"/>
      <c r="AU236" s="5"/>
    </row>
    <row r="237" ht="15.75" customHeight="1" spans="1:47">
      <c r="A237" s="2"/>
      <c r="F237" s="2"/>
      <c r="G237" s="2"/>
      <c r="K237" s="2"/>
      <c r="O237" s="2"/>
      <c r="P237" s="2"/>
      <c r="R237" s="2"/>
      <c r="T237" s="2"/>
      <c r="X237" s="2"/>
      <c r="Y237" s="2"/>
      <c r="Z237" s="2"/>
      <c r="AA237" s="2"/>
      <c r="AB237" s="2"/>
      <c r="AC237" s="2"/>
      <c r="AG237" s="2"/>
      <c r="AK237" s="2"/>
      <c r="AL237" s="2"/>
      <c r="AM237" s="2"/>
      <c r="AN237" s="3"/>
      <c r="AO237" s="2"/>
      <c r="AU237" s="5"/>
    </row>
    <row r="238" ht="15.75" customHeight="1" spans="1:47">
      <c r="A238" s="2"/>
      <c r="F238" s="2"/>
      <c r="G238" s="2"/>
      <c r="K238" s="2"/>
      <c r="O238" s="2"/>
      <c r="P238" s="2"/>
      <c r="R238" s="2"/>
      <c r="T238" s="2"/>
      <c r="X238" s="2"/>
      <c r="Y238" s="2"/>
      <c r="Z238" s="2"/>
      <c r="AA238" s="2"/>
      <c r="AB238" s="2"/>
      <c r="AC238" s="2"/>
      <c r="AG238" s="2"/>
      <c r="AK238" s="2"/>
      <c r="AL238" s="2"/>
      <c r="AM238" s="2"/>
      <c r="AN238" s="3"/>
      <c r="AO238" s="2"/>
      <c r="AU238" s="5"/>
    </row>
    <row r="239" ht="15.75" customHeight="1" spans="1:47">
      <c r="A239" s="2"/>
      <c r="F239" s="2"/>
      <c r="G239" s="2"/>
      <c r="K239" s="2"/>
      <c r="O239" s="2"/>
      <c r="P239" s="2"/>
      <c r="R239" s="2"/>
      <c r="T239" s="2"/>
      <c r="X239" s="2"/>
      <c r="Y239" s="2"/>
      <c r="Z239" s="2"/>
      <c r="AA239" s="2"/>
      <c r="AB239" s="2"/>
      <c r="AC239" s="2"/>
      <c r="AG239" s="2"/>
      <c r="AK239" s="2"/>
      <c r="AL239" s="2"/>
      <c r="AM239" s="2"/>
      <c r="AN239" s="3"/>
      <c r="AO239" s="2"/>
      <c r="AU239" s="5"/>
    </row>
    <row r="240" ht="15.75" customHeight="1" spans="1:47">
      <c r="A240" s="2"/>
      <c r="F240" s="2"/>
      <c r="G240" s="2"/>
      <c r="K240" s="2"/>
      <c r="O240" s="2"/>
      <c r="P240" s="2"/>
      <c r="R240" s="2"/>
      <c r="T240" s="2"/>
      <c r="X240" s="2"/>
      <c r="Y240" s="2"/>
      <c r="Z240" s="2"/>
      <c r="AA240" s="2"/>
      <c r="AB240" s="2"/>
      <c r="AC240" s="2"/>
      <c r="AG240" s="2"/>
      <c r="AK240" s="2"/>
      <c r="AL240" s="2"/>
      <c r="AM240" s="2"/>
      <c r="AN240" s="3"/>
      <c r="AO240" s="2"/>
      <c r="AU240" s="5"/>
    </row>
    <row r="241" ht="15.75" customHeight="1" spans="1:47">
      <c r="A241" s="2"/>
      <c r="F241" s="2"/>
      <c r="G241" s="2"/>
      <c r="K241" s="2"/>
      <c r="O241" s="2"/>
      <c r="P241" s="2"/>
      <c r="R241" s="2"/>
      <c r="T241" s="2"/>
      <c r="X241" s="2"/>
      <c r="Y241" s="2"/>
      <c r="Z241" s="2"/>
      <c r="AA241" s="2"/>
      <c r="AB241" s="2"/>
      <c r="AC241" s="2"/>
      <c r="AG241" s="2"/>
      <c r="AK241" s="2"/>
      <c r="AL241" s="2"/>
      <c r="AM241" s="2"/>
      <c r="AN241" s="3"/>
      <c r="AO241" s="2"/>
      <c r="AU241" s="5"/>
    </row>
    <row r="242" ht="15.75" customHeight="1" spans="1:47">
      <c r="A242" s="2"/>
      <c r="F242" s="2"/>
      <c r="G242" s="2"/>
      <c r="K242" s="2"/>
      <c r="O242" s="2"/>
      <c r="P242" s="2"/>
      <c r="R242" s="2"/>
      <c r="T242" s="2"/>
      <c r="X242" s="2"/>
      <c r="Y242" s="2"/>
      <c r="Z242" s="2"/>
      <c r="AA242" s="2"/>
      <c r="AB242" s="2"/>
      <c r="AC242" s="2"/>
      <c r="AG242" s="2"/>
      <c r="AK242" s="2"/>
      <c r="AL242" s="2"/>
      <c r="AM242" s="2"/>
      <c r="AN242" s="3"/>
      <c r="AO242" s="2"/>
      <c r="AU242" s="5"/>
    </row>
    <row r="243" ht="15.75" customHeight="1" spans="1:47">
      <c r="A243" s="2"/>
      <c r="F243" s="2"/>
      <c r="G243" s="2"/>
      <c r="K243" s="2"/>
      <c r="O243" s="2"/>
      <c r="P243" s="2"/>
      <c r="R243" s="2"/>
      <c r="T243" s="2"/>
      <c r="X243" s="2"/>
      <c r="Y243" s="2"/>
      <c r="Z243" s="2"/>
      <c r="AA243" s="2"/>
      <c r="AB243" s="2"/>
      <c r="AC243" s="2"/>
      <c r="AG243" s="2"/>
      <c r="AK243" s="2"/>
      <c r="AL243" s="2"/>
      <c r="AM243" s="2"/>
      <c r="AN243" s="3"/>
      <c r="AO243" s="2"/>
      <c r="AU243" s="5"/>
    </row>
    <row r="244" ht="15.75" customHeight="1" spans="1:47">
      <c r="A244" s="2"/>
      <c r="F244" s="2"/>
      <c r="G244" s="2"/>
      <c r="K244" s="2"/>
      <c r="O244" s="2"/>
      <c r="P244" s="2"/>
      <c r="R244" s="2"/>
      <c r="T244" s="2"/>
      <c r="X244" s="2"/>
      <c r="Y244" s="2"/>
      <c r="Z244" s="2"/>
      <c r="AA244" s="2"/>
      <c r="AB244" s="2"/>
      <c r="AC244" s="2"/>
      <c r="AG244" s="2"/>
      <c r="AK244" s="2"/>
      <c r="AL244" s="2"/>
      <c r="AM244" s="2"/>
      <c r="AN244" s="3"/>
      <c r="AO244" s="2"/>
      <c r="AU244" s="5"/>
    </row>
    <row r="245" ht="15.75" customHeight="1" spans="1:47">
      <c r="A245" s="2"/>
      <c r="F245" s="2"/>
      <c r="G245" s="2"/>
      <c r="K245" s="2"/>
      <c r="O245" s="2"/>
      <c r="P245" s="2"/>
      <c r="R245" s="2"/>
      <c r="T245" s="2"/>
      <c r="X245" s="2"/>
      <c r="Y245" s="2"/>
      <c r="Z245" s="2"/>
      <c r="AA245" s="2"/>
      <c r="AB245" s="2"/>
      <c r="AC245" s="2"/>
      <c r="AG245" s="2"/>
      <c r="AK245" s="2"/>
      <c r="AL245" s="2"/>
      <c r="AM245" s="2"/>
      <c r="AN245" s="3"/>
      <c r="AO245" s="2"/>
      <c r="AU245" s="5"/>
    </row>
    <row r="246" ht="15.75" customHeight="1" spans="1:47">
      <c r="A246" s="2"/>
      <c r="F246" s="2"/>
      <c r="G246" s="2"/>
      <c r="K246" s="2"/>
      <c r="O246" s="2"/>
      <c r="P246" s="2"/>
      <c r="R246" s="2"/>
      <c r="T246" s="2"/>
      <c r="X246" s="2"/>
      <c r="Y246" s="2"/>
      <c r="Z246" s="2"/>
      <c r="AA246" s="2"/>
      <c r="AB246" s="2"/>
      <c r="AC246" s="2"/>
      <c r="AG246" s="2"/>
      <c r="AK246" s="2"/>
      <c r="AL246" s="2"/>
      <c r="AM246" s="2"/>
      <c r="AN246" s="3"/>
      <c r="AO246" s="2"/>
      <c r="AU246" s="5"/>
    </row>
    <row r="247" ht="15.75" customHeight="1" spans="1:47">
      <c r="A247" s="2"/>
      <c r="F247" s="2"/>
      <c r="G247" s="2"/>
      <c r="K247" s="2"/>
      <c r="O247" s="2"/>
      <c r="P247" s="2"/>
      <c r="R247" s="2"/>
      <c r="T247" s="2"/>
      <c r="X247" s="2"/>
      <c r="Y247" s="2"/>
      <c r="Z247" s="2"/>
      <c r="AA247" s="2"/>
      <c r="AB247" s="2"/>
      <c r="AC247" s="2"/>
      <c r="AG247" s="2"/>
      <c r="AK247" s="2"/>
      <c r="AL247" s="2"/>
      <c r="AM247" s="2"/>
      <c r="AN247" s="3"/>
      <c r="AO247" s="2"/>
      <c r="AU247" s="5"/>
    </row>
    <row r="248" ht="15.75" customHeight="1" spans="1:47">
      <c r="A248" s="2"/>
      <c r="F248" s="2"/>
      <c r="G248" s="2"/>
      <c r="K248" s="2"/>
      <c r="O248" s="2"/>
      <c r="P248" s="2"/>
      <c r="R248" s="2"/>
      <c r="T248" s="2"/>
      <c r="X248" s="2"/>
      <c r="Y248" s="2"/>
      <c r="Z248" s="2"/>
      <c r="AA248" s="2"/>
      <c r="AB248" s="2"/>
      <c r="AC248" s="2"/>
      <c r="AG248" s="2"/>
      <c r="AK248" s="2"/>
      <c r="AL248" s="2"/>
      <c r="AM248" s="2"/>
      <c r="AN248" s="3"/>
      <c r="AO248" s="2"/>
      <c r="AU248" s="5"/>
    </row>
    <row r="249" ht="15.75" customHeight="1" spans="1:47">
      <c r="A249" s="2"/>
      <c r="F249" s="2"/>
      <c r="G249" s="2"/>
      <c r="K249" s="2"/>
      <c r="O249" s="2"/>
      <c r="P249" s="2"/>
      <c r="R249" s="2"/>
      <c r="T249" s="2"/>
      <c r="X249" s="2"/>
      <c r="Y249" s="2"/>
      <c r="Z249" s="2"/>
      <c r="AA249" s="2"/>
      <c r="AB249" s="2"/>
      <c r="AC249" s="2"/>
      <c r="AG249" s="2"/>
      <c r="AK249" s="2"/>
      <c r="AL249" s="2"/>
      <c r="AM249" s="2"/>
      <c r="AN249" s="3"/>
      <c r="AO249" s="2"/>
      <c r="AU249" s="5"/>
    </row>
    <row r="250" ht="15.75" customHeight="1" spans="1:47">
      <c r="A250" s="2"/>
      <c r="F250" s="2"/>
      <c r="G250" s="2"/>
      <c r="K250" s="2"/>
      <c r="O250" s="2"/>
      <c r="P250" s="2"/>
      <c r="R250" s="2"/>
      <c r="T250" s="2"/>
      <c r="X250" s="2"/>
      <c r="Y250" s="2"/>
      <c r="Z250" s="2"/>
      <c r="AA250" s="2"/>
      <c r="AB250" s="2"/>
      <c r="AC250" s="2"/>
      <c r="AG250" s="2"/>
      <c r="AK250" s="2"/>
      <c r="AL250" s="2"/>
      <c r="AM250" s="2"/>
      <c r="AN250" s="3"/>
      <c r="AO250" s="2"/>
      <c r="AU250" s="5"/>
    </row>
    <row r="251" ht="15.75" customHeight="1" spans="1:47">
      <c r="A251" s="2"/>
      <c r="F251" s="2"/>
      <c r="G251" s="2"/>
      <c r="K251" s="2"/>
      <c r="O251" s="2"/>
      <c r="P251" s="2"/>
      <c r="R251" s="2"/>
      <c r="T251" s="2"/>
      <c r="X251" s="2"/>
      <c r="Y251" s="2"/>
      <c r="Z251" s="2"/>
      <c r="AA251" s="2"/>
      <c r="AB251" s="2"/>
      <c r="AC251" s="2"/>
      <c r="AG251" s="2"/>
      <c r="AK251" s="2"/>
      <c r="AL251" s="2"/>
      <c r="AM251" s="2"/>
      <c r="AN251" s="3"/>
      <c r="AO251" s="2"/>
      <c r="AU251" s="5"/>
    </row>
    <row r="252" ht="15.75" customHeight="1" spans="1:47">
      <c r="A252" s="2"/>
      <c r="F252" s="2"/>
      <c r="G252" s="2"/>
      <c r="K252" s="2"/>
      <c r="O252" s="2"/>
      <c r="P252" s="2"/>
      <c r="R252" s="2"/>
      <c r="T252" s="2"/>
      <c r="X252" s="2"/>
      <c r="Y252" s="2"/>
      <c r="Z252" s="2"/>
      <c r="AA252" s="2"/>
      <c r="AB252" s="2"/>
      <c r="AC252" s="2"/>
      <c r="AG252" s="2"/>
      <c r="AK252" s="2"/>
      <c r="AL252" s="2"/>
      <c r="AM252" s="2"/>
      <c r="AN252" s="3"/>
      <c r="AO252" s="2"/>
      <c r="AU252" s="5"/>
    </row>
    <row r="253" ht="15.75" customHeight="1" spans="1:47">
      <c r="A253" s="2"/>
      <c r="F253" s="2"/>
      <c r="G253" s="2"/>
      <c r="K253" s="2"/>
      <c r="O253" s="2"/>
      <c r="P253" s="2"/>
      <c r="R253" s="2"/>
      <c r="T253" s="2"/>
      <c r="X253" s="2"/>
      <c r="Y253" s="2"/>
      <c r="Z253" s="2"/>
      <c r="AA253" s="2"/>
      <c r="AB253" s="2"/>
      <c r="AC253" s="2"/>
      <c r="AG253" s="2"/>
      <c r="AK253" s="2"/>
      <c r="AL253" s="2"/>
      <c r="AM253" s="2"/>
      <c r="AN253" s="3"/>
      <c r="AO253" s="2"/>
      <c r="AU253" s="5"/>
    </row>
    <row r="254" ht="15.75" customHeight="1" spans="1:47">
      <c r="A254" s="2"/>
      <c r="F254" s="2"/>
      <c r="G254" s="2"/>
      <c r="K254" s="2"/>
      <c r="O254" s="2"/>
      <c r="P254" s="2"/>
      <c r="R254" s="2"/>
      <c r="T254" s="2"/>
      <c r="X254" s="2"/>
      <c r="Y254" s="2"/>
      <c r="Z254" s="2"/>
      <c r="AA254" s="2"/>
      <c r="AB254" s="2"/>
      <c r="AC254" s="2"/>
      <c r="AG254" s="2"/>
      <c r="AK254" s="2"/>
      <c r="AL254" s="2"/>
      <c r="AM254" s="2"/>
      <c r="AN254" s="3"/>
      <c r="AO254" s="2"/>
      <c r="AU254" s="5"/>
    </row>
    <row r="255" ht="15.75" customHeight="1" spans="1:47">
      <c r="A255" s="2"/>
      <c r="F255" s="2"/>
      <c r="G255" s="2"/>
      <c r="K255" s="2"/>
      <c r="O255" s="2"/>
      <c r="P255" s="2"/>
      <c r="R255" s="2"/>
      <c r="T255" s="2"/>
      <c r="X255" s="2"/>
      <c r="Y255" s="2"/>
      <c r="Z255" s="2"/>
      <c r="AA255" s="2"/>
      <c r="AB255" s="2"/>
      <c r="AC255" s="2"/>
      <c r="AG255" s="2"/>
      <c r="AK255" s="2"/>
      <c r="AL255" s="2"/>
      <c r="AM255" s="2"/>
      <c r="AN255" s="3"/>
      <c r="AO255" s="2"/>
      <c r="AU255" s="5"/>
    </row>
    <row r="256" ht="15.75" customHeight="1" spans="1:47">
      <c r="A256" s="2"/>
      <c r="F256" s="2"/>
      <c r="G256" s="2"/>
      <c r="K256" s="2"/>
      <c r="O256" s="2"/>
      <c r="P256" s="2"/>
      <c r="R256" s="2"/>
      <c r="T256" s="2"/>
      <c r="X256" s="2"/>
      <c r="Y256" s="2"/>
      <c r="Z256" s="2"/>
      <c r="AA256" s="2"/>
      <c r="AB256" s="2"/>
      <c r="AC256" s="2"/>
      <c r="AG256" s="2"/>
      <c r="AK256" s="2"/>
      <c r="AL256" s="2"/>
      <c r="AM256" s="2"/>
      <c r="AN256" s="3"/>
      <c r="AO256" s="2"/>
      <c r="AU256" s="5"/>
    </row>
    <row r="257" ht="15.75" customHeight="1" spans="1:47">
      <c r="A257" s="2"/>
      <c r="F257" s="2"/>
      <c r="G257" s="2"/>
      <c r="K257" s="2"/>
      <c r="O257" s="2"/>
      <c r="P257" s="2"/>
      <c r="R257" s="2"/>
      <c r="T257" s="2"/>
      <c r="X257" s="2"/>
      <c r="Y257" s="2"/>
      <c r="Z257" s="2"/>
      <c r="AA257" s="2"/>
      <c r="AB257" s="2"/>
      <c r="AC257" s="2"/>
      <c r="AG257" s="2"/>
      <c r="AK257" s="2"/>
      <c r="AL257" s="2"/>
      <c r="AM257" s="2"/>
      <c r="AN257" s="3"/>
      <c r="AO257" s="2"/>
      <c r="AU257" s="5"/>
    </row>
    <row r="258" ht="15.75" customHeight="1" spans="1:47">
      <c r="A258" s="2"/>
      <c r="F258" s="2"/>
      <c r="G258" s="2"/>
      <c r="K258" s="2"/>
      <c r="O258" s="2"/>
      <c r="P258" s="2"/>
      <c r="R258" s="2"/>
      <c r="T258" s="2"/>
      <c r="X258" s="2"/>
      <c r="Y258" s="2"/>
      <c r="Z258" s="2"/>
      <c r="AA258" s="2"/>
      <c r="AB258" s="2"/>
      <c r="AC258" s="2"/>
      <c r="AG258" s="2"/>
      <c r="AK258" s="2"/>
      <c r="AL258" s="2"/>
      <c r="AM258" s="2"/>
      <c r="AN258" s="3"/>
      <c r="AO258" s="2"/>
      <c r="AU258" s="5"/>
    </row>
    <row r="259" ht="15.75" customHeight="1" spans="1:47">
      <c r="A259" s="2"/>
      <c r="F259" s="2"/>
      <c r="G259" s="2"/>
      <c r="K259" s="2"/>
      <c r="O259" s="2"/>
      <c r="P259" s="2"/>
      <c r="R259" s="2"/>
      <c r="T259" s="2"/>
      <c r="X259" s="2"/>
      <c r="Y259" s="2"/>
      <c r="Z259" s="2"/>
      <c r="AA259" s="2"/>
      <c r="AB259" s="2"/>
      <c r="AC259" s="2"/>
      <c r="AG259" s="2"/>
      <c r="AK259" s="2"/>
      <c r="AL259" s="2"/>
      <c r="AM259" s="2"/>
      <c r="AN259" s="3"/>
      <c r="AO259" s="2"/>
      <c r="AU259" s="5"/>
    </row>
    <row r="260" ht="15.75" customHeight="1" spans="1:47">
      <c r="A260" s="2"/>
      <c r="F260" s="2"/>
      <c r="G260" s="2"/>
      <c r="K260" s="2"/>
      <c r="O260" s="2"/>
      <c r="P260" s="2"/>
      <c r="R260" s="2"/>
      <c r="T260" s="2"/>
      <c r="X260" s="2"/>
      <c r="Y260" s="2"/>
      <c r="Z260" s="2"/>
      <c r="AA260" s="2"/>
      <c r="AB260" s="2"/>
      <c r="AC260" s="2"/>
      <c r="AG260" s="2"/>
      <c r="AK260" s="2"/>
      <c r="AL260" s="2"/>
      <c r="AM260" s="2"/>
      <c r="AN260" s="3"/>
      <c r="AO260" s="2"/>
      <c r="AU260" s="5"/>
    </row>
    <row r="261" ht="15.75" customHeight="1" spans="1:47">
      <c r="A261" s="2"/>
      <c r="F261" s="2"/>
      <c r="G261" s="2"/>
      <c r="K261" s="2"/>
      <c r="O261" s="2"/>
      <c r="P261" s="2"/>
      <c r="R261" s="2"/>
      <c r="T261" s="2"/>
      <c r="X261" s="2"/>
      <c r="Y261" s="2"/>
      <c r="Z261" s="2"/>
      <c r="AA261" s="2"/>
      <c r="AB261" s="2"/>
      <c r="AC261" s="2"/>
      <c r="AG261" s="2"/>
      <c r="AK261" s="2"/>
      <c r="AL261" s="2"/>
      <c r="AM261" s="2"/>
      <c r="AN261" s="3"/>
      <c r="AO261" s="2"/>
      <c r="AU261" s="5"/>
    </row>
    <row r="262" ht="15.75" customHeight="1" spans="1:47">
      <c r="A262" s="2"/>
      <c r="F262" s="2"/>
      <c r="G262" s="2"/>
      <c r="K262" s="2"/>
      <c r="O262" s="2"/>
      <c r="P262" s="2"/>
      <c r="R262" s="2"/>
      <c r="T262" s="2"/>
      <c r="X262" s="2"/>
      <c r="Y262" s="2"/>
      <c r="Z262" s="2"/>
      <c r="AA262" s="2"/>
      <c r="AB262" s="2"/>
      <c r="AC262" s="2"/>
      <c r="AG262" s="2"/>
      <c r="AK262" s="2"/>
      <c r="AL262" s="2"/>
      <c r="AM262" s="2"/>
      <c r="AN262" s="3"/>
      <c r="AO262" s="2"/>
      <c r="AU262" s="5"/>
    </row>
    <row r="263" ht="15.75" customHeight="1" spans="1:47">
      <c r="A263" s="2"/>
      <c r="F263" s="2"/>
      <c r="G263" s="2"/>
      <c r="K263" s="2"/>
      <c r="O263" s="2"/>
      <c r="P263" s="2"/>
      <c r="R263" s="2"/>
      <c r="T263" s="2"/>
      <c r="X263" s="2"/>
      <c r="Y263" s="2"/>
      <c r="Z263" s="2"/>
      <c r="AA263" s="2"/>
      <c r="AB263" s="2"/>
      <c r="AC263" s="2"/>
      <c r="AG263" s="2"/>
      <c r="AK263" s="2"/>
      <c r="AL263" s="2"/>
      <c r="AM263" s="2"/>
      <c r="AN263" s="3"/>
      <c r="AO263" s="2"/>
      <c r="AU263" s="5"/>
    </row>
    <row r="264" ht="15.75" customHeight="1" spans="1:47">
      <c r="A264" s="2"/>
      <c r="F264" s="2"/>
      <c r="G264" s="2"/>
      <c r="K264" s="2"/>
      <c r="O264" s="2"/>
      <c r="P264" s="2"/>
      <c r="R264" s="2"/>
      <c r="T264" s="2"/>
      <c r="X264" s="2"/>
      <c r="Y264" s="2"/>
      <c r="Z264" s="2"/>
      <c r="AA264" s="2"/>
      <c r="AB264" s="2"/>
      <c r="AC264" s="2"/>
      <c r="AG264" s="2"/>
      <c r="AK264" s="2"/>
      <c r="AL264" s="2"/>
      <c r="AM264" s="2"/>
      <c r="AN264" s="3"/>
      <c r="AO264" s="2"/>
      <c r="AU264" s="5"/>
    </row>
    <row r="265" ht="15.75" customHeight="1" spans="1:47">
      <c r="A265" s="2"/>
      <c r="F265" s="2"/>
      <c r="G265" s="2"/>
      <c r="K265" s="2"/>
      <c r="O265" s="2"/>
      <c r="P265" s="2"/>
      <c r="R265" s="2"/>
      <c r="T265" s="2"/>
      <c r="X265" s="2"/>
      <c r="Y265" s="2"/>
      <c r="Z265" s="2"/>
      <c r="AA265" s="2"/>
      <c r="AB265" s="2"/>
      <c r="AC265" s="2"/>
      <c r="AG265" s="2"/>
      <c r="AK265" s="2"/>
      <c r="AL265" s="2"/>
      <c r="AM265" s="2"/>
      <c r="AN265" s="3"/>
      <c r="AO265" s="2"/>
      <c r="AU265" s="5"/>
    </row>
    <row r="266" ht="15.75" customHeight="1" spans="1:47">
      <c r="A266" s="2"/>
      <c r="F266" s="2"/>
      <c r="G266" s="2"/>
      <c r="K266" s="2"/>
      <c r="O266" s="2"/>
      <c r="P266" s="2"/>
      <c r="R266" s="2"/>
      <c r="T266" s="2"/>
      <c r="X266" s="2"/>
      <c r="Y266" s="2"/>
      <c r="Z266" s="2"/>
      <c r="AA266" s="2"/>
      <c r="AB266" s="2"/>
      <c r="AC266" s="2"/>
      <c r="AG266" s="2"/>
      <c r="AK266" s="2"/>
      <c r="AL266" s="2"/>
      <c r="AM266" s="2"/>
      <c r="AN266" s="3"/>
      <c r="AO266" s="2"/>
      <c r="AU266" s="5"/>
    </row>
    <row r="267" ht="15.75" customHeight="1" spans="1:47">
      <c r="A267" s="2"/>
      <c r="F267" s="2"/>
      <c r="G267" s="2"/>
      <c r="K267" s="2"/>
      <c r="O267" s="2"/>
      <c r="P267" s="2"/>
      <c r="R267" s="2"/>
      <c r="T267" s="2"/>
      <c r="X267" s="2"/>
      <c r="Y267" s="2"/>
      <c r="Z267" s="2"/>
      <c r="AA267" s="2"/>
      <c r="AB267" s="2"/>
      <c r="AC267" s="2"/>
      <c r="AG267" s="2"/>
      <c r="AK267" s="2"/>
      <c r="AL267" s="2"/>
      <c r="AM267" s="2"/>
      <c r="AN267" s="3"/>
      <c r="AO267" s="2"/>
      <c r="AU267" s="5"/>
    </row>
    <row r="268" ht="15.75" customHeight="1" spans="1:47">
      <c r="A268" s="2"/>
      <c r="F268" s="2"/>
      <c r="G268" s="2"/>
      <c r="K268" s="2"/>
      <c r="O268" s="2"/>
      <c r="P268" s="2"/>
      <c r="R268" s="2"/>
      <c r="T268" s="2"/>
      <c r="X268" s="2"/>
      <c r="Y268" s="2"/>
      <c r="Z268" s="2"/>
      <c r="AA268" s="2"/>
      <c r="AB268" s="2"/>
      <c r="AC268" s="2"/>
      <c r="AG268" s="2"/>
      <c r="AK268" s="2"/>
      <c r="AL268" s="2"/>
      <c r="AM268" s="2"/>
      <c r="AN268" s="3"/>
      <c r="AO268" s="2"/>
      <c r="AU268" s="5"/>
    </row>
    <row r="269" ht="15.75" customHeight="1" spans="1:47">
      <c r="A269" s="2"/>
      <c r="F269" s="2"/>
      <c r="G269" s="2"/>
      <c r="K269" s="2"/>
      <c r="O269" s="2"/>
      <c r="P269" s="2"/>
      <c r="R269" s="2"/>
      <c r="T269" s="2"/>
      <c r="X269" s="2"/>
      <c r="Y269" s="2"/>
      <c r="Z269" s="2"/>
      <c r="AA269" s="2"/>
      <c r="AB269" s="2"/>
      <c r="AC269" s="2"/>
      <c r="AG269" s="2"/>
      <c r="AK269" s="2"/>
      <c r="AL269" s="2"/>
      <c r="AM269" s="2"/>
      <c r="AN269" s="3"/>
      <c r="AO269" s="2"/>
      <c r="AU269" s="5"/>
    </row>
    <row r="270" ht="15.75" customHeight="1" spans="1:47">
      <c r="A270" s="2"/>
      <c r="F270" s="2"/>
      <c r="G270" s="2"/>
      <c r="K270" s="2"/>
      <c r="O270" s="2"/>
      <c r="P270" s="2"/>
      <c r="R270" s="2"/>
      <c r="T270" s="2"/>
      <c r="X270" s="2"/>
      <c r="Y270" s="2"/>
      <c r="Z270" s="2"/>
      <c r="AA270" s="2"/>
      <c r="AB270" s="2"/>
      <c r="AC270" s="2"/>
      <c r="AG270" s="2"/>
      <c r="AK270" s="2"/>
      <c r="AL270" s="2"/>
      <c r="AM270" s="2"/>
      <c r="AN270" s="3"/>
      <c r="AO270" s="2"/>
      <c r="AU270" s="5"/>
    </row>
    <row r="271" ht="15.75" customHeight="1" spans="1:47">
      <c r="A271" s="2"/>
      <c r="F271" s="2"/>
      <c r="G271" s="2"/>
      <c r="K271" s="2"/>
      <c r="O271" s="2"/>
      <c r="P271" s="2"/>
      <c r="R271" s="2"/>
      <c r="T271" s="2"/>
      <c r="X271" s="2"/>
      <c r="Y271" s="2"/>
      <c r="Z271" s="2"/>
      <c r="AA271" s="2"/>
      <c r="AB271" s="2"/>
      <c r="AC271" s="2"/>
      <c r="AG271" s="2"/>
      <c r="AK271" s="2"/>
      <c r="AL271" s="2"/>
      <c r="AM271" s="2"/>
      <c r="AN271" s="3"/>
      <c r="AO271" s="2"/>
      <c r="AU271" s="5"/>
    </row>
    <row r="272" ht="15.75" customHeight="1" spans="1:47">
      <c r="A272" s="2"/>
      <c r="F272" s="2"/>
      <c r="G272" s="2"/>
      <c r="K272" s="2"/>
      <c r="O272" s="2"/>
      <c r="P272" s="2"/>
      <c r="R272" s="2"/>
      <c r="T272" s="2"/>
      <c r="X272" s="2"/>
      <c r="Y272" s="2"/>
      <c r="Z272" s="2"/>
      <c r="AA272" s="2"/>
      <c r="AB272" s="2"/>
      <c r="AC272" s="2"/>
      <c r="AG272" s="2"/>
      <c r="AK272" s="2"/>
      <c r="AL272" s="2"/>
      <c r="AM272" s="2"/>
      <c r="AN272" s="3"/>
      <c r="AO272" s="2"/>
      <c r="AU272" s="5"/>
    </row>
    <row r="273" ht="15.75" customHeight="1" spans="1:47">
      <c r="A273" s="2"/>
      <c r="F273" s="2"/>
      <c r="G273" s="2"/>
      <c r="K273" s="2"/>
      <c r="O273" s="2"/>
      <c r="P273" s="2"/>
      <c r="R273" s="2"/>
      <c r="T273" s="2"/>
      <c r="X273" s="2"/>
      <c r="Y273" s="2"/>
      <c r="Z273" s="2"/>
      <c r="AA273" s="2"/>
      <c r="AB273" s="2"/>
      <c r="AC273" s="2"/>
      <c r="AG273" s="2"/>
      <c r="AK273" s="2"/>
      <c r="AL273" s="2"/>
      <c r="AM273" s="2"/>
      <c r="AN273" s="3"/>
      <c r="AO273" s="2"/>
      <c r="AU273" s="5"/>
    </row>
    <row r="274" ht="15.75" customHeight="1" spans="1:47">
      <c r="A274" s="2"/>
      <c r="F274" s="2"/>
      <c r="G274" s="2"/>
      <c r="K274" s="2"/>
      <c r="O274" s="2"/>
      <c r="P274" s="2"/>
      <c r="R274" s="2"/>
      <c r="T274" s="2"/>
      <c r="X274" s="2"/>
      <c r="Y274" s="2"/>
      <c r="Z274" s="2"/>
      <c r="AA274" s="2"/>
      <c r="AB274" s="2"/>
      <c r="AC274" s="2"/>
      <c r="AG274" s="2"/>
      <c r="AK274" s="2"/>
      <c r="AL274" s="2"/>
      <c r="AM274" s="2"/>
      <c r="AN274" s="3"/>
      <c r="AO274" s="2"/>
      <c r="AU274" s="5"/>
    </row>
    <row r="275" ht="15.75" customHeight="1" spans="1:47">
      <c r="A275" s="2"/>
      <c r="F275" s="2"/>
      <c r="G275" s="2"/>
      <c r="K275" s="2"/>
      <c r="O275" s="2"/>
      <c r="P275" s="2"/>
      <c r="R275" s="2"/>
      <c r="T275" s="2"/>
      <c r="X275" s="2"/>
      <c r="Y275" s="2"/>
      <c r="Z275" s="2"/>
      <c r="AA275" s="2"/>
      <c r="AB275" s="2"/>
      <c r="AC275" s="2"/>
      <c r="AG275" s="2"/>
      <c r="AK275" s="2"/>
      <c r="AL275" s="2"/>
      <c r="AM275" s="2"/>
      <c r="AN275" s="3"/>
      <c r="AO275" s="2"/>
      <c r="AU275" s="5"/>
    </row>
    <row r="276" ht="15.75" customHeight="1" spans="1:47">
      <c r="A276" s="2"/>
      <c r="F276" s="2"/>
      <c r="G276" s="2"/>
      <c r="K276" s="2"/>
      <c r="O276" s="2"/>
      <c r="P276" s="2"/>
      <c r="R276" s="2"/>
      <c r="T276" s="2"/>
      <c r="X276" s="2"/>
      <c r="Y276" s="2"/>
      <c r="Z276" s="2"/>
      <c r="AA276" s="2"/>
      <c r="AB276" s="2"/>
      <c r="AC276" s="2"/>
      <c r="AG276" s="2"/>
      <c r="AK276" s="2"/>
      <c r="AL276" s="2"/>
      <c r="AM276" s="2"/>
      <c r="AN276" s="3"/>
      <c r="AO276" s="2"/>
      <c r="AU276" s="5"/>
    </row>
    <row r="277" ht="15.75" customHeight="1" spans="1:47">
      <c r="A277" s="2"/>
      <c r="F277" s="2"/>
      <c r="G277" s="2"/>
      <c r="K277" s="2"/>
      <c r="O277" s="2"/>
      <c r="P277" s="2"/>
      <c r="R277" s="2"/>
      <c r="T277" s="2"/>
      <c r="X277" s="2"/>
      <c r="Y277" s="2"/>
      <c r="Z277" s="2"/>
      <c r="AA277" s="2"/>
      <c r="AB277" s="2"/>
      <c r="AC277" s="2"/>
      <c r="AG277" s="2"/>
      <c r="AK277" s="2"/>
      <c r="AL277" s="2"/>
      <c r="AM277" s="2"/>
      <c r="AN277" s="3"/>
      <c r="AO277" s="2"/>
      <c r="AU277" s="5"/>
    </row>
    <row r="278" ht="15.75" customHeight="1" spans="1:47">
      <c r="A278" s="2"/>
      <c r="F278" s="2"/>
      <c r="G278" s="2"/>
      <c r="K278" s="2"/>
      <c r="O278" s="2"/>
      <c r="P278" s="2"/>
      <c r="R278" s="2"/>
      <c r="T278" s="2"/>
      <c r="X278" s="2"/>
      <c r="Y278" s="2"/>
      <c r="Z278" s="2"/>
      <c r="AA278" s="2"/>
      <c r="AB278" s="2"/>
      <c r="AC278" s="2"/>
      <c r="AG278" s="2"/>
      <c r="AK278" s="2"/>
      <c r="AL278" s="2"/>
      <c r="AM278" s="2"/>
      <c r="AN278" s="3"/>
      <c r="AO278" s="2"/>
      <c r="AU278" s="5"/>
    </row>
    <row r="279" ht="15.75" customHeight="1" spans="1:47">
      <c r="A279" s="2"/>
      <c r="F279" s="2"/>
      <c r="G279" s="2"/>
      <c r="K279" s="2"/>
      <c r="O279" s="2"/>
      <c r="P279" s="2"/>
      <c r="R279" s="2"/>
      <c r="T279" s="2"/>
      <c r="X279" s="2"/>
      <c r="Y279" s="2"/>
      <c r="Z279" s="2"/>
      <c r="AA279" s="2"/>
      <c r="AB279" s="2"/>
      <c r="AC279" s="2"/>
      <c r="AG279" s="2"/>
      <c r="AK279" s="2"/>
      <c r="AL279" s="2"/>
      <c r="AM279" s="2"/>
      <c r="AN279" s="3"/>
      <c r="AO279" s="2"/>
      <c r="AU279" s="5"/>
    </row>
    <row r="280" ht="15.75" customHeight="1" spans="1:47">
      <c r="A280" s="2"/>
      <c r="F280" s="2"/>
      <c r="G280" s="2"/>
      <c r="K280" s="2"/>
      <c r="O280" s="2"/>
      <c r="P280" s="2"/>
      <c r="R280" s="2"/>
      <c r="T280" s="2"/>
      <c r="X280" s="2"/>
      <c r="Y280" s="2"/>
      <c r="Z280" s="2"/>
      <c r="AA280" s="2"/>
      <c r="AB280" s="2"/>
      <c r="AC280" s="2"/>
      <c r="AG280" s="2"/>
      <c r="AK280" s="2"/>
      <c r="AL280" s="2"/>
      <c r="AM280" s="2"/>
      <c r="AN280" s="3"/>
      <c r="AO280" s="2"/>
      <c r="AU280" s="5"/>
    </row>
    <row r="281" ht="15.75" customHeight="1" spans="1:47">
      <c r="A281" s="2"/>
      <c r="F281" s="2"/>
      <c r="G281" s="2"/>
      <c r="K281" s="2"/>
      <c r="O281" s="2"/>
      <c r="P281" s="2"/>
      <c r="R281" s="2"/>
      <c r="T281" s="2"/>
      <c r="X281" s="2"/>
      <c r="Y281" s="2"/>
      <c r="Z281" s="2"/>
      <c r="AA281" s="2"/>
      <c r="AB281" s="2"/>
      <c r="AC281" s="2"/>
      <c r="AG281" s="2"/>
      <c r="AK281" s="2"/>
      <c r="AL281" s="2"/>
      <c r="AM281" s="2"/>
      <c r="AN281" s="3"/>
      <c r="AO281" s="2"/>
      <c r="AU281" s="5"/>
    </row>
    <row r="282" ht="15.75" customHeight="1" spans="1:47">
      <c r="A282" s="2"/>
      <c r="F282" s="2"/>
      <c r="G282" s="2"/>
      <c r="K282" s="2"/>
      <c r="O282" s="2"/>
      <c r="P282" s="2"/>
      <c r="R282" s="2"/>
      <c r="T282" s="2"/>
      <c r="X282" s="2"/>
      <c r="Y282" s="2"/>
      <c r="Z282" s="2"/>
      <c r="AA282" s="2"/>
      <c r="AB282" s="2"/>
      <c r="AC282" s="2"/>
      <c r="AG282" s="2"/>
      <c r="AK282" s="2"/>
      <c r="AL282" s="2"/>
      <c r="AM282" s="2"/>
      <c r="AN282" s="3"/>
      <c r="AO282" s="2"/>
      <c r="AU282" s="5"/>
    </row>
    <row r="283" ht="15.75" customHeight="1" spans="1:47">
      <c r="A283" s="2"/>
      <c r="F283" s="2"/>
      <c r="G283" s="2"/>
      <c r="K283" s="2"/>
      <c r="O283" s="2"/>
      <c r="P283" s="2"/>
      <c r="R283" s="2"/>
      <c r="T283" s="2"/>
      <c r="X283" s="2"/>
      <c r="Y283" s="2"/>
      <c r="Z283" s="2"/>
      <c r="AA283" s="2"/>
      <c r="AB283" s="2"/>
      <c r="AC283" s="2"/>
      <c r="AG283" s="2"/>
      <c r="AK283" s="2"/>
      <c r="AL283" s="2"/>
      <c r="AM283" s="2"/>
      <c r="AN283" s="3"/>
      <c r="AO283" s="2"/>
      <c r="AU283" s="5"/>
    </row>
    <row r="284" ht="15.75" customHeight="1" spans="1:47">
      <c r="A284" s="2"/>
      <c r="F284" s="2"/>
      <c r="G284" s="2"/>
      <c r="K284" s="2"/>
      <c r="O284" s="2"/>
      <c r="P284" s="2"/>
      <c r="R284" s="2"/>
      <c r="T284" s="2"/>
      <c r="X284" s="2"/>
      <c r="Y284" s="2"/>
      <c r="Z284" s="2"/>
      <c r="AA284" s="2"/>
      <c r="AB284" s="2"/>
      <c r="AC284" s="2"/>
      <c r="AG284" s="2"/>
      <c r="AK284" s="2"/>
      <c r="AL284" s="2"/>
      <c r="AM284" s="2"/>
      <c r="AN284" s="3"/>
      <c r="AO284" s="2"/>
      <c r="AU284" s="5"/>
    </row>
    <row r="285" ht="15.75" customHeight="1" spans="1:47">
      <c r="A285" s="2"/>
      <c r="F285" s="2"/>
      <c r="G285" s="2"/>
      <c r="K285" s="2"/>
      <c r="O285" s="2"/>
      <c r="P285" s="2"/>
      <c r="R285" s="2"/>
      <c r="T285" s="2"/>
      <c r="X285" s="2"/>
      <c r="Y285" s="2"/>
      <c r="Z285" s="2"/>
      <c r="AA285" s="2"/>
      <c r="AB285" s="2"/>
      <c r="AC285" s="2"/>
      <c r="AG285" s="2"/>
      <c r="AK285" s="2"/>
      <c r="AL285" s="2"/>
      <c r="AM285" s="2"/>
      <c r="AN285" s="3"/>
      <c r="AO285" s="2"/>
      <c r="AU285" s="5"/>
    </row>
    <row r="286" ht="15.75" customHeight="1" spans="1:47">
      <c r="A286" s="2"/>
      <c r="F286" s="2"/>
      <c r="G286" s="2"/>
      <c r="K286" s="2"/>
      <c r="O286" s="2"/>
      <c r="P286" s="2"/>
      <c r="R286" s="2"/>
      <c r="T286" s="2"/>
      <c r="X286" s="2"/>
      <c r="Y286" s="2"/>
      <c r="Z286" s="2"/>
      <c r="AA286" s="2"/>
      <c r="AB286" s="2"/>
      <c r="AC286" s="2"/>
      <c r="AG286" s="2"/>
      <c r="AK286" s="2"/>
      <c r="AL286" s="2"/>
      <c r="AM286" s="2"/>
      <c r="AN286" s="3"/>
      <c r="AO286" s="2"/>
      <c r="AU286" s="5"/>
    </row>
    <row r="287" ht="15.75" customHeight="1" spans="1:47">
      <c r="A287" s="2"/>
      <c r="F287" s="2"/>
      <c r="G287" s="2"/>
      <c r="K287" s="2"/>
      <c r="O287" s="2"/>
      <c r="P287" s="2"/>
      <c r="R287" s="2"/>
      <c r="T287" s="2"/>
      <c r="X287" s="2"/>
      <c r="Y287" s="2"/>
      <c r="Z287" s="2"/>
      <c r="AA287" s="2"/>
      <c r="AB287" s="2"/>
      <c r="AC287" s="2"/>
      <c r="AG287" s="2"/>
      <c r="AK287" s="2"/>
      <c r="AL287" s="2"/>
      <c r="AM287" s="2"/>
      <c r="AN287" s="3"/>
      <c r="AO287" s="2"/>
      <c r="AU287" s="5"/>
    </row>
    <row r="288" ht="15.75" customHeight="1" spans="1:47">
      <c r="A288" s="2"/>
      <c r="F288" s="2"/>
      <c r="G288" s="2"/>
      <c r="K288" s="2"/>
      <c r="O288" s="2"/>
      <c r="P288" s="2"/>
      <c r="R288" s="2"/>
      <c r="T288" s="2"/>
      <c r="X288" s="2"/>
      <c r="Y288" s="2"/>
      <c r="Z288" s="2"/>
      <c r="AA288" s="2"/>
      <c r="AB288" s="2"/>
      <c r="AC288" s="2"/>
      <c r="AG288" s="2"/>
      <c r="AK288" s="2"/>
      <c r="AL288" s="2"/>
      <c r="AM288" s="2"/>
      <c r="AN288" s="3"/>
      <c r="AO288" s="2"/>
      <c r="AU288" s="5"/>
    </row>
    <row r="289" ht="15.75" customHeight="1" spans="1:47">
      <c r="A289" s="2"/>
      <c r="F289" s="2"/>
      <c r="G289" s="2"/>
      <c r="K289" s="2"/>
      <c r="O289" s="2"/>
      <c r="P289" s="2"/>
      <c r="R289" s="2"/>
      <c r="T289" s="2"/>
      <c r="X289" s="2"/>
      <c r="Y289" s="2"/>
      <c r="Z289" s="2"/>
      <c r="AA289" s="2"/>
      <c r="AB289" s="2"/>
      <c r="AC289" s="2"/>
      <c r="AG289" s="2"/>
      <c r="AK289" s="2"/>
      <c r="AL289" s="2"/>
      <c r="AM289" s="2"/>
      <c r="AN289" s="3"/>
      <c r="AO289" s="2"/>
      <c r="AU289" s="5"/>
    </row>
    <row r="290" ht="15.75" customHeight="1" spans="1:47">
      <c r="A290" s="2"/>
      <c r="F290" s="2"/>
      <c r="G290" s="2"/>
      <c r="K290" s="2"/>
      <c r="O290" s="2"/>
      <c r="P290" s="2"/>
      <c r="R290" s="2"/>
      <c r="T290" s="2"/>
      <c r="X290" s="2"/>
      <c r="Y290" s="2"/>
      <c r="Z290" s="2"/>
      <c r="AA290" s="2"/>
      <c r="AB290" s="2"/>
      <c r="AC290" s="2"/>
      <c r="AG290" s="2"/>
      <c r="AK290" s="2"/>
      <c r="AL290" s="2"/>
      <c r="AM290" s="2"/>
      <c r="AN290" s="3"/>
      <c r="AO290" s="2"/>
      <c r="AU290" s="5"/>
    </row>
    <row r="291" ht="15.75" customHeight="1" spans="1:47">
      <c r="A291" s="2"/>
      <c r="F291" s="2"/>
      <c r="G291" s="2"/>
      <c r="K291" s="2"/>
      <c r="O291" s="2"/>
      <c r="P291" s="2"/>
      <c r="R291" s="2"/>
      <c r="T291" s="2"/>
      <c r="X291" s="2"/>
      <c r="Y291" s="2"/>
      <c r="Z291" s="2"/>
      <c r="AA291" s="2"/>
      <c r="AB291" s="2"/>
      <c r="AC291" s="2"/>
      <c r="AG291" s="2"/>
      <c r="AK291" s="2"/>
      <c r="AL291" s="2"/>
      <c r="AM291" s="2"/>
      <c r="AN291" s="3"/>
      <c r="AO291" s="2"/>
      <c r="AU291" s="5"/>
    </row>
    <row r="292" ht="15.75" customHeight="1" spans="1:47">
      <c r="A292" s="2"/>
      <c r="F292" s="2"/>
      <c r="G292" s="2"/>
      <c r="K292" s="2"/>
      <c r="O292" s="2"/>
      <c r="P292" s="2"/>
      <c r="R292" s="2"/>
      <c r="T292" s="2"/>
      <c r="X292" s="2"/>
      <c r="Y292" s="2"/>
      <c r="Z292" s="2"/>
      <c r="AA292" s="2"/>
      <c r="AB292" s="2"/>
      <c r="AC292" s="2"/>
      <c r="AG292" s="2"/>
      <c r="AK292" s="2"/>
      <c r="AL292" s="2"/>
      <c r="AM292" s="2"/>
      <c r="AN292" s="3"/>
      <c r="AO292" s="2"/>
      <c r="AU292" s="5"/>
    </row>
    <row r="293" ht="15.75" customHeight="1" spans="1:47">
      <c r="A293" s="2"/>
      <c r="F293" s="2"/>
      <c r="G293" s="2"/>
      <c r="K293" s="2"/>
      <c r="O293" s="2"/>
      <c r="P293" s="2"/>
      <c r="R293" s="2"/>
      <c r="T293" s="2"/>
      <c r="X293" s="2"/>
      <c r="Y293" s="2"/>
      <c r="Z293" s="2"/>
      <c r="AA293" s="2"/>
      <c r="AB293" s="2"/>
      <c r="AC293" s="2"/>
      <c r="AG293" s="2"/>
      <c r="AK293" s="2"/>
      <c r="AL293" s="2"/>
      <c r="AM293" s="2"/>
      <c r="AN293" s="3"/>
      <c r="AO293" s="2"/>
      <c r="AU293" s="5"/>
    </row>
    <row r="294" ht="15.75" customHeight="1" spans="1:47">
      <c r="A294" s="2"/>
      <c r="F294" s="2"/>
      <c r="G294" s="2"/>
      <c r="K294" s="2"/>
      <c r="O294" s="2"/>
      <c r="P294" s="2"/>
      <c r="R294" s="2"/>
      <c r="T294" s="2"/>
      <c r="X294" s="2"/>
      <c r="Y294" s="2"/>
      <c r="Z294" s="2"/>
      <c r="AA294" s="2"/>
      <c r="AB294" s="2"/>
      <c r="AC294" s="2"/>
      <c r="AG294" s="2"/>
      <c r="AK294" s="2"/>
      <c r="AL294" s="2"/>
      <c r="AM294" s="2"/>
      <c r="AN294" s="3"/>
      <c r="AO294" s="2"/>
      <c r="AU294" s="5"/>
    </row>
    <row r="295" ht="15.75" customHeight="1" spans="1:47">
      <c r="A295" s="2"/>
      <c r="F295" s="2"/>
      <c r="G295" s="2"/>
      <c r="K295" s="2"/>
      <c r="O295" s="2"/>
      <c r="P295" s="2"/>
      <c r="R295" s="2"/>
      <c r="T295" s="2"/>
      <c r="X295" s="2"/>
      <c r="Y295" s="2"/>
      <c r="Z295" s="2"/>
      <c r="AA295" s="2"/>
      <c r="AB295" s="2"/>
      <c r="AC295" s="2"/>
      <c r="AG295" s="2"/>
      <c r="AK295" s="2"/>
      <c r="AL295" s="2"/>
      <c r="AM295" s="2"/>
      <c r="AN295" s="3"/>
      <c r="AO295" s="2"/>
      <c r="AU295" s="5"/>
    </row>
    <row r="296" ht="15.75" customHeight="1" spans="1:47">
      <c r="A296" s="2"/>
      <c r="F296" s="2"/>
      <c r="G296" s="2"/>
      <c r="K296" s="2"/>
      <c r="O296" s="2"/>
      <c r="P296" s="2"/>
      <c r="R296" s="2"/>
      <c r="T296" s="2"/>
      <c r="X296" s="2"/>
      <c r="Y296" s="2"/>
      <c r="Z296" s="2"/>
      <c r="AA296" s="2"/>
      <c r="AB296" s="2"/>
      <c r="AC296" s="2"/>
      <c r="AG296" s="2"/>
      <c r="AK296" s="2"/>
      <c r="AL296" s="2"/>
      <c r="AM296" s="2"/>
      <c r="AN296" s="3"/>
      <c r="AO296" s="2"/>
      <c r="AU296" s="5"/>
    </row>
    <row r="297" ht="15.75" customHeight="1" spans="1:47">
      <c r="A297" s="2"/>
      <c r="F297" s="2"/>
      <c r="G297" s="2"/>
      <c r="K297" s="2"/>
      <c r="O297" s="2"/>
      <c r="P297" s="2"/>
      <c r="R297" s="2"/>
      <c r="T297" s="2"/>
      <c r="X297" s="2"/>
      <c r="Y297" s="2"/>
      <c r="Z297" s="2"/>
      <c r="AA297" s="2"/>
      <c r="AB297" s="2"/>
      <c r="AC297" s="2"/>
      <c r="AG297" s="2"/>
      <c r="AK297" s="2"/>
      <c r="AL297" s="2"/>
      <c r="AM297" s="2"/>
      <c r="AN297" s="3"/>
      <c r="AO297" s="2"/>
      <c r="AU297" s="5"/>
    </row>
    <row r="298" ht="15.75" customHeight="1" spans="1:47">
      <c r="A298" s="2"/>
      <c r="F298" s="2"/>
      <c r="G298" s="2"/>
      <c r="K298" s="2"/>
      <c r="O298" s="2"/>
      <c r="P298" s="2"/>
      <c r="R298" s="2"/>
      <c r="T298" s="2"/>
      <c r="X298" s="2"/>
      <c r="Y298" s="2"/>
      <c r="Z298" s="2"/>
      <c r="AA298" s="2"/>
      <c r="AB298" s="2"/>
      <c r="AC298" s="2"/>
      <c r="AG298" s="2"/>
      <c r="AK298" s="2"/>
      <c r="AL298" s="2"/>
      <c r="AM298" s="2"/>
      <c r="AN298" s="3"/>
      <c r="AO298" s="2"/>
      <c r="AU298" s="5"/>
    </row>
    <row r="299" ht="15.75" customHeight="1" spans="1:47">
      <c r="A299" s="2"/>
      <c r="F299" s="2"/>
      <c r="G299" s="2"/>
      <c r="K299" s="2"/>
      <c r="O299" s="2"/>
      <c r="P299" s="2"/>
      <c r="R299" s="2"/>
      <c r="T299" s="2"/>
      <c r="X299" s="2"/>
      <c r="Y299" s="2"/>
      <c r="Z299" s="2"/>
      <c r="AA299" s="2"/>
      <c r="AB299" s="2"/>
      <c r="AC299" s="2"/>
      <c r="AG299" s="2"/>
      <c r="AK299" s="2"/>
      <c r="AL299" s="2"/>
      <c r="AM299" s="2"/>
      <c r="AN299" s="3"/>
      <c r="AO299" s="2"/>
      <c r="AU299" s="5"/>
    </row>
    <row r="300" ht="15.75" customHeight="1" spans="1:47">
      <c r="A300" s="2"/>
      <c r="F300" s="2"/>
      <c r="G300" s="2"/>
      <c r="K300" s="2"/>
      <c r="O300" s="2"/>
      <c r="P300" s="2"/>
      <c r="R300" s="2"/>
      <c r="T300" s="2"/>
      <c r="X300" s="2"/>
      <c r="Y300" s="2"/>
      <c r="Z300" s="2"/>
      <c r="AA300" s="2"/>
      <c r="AB300" s="2"/>
      <c r="AC300" s="2"/>
      <c r="AG300" s="2"/>
      <c r="AK300" s="2"/>
      <c r="AL300" s="2"/>
      <c r="AM300" s="2"/>
      <c r="AN300" s="3"/>
      <c r="AO300" s="2"/>
      <c r="AU300" s="5"/>
    </row>
    <row r="301" ht="15.75" customHeight="1" spans="1:47">
      <c r="A301" s="2"/>
      <c r="F301" s="2"/>
      <c r="G301" s="2"/>
      <c r="K301" s="2"/>
      <c r="O301" s="2"/>
      <c r="P301" s="2"/>
      <c r="R301" s="2"/>
      <c r="T301" s="2"/>
      <c r="X301" s="2"/>
      <c r="Y301" s="2"/>
      <c r="Z301" s="2"/>
      <c r="AA301" s="2"/>
      <c r="AB301" s="2"/>
      <c r="AC301" s="2"/>
      <c r="AG301" s="2"/>
      <c r="AK301" s="2"/>
      <c r="AL301" s="2"/>
      <c r="AM301" s="2"/>
      <c r="AN301" s="3"/>
      <c r="AO301" s="2"/>
      <c r="AU301" s="5"/>
    </row>
    <row r="302" ht="15.75" customHeight="1" spans="1:47">
      <c r="A302" s="2"/>
      <c r="F302" s="2"/>
      <c r="G302" s="2"/>
      <c r="K302" s="2"/>
      <c r="O302" s="2"/>
      <c r="P302" s="2"/>
      <c r="R302" s="2"/>
      <c r="T302" s="2"/>
      <c r="X302" s="2"/>
      <c r="Y302" s="2"/>
      <c r="Z302" s="2"/>
      <c r="AA302" s="2"/>
      <c r="AB302" s="2"/>
      <c r="AC302" s="2"/>
      <c r="AG302" s="2"/>
      <c r="AK302" s="2"/>
      <c r="AL302" s="2"/>
      <c r="AM302" s="2"/>
      <c r="AN302" s="3"/>
      <c r="AO302" s="2"/>
      <c r="AU302" s="5"/>
    </row>
    <row r="303" ht="15.75" customHeight="1" spans="1:47">
      <c r="A303" s="2"/>
      <c r="F303" s="2"/>
      <c r="G303" s="2"/>
      <c r="K303" s="2"/>
      <c r="O303" s="2"/>
      <c r="P303" s="2"/>
      <c r="R303" s="2"/>
      <c r="T303" s="2"/>
      <c r="X303" s="2"/>
      <c r="Y303" s="2"/>
      <c r="Z303" s="2"/>
      <c r="AA303" s="2"/>
      <c r="AB303" s="2"/>
      <c r="AC303" s="2"/>
      <c r="AG303" s="2"/>
      <c r="AK303" s="2"/>
      <c r="AL303" s="2"/>
      <c r="AM303" s="2"/>
      <c r="AN303" s="3"/>
      <c r="AO303" s="2"/>
      <c r="AU303" s="5"/>
    </row>
    <row r="304" ht="15.75" customHeight="1" spans="1:47">
      <c r="A304" s="2"/>
      <c r="F304" s="2"/>
      <c r="G304" s="2"/>
      <c r="K304" s="2"/>
      <c r="O304" s="2"/>
      <c r="P304" s="2"/>
      <c r="R304" s="2"/>
      <c r="T304" s="2"/>
      <c r="X304" s="2"/>
      <c r="Y304" s="2"/>
      <c r="Z304" s="2"/>
      <c r="AA304" s="2"/>
      <c r="AB304" s="2"/>
      <c r="AC304" s="2"/>
      <c r="AG304" s="2"/>
      <c r="AK304" s="2"/>
      <c r="AL304" s="2"/>
      <c r="AM304" s="2"/>
      <c r="AN304" s="3"/>
      <c r="AO304" s="2"/>
      <c r="AU304" s="5"/>
    </row>
    <row r="305" ht="15.75" customHeight="1" spans="1:47">
      <c r="A305" s="2"/>
      <c r="F305" s="2"/>
      <c r="G305" s="2"/>
      <c r="K305" s="2"/>
      <c r="O305" s="2"/>
      <c r="P305" s="2"/>
      <c r="R305" s="2"/>
      <c r="T305" s="2"/>
      <c r="X305" s="2"/>
      <c r="Y305" s="2"/>
      <c r="Z305" s="2"/>
      <c r="AA305" s="2"/>
      <c r="AB305" s="2"/>
      <c r="AC305" s="2"/>
      <c r="AG305" s="2"/>
      <c r="AK305" s="2"/>
      <c r="AL305" s="2"/>
      <c r="AM305" s="2"/>
      <c r="AN305" s="3"/>
      <c r="AO305" s="2"/>
      <c r="AU305" s="5"/>
    </row>
    <row r="306" ht="15.75" customHeight="1" spans="1:47">
      <c r="A306" s="2"/>
      <c r="F306" s="2"/>
      <c r="G306" s="2"/>
      <c r="K306" s="2"/>
      <c r="O306" s="2"/>
      <c r="P306" s="2"/>
      <c r="R306" s="2"/>
      <c r="T306" s="2"/>
      <c r="X306" s="2"/>
      <c r="Y306" s="2"/>
      <c r="Z306" s="2"/>
      <c r="AA306" s="2"/>
      <c r="AB306" s="2"/>
      <c r="AC306" s="2"/>
      <c r="AG306" s="2"/>
      <c r="AK306" s="2"/>
      <c r="AL306" s="2"/>
      <c r="AM306" s="2"/>
      <c r="AN306" s="3"/>
      <c r="AO306" s="2"/>
      <c r="AU306" s="5"/>
    </row>
    <row r="307" ht="15.75" customHeight="1" spans="1:47">
      <c r="A307" s="2"/>
      <c r="F307" s="2"/>
      <c r="G307" s="2"/>
      <c r="K307" s="2"/>
      <c r="O307" s="2"/>
      <c r="P307" s="2"/>
      <c r="R307" s="2"/>
      <c r="T307" s="2"/>
      <c r="X307" s="2"/>
      <c r="Y307" s="2"/>
      <c r="Z307" s="2"/>
      <c r="AA307" s="2"/>
      <c r="AB307" s="2"/>
      <c r="AC307" s="2"/>
      <c r="AG307" s="2"/>
      <c r="AK307" s="2"/>
      <c r="AL307" s="2"/>
      <c r="AM307" s="2"/>
      <c r="AN307" s="3"/>
      <c r="AO307" s="2"/>
      <c r="AU307" s="5"/>
    </row>
    <row r="308" ht="15.75" customHeight="1" spans="1:47">
      <c r="A308" s="2"/>
      <c r="F308" s="2"/>
      <c r="G308" s="2"/>
      <c r="K308" s="2"/>
      <c r="O308" s="2"/>
      <c r="P308" s="2"/>
      <c r="R308" s="2"/>
      <c r="T308" s="2"/>
      <c r="X308" s="2"/>
      <c r="Y308" s="2"/>
      <c r="Z308" s="2"/>
      <c r="AA308" s="2"/>
      <c r="AB308" s="2"/>
      <c r="AC308" s="2"/>
      <c r="AG308" s="2"/>
      <c r="AK308" s="2"/>
      <c r="AL308" s="2"/>
      <c r="AM308" s="2"/>
      <c r="AN308" s="3"/>
      <c r="AO308" s="2"/>
      <c r="AU308" s="5"/>
    </row>
    <row r="309" ht="15.75" customHeight="1" spans="1:47">
      <c r="A309" s="2"/>
      <c r="F309" s="2"/>
      <c r="G309" s="2"/>
      <c r="K309" s="2"/>
      <c r="O309" s="2"/>
      <c r="P309" s="2"/>
      <c r="R309" s="2"/>
      <c r="T309" s="2"/>
      <c r="X309" s="2"/>
      <c r="Y309" s="2"/>
      <c r="Z309" s="2"/>
      <c r="AA309" s="2"/>
      <c r="AB309" s="2"/>
      <c r="AC309" s="2"/>
      <c r="AG309" s="2"/>
      <c r="AK309" s="2"/>
      <c r="AL309" s="2"/>
      <c r="AM309" s="2"/>
      <c r="AN309" s="3"/>
      <c r="AO309" s="2"/>
      <c r="AU309" s="5"/>
    </row>
    <row r="310" ht="15.75" customHeight="1" spans="1:47">
      <c r="A310" s="2"/>
      <c r="F310" s="2"/>
      <c r="G310" s="2"/>
      <c r="K310" s="2"/>
      <c r="O310" s="2"/>
      <c r="P310" s="2"/>
      <c r="R310" s="2"/>
      <c r="T310" s="2"/>
      <c r="X310" s="2"/>
      <c r="Y310" s="2"/>
      <c r="Z310" s="2"/>
      <c r="AA310" s="2"/>
      <c r="AB310" s="2"/>
      <c r="AC310" s="2"/>
      <c r="AG310" s="2"/>
      <c r="AK310" s="2"/>
      <c r="AL310" s="2"/>
      <c r="AM310" s="2"/>
      <c r="AN310" s="3"/>
      <c r="AO310" s="2"/>
      <c r="AU310" s="5"/>
    </row>
    <row r="311" ht="15.75" customHeight="1" spans="1:47">
      <c r="A311" s="2"/>
      <c r="F311" s="2"/>
      <c r="G311" s="2"/>
      <c r="K311" s="2"/>
      <c r="O311" s="2"/>
      <c r="P311" s="2"/>
      <c r="R311" s="2"/>
      <c r="T311" s="2"/>
      <c r="X311" s="2"/>
      <c r="Y311" s="2"/>
      <c r="Z311" s="2"/>
      <c r="AA311" s="2"/>
      <c r="AB311" s="2"/>
      <c r="AC311" s="2"/>
      <c r="AG311" s="2"/>
      <c r="AK311" s="2"/>
      <c r="AL311" s="2"/>
      <c r="AM311" s="2"/>
      <c r="AN311" s="3"/>
      <c r="AO311" s="2"/>
      <c r="AU311" s="5"/>
    </row>
    <row r="312" ht="15.75" customHeight="1" spans="1:47">
      <c r="A312" s="2"/>
      <c r="F312" s="2"/>
      <c r="G312" s="2"/>
      <c r="K312" s="2"/>
      <c r="O312" s="2"/>
      <c r="P312" s="2"/>
      <c r="R312" s="2"/>
      <c r="T312" s="2"/>
      <c r="X312" s="2"/>
      <c r="Y312" s="2"/>
      <c r="Z312" s="2"/>
      <c r="AA312" s="2"/>
      <c r="AB312" s="2"/>
      <c r="AC312" s="2"/>
      <c r="AG312" s="2"/>
      <c r="AK312" s="2"/>
      <c r="AL312" s="2"/>
      <c r="AM312" s="2"/>
      <c r="AN312" s="3"/>
      <c r="AO312" s="2"/>
      <c r="AU312" s="5"/>
    </row>
    <row r="313" ht="15.75" customHeight="1" spans="1:47">
      <c r="A313" s="2"/>
      <c r="F313" s="2"/>
      <c r="G313" s="2"/>
      <c r="K313" s="2"/>
      <c r="O313" s="2"/>
      <c r="P313" s="2"/>
      <c r="R313" s="2"/>
      <c r="T313" s="2"/>
      <c r="X313" s="2"/>
      <c r="Y313" s="2"/>
      <c r="Z313" s="2"/>
      <c r="AA313" s="2"/>
      <c r="AB313" s="2"/>
      <c r="AC313" s="2"/>
      <c r="AG313" s="2"/>
      <c r="AK313" s="2"/>
      <c r="AL313" s="2"/>
      <c r="AM313" s="2"/>
      <c r="AN313" s="3"/>
      <c r="AO313" s="2"/>
      <c r="AU313" s="5"/>
    </row>
    <row r="314" ht="15.75" customHeight="1" spans="1:47">
      <c r="A314" s="2"/>
      <c r="F314" s="2"/>
      <c r="G314" s="2"/>
      <c r="K314" s="2"/>
      <c r="O314" s="2"/>
      <c r="P314" s="2"/>
      <c r="R314" s="2"/>
      <c r="T314" s="2"/>
      <c r="X314" s="2"/>
      <c r="Y314" s="2"/>
      <c r="Z314" s="2"/>
      <c r="AA314" s="2"/>
      <c r="AB314" s="2"/>
      <c r="AC314" s="2"/>
      <c r="AG314" s="2"/>
      <c r="AK314" s="2"/>
      <c r="AL314" s="2"/>
      <c r="AM314" s="2"/>
      <c r="AN314" s="3"/>
      <c r="AO314" s="2"/>
      <c r="AU314" s="5"/>
    </row>
    <row r="315" ht="15.75" customHeight="1" spans="1:47">
      <c r="A315" s="2"/>
      <c r="F315" s="2"/>
      <c r="G315" s="2"/>
      <c r="K315" s="2"/>
      <c r="O315" s="2"/>
      <c r="P315" s="2"/>
      <c r="R315" s="2"/>
      <c r="T315" s="2"/>
      <c r="X315" s="2"/>
      <c r="Y315" s="2"/>
      <c r="Z315" s="2"/>
      <c r="AA315" s="2"/>
      <c r="AB315" s="2"/>
      <c r="AC315" s="2"/>
      <c r="AG315" s="2"/>
      <c r="AK315" s="2"/>
      <c r="AL315" s="2"/>
      <c r="AM315" s="2"/>
      <c r="AN315" s="3"/>
      <c r="AO315" s="2"/>
      <c r="AU315" s="5"/>
    </row>
    <row r="316" ht="15.75" customHeight="1" spans="1:47">
      <c r="A316" s="2"/>
      <c r="F316" s="2"/>
      <c r="G316" s="2"/>
      <c r="K316" s="2"/>
      <c r="O316" s="2"/>
      <c r="P316" s="2"/>
      <c r="R316" s="2"/>
      <c r="T316" s="2"/>
      <c r="X316" s="2"/>
      <c r="Y316" s="2"/>
      <c r="Z316" s="2"/>
      <c r="AA316" s="2"/>
      <c r="AB316" s="2"/>
      <c r="AC316" s="2"/>
      <c r="AG316" s="2"/>
      <c r="AK316" s="2"/>
      <c r="AL316" s="2"/>
      <c r="AM316" s="2"/>
      <c r="AN316" s="3"/>
      <c r="AO316" s="2"/>
      <c r="AU316" s="5"/>
    </row>
    <row r="317" ht="15.75" customHeight="1" spans="1:47">
      <c r="A317" s="2"/>
      <c r="F317" s="2"/>
      <c r="G317" s="2"/>
      <c r="K317" s="2"/>
      <c r="O317" s="2"/>
      <c r="P317" s="2"/>
      <c r="R317" s="2"/>
      <c r="T317" s="2"/>
      <c r="X317" s="2"/>
      <c r="Y317" s="2"/>
      <c r="Z317" s="2"/>
      <c r="AA317" s="2"/>
      <c r="AB317" s="2"/>
      <c r="AC317" s="2"/>
      <c r="AG317" s="2"/>
      <c r="AK317" s="2"/>
      <c r="AL317" s="2"/>
      <c r="AM317" s="2"/>
      <c r="AN317" s="3"/>
      <c r="AO317" s="2"/>
      <c r="AU317" s="5"/>
    </row>
    <row r="318" ht="15.75" customHeight="1" spans="1:47">
      <c r="A318" s="2"/>
      <c r="F318" s="2"/>
      <c r="G318" s="2"/>
      <c r="K318" s="2"/>
      <c r="O318" s="2"/>
      <c r="P318" s="2"/>
      <c r="R318" s="2"/>
      <c r="T318" s="2"/>
      <c r="X318" s="2"/>
      <c r="Y318" s="2"/>
      <c r="Z318" s="2"/>
      <c r="AA318" s="2"/>
      <c r="AB318" s="2"/>
      <c r="AC318" s="2"/>
      <c r="AG318" s="2"/>
      <c r="AK318" s="2"/>
      <c r="AL318" s="2"/>
      <c r="AM318" s="2"/>
      <c r="AN318" s="3"/>
      <c r="AO318" s="2"/>
      <c r="AU318" s="5"/>
    </row>
    <row r="319" ht="15.75" customHeight="1" spans="1:47">
      <c r="A319" s="2"/>
      <c r="F319" s="2"/>
      <c r="G319" s="2"/>
      <c r="K319" s="2"/>
      <c r="O319" s="2"/>
      <c r="P319" s="2"/>
      <c r="R319" s="2"/>
      <c r="T319" s="2"/>
      <c r="X319" s="2"/>
      <c r="Y319" s="2"/>
      <c r="Z319" s="2"/>
      <c r="AA319" s="2"/>
      <c r="AB319" s="2"/>
      <c r="AC319" s="2"/>
      <c r="AG319" s="2"/>
      <c r="AK319" s="2"/>
      <c r="AL319" s="2"/>
      <c r="AM319" s="2"/>
      <c r="AN319" s="3"/>
      <c r="AO319" s="2"/>
      <c r="AU319" s="5"/>
    </row>
    <row r="320" ht="15.75" customHeight="1" spans="1:47">
      <c r="A320" s="2"/>
      <c r="F320" s="2"/>
      <c r="G320" s="2"/>
      <c r="K320" s="2"/>
      <c r="O320" s="2"/>
      <c r="P320" s="2"/>
      <c r="R320" s="2"/>
      <c r="T320" s="2"/>
      <c r="X320" s="2"/>
      <c r="Y320" s="2"/>
      <c r="Z320" s="2"/>
      <c r="AA320" s="2"/>
      <c r="AB320" s="2"/>
      <c r="AC320" s="2"/>
      <c r="AG320" s="2"/>
      <c r="AK320" s="2"/>
      <c r="AL320" s="2"/>
      <c r="AM320" s="2"/>
      <c r="AN320" s="3"/>
      <c r="AO320" s="2"/>
      <c r="AU320" s="5"/>
    </row>
    <row r="321" ht="15.75" customHeight="1" spans="1:47">
      <c r="A321" s="2"/>
      <c r="F321" s="2"/>
      <c r="G321" s="2"/>
      <c r="K321" s="2"/>
      <c r="O321" s="2"/>
      <c r="P321" s="2"/>
      <c r="R321" s="2"/>
      <c r="T321" s="2"/>
      <c r="X321" s="2"/>
      <c r="Y321" s="2"/>
      <c r="Z321" s="2"/>
      <c r="AA321" s="2"/>
      <c r="AB321" s="2"/>
      <c r="AC321" s="2"/>
      <c r="AG321" s="2"/>
      <c r="AK321" s="2"/>
      <c r="AL321" s="2"/>
      <c r="AM321" s="2"/>
      <c r="AN321" s="3"/>
      <c r="AO321" s="2"/>
      <c r="AU321" s="5"/>
    </row>
    <row r="322" ht="15.75" customHeight="1" spans="1:47">
      <c r="A322" s="2"/>
      <c r="F322" s="2"/>
      <c r="G322" s="2"/>
      <c r="K322" s="2"/>
      <c r="O322" s="2"/>
      <c r="P322" s="2"/>
      <c r="R322" s="2"/>
      <c r="T322" s="2"/>
      <c r="X322" s="2"/>
      <c r="Y322" s="2"/>
      <c r="Z322" s="2"/>
      <c r="AA322" s="2"/>
      <c r="AB322" s="2"/>
      <c r="AC322" s="2"/>
      <c r="AG322" s="2"/>
      <c r="AK322" s="2"/>
      <c r="AL322" s="2"/>
      <c r="AM322" s="2"/>
      <c r="AN322" s="3"/>
      <c r="AO322" s="2"/>
      <c r="AU322" s="5"/>
    </row>
    <row r="323" ht="15.75" customHeight="1" spans="1:47">
      <c r="A323" s="2"/>
      <c r="F323" s="2"/>
      <c r="G323" s="2"/>
      <c r="K323" s="2"/>
      <c r="O323" s="2"/>
      <c r="P323" s="2"/>
      <c r="R323" s="2"/>
      <c r="T323" s="2"/>
      <c r="X323" s="2"/>
      <c r="Y323" s="2"/>
      <c r="Z323" s="2"/>
      <c r="AA323" s="2"/>
      <c r="AB323" s="2"/>
      <c r="AC323" s="2"/>
      <c r="AG323" s="2"/>
      <c r="AK323" s="2"/>
      <c r="AL323" s="2"/>
      <c r="AM323" s="2"/>
      <c r="AN323" s="3"/>
      <c r="AO323" s="2"/>
      <c r="AU323" s="5"/>
    </row>
    <row r="324" ht="15.75" customHeight="1" spans="1:47">
      <c r="A324" s="2"/>
      <c r="F324" s="2"/>
      <c r="G324" s="2"/>
      <c r="K324" s="2"/>
      <c r="O324" s="2"/>
      <c r="P324" s="2"/>
      <c r="R324" s="2"/>
      <c r="T324" s="2"/>
      <c r="X324" s="2"/>
      <c r="Y324" s="2"/>
      <c r="Z324" s="2"/>
      <c r="AA324" s="2"/>
      <c r="AB324" s="2"/>
      <c r="AC324" s="2"/>
      <c r="AG324" s="2"/>
      <c r="AK324" s="2"/>
      <c r="AL324" s="2"/>
      <c r="AM324" s="2"/>
      <c r="AN324" s="3"/>
      <c r="AO324" s="2"/>
      <c r="AU324" s="5"/>
    </row>
    <row r="325" ht="15.75" customHeight="1" spans="1:47">
      <c r="A325" s="2"/>
      <c r="F325" s="2"/>
      <c r="G325" s="2"/>
      <c r="K325" s="2"/>
      <c r="O325" s="2"/>
      <c r="P325" s="2"/>
      <c r="R325" s="2"/>
      <c r="T325" s="2"/>
      <c r="X325" s="2"/>
      <c r="Y325" s="2"/>
      <c r="Z325" s="2"/>
      <c r="AA325" s="2"/>
      <c r="AB325" s="2"/>
      <c r="AC325" s="2"/>
      <c r="AG325" s="2"/>
      <c r="AK325" s="2"/>
      <c r="AL325" s="2"/>
      <c r="AM325" s="2"/>
      <c r="AN325" s="3"/>
      <c r="AO325" s="2"/>
      <c r="AU325" s="5"/>
    </row>
    <row r="326" ht="15.75" customHeight="1" spans="1:47">
      <c r="A326" s="2"/>
      <c r="F326" s="2"/>
      <c r="G326" s="2"/>
      <c r="K326" s="2"/>
      <c r="O326" s="2"/>
      <c r="P326" s="2"/>
      <c r="R326" s="2"/>
      <c r="T326" s="2"/>
      <c r="X326" s="2"/>
      <c r="Y326" s="2"/>
      <c r="Z326" s="2"/>
      <c r="AA326" s="2"/>
      <c r="AB326" s="2"/>
      <c r="AC326" s="2"/>
      <c r="AG326" s="2"/>
      <c r="AK326" s="2"/>
      <c r="AL326" s="2"/>
      <c r="AM326" s="2"/>
      <c r="AN326" s="3"/>
      <c r="AO326" s="2"/>
      <c r="AU326" s="5"/>
    </row>
    <row r="327" ht="15.75" customHeight="1" spans="1:47">
      <c r="A327" s="2"/>
      <c r="F327" s="2"/>
      <c r="G327" s="2"/>
      <c r="K327" s="2"/>
      <c r="O327" s="2"/>
      <c r="P327" s="2"/>
      <c r="R327" s="2"/>
      <c r="T327" s="2"/>
      <c r="X327" s="2"/>
      <c r="Y327" s="2"/>
      <c r="Z327" s="2"/>
      <c r="AA327" s="2"/>
      <c r="AB327" s="2"/>
      <c r="AC327" s="2"/>
      <c r="AG327" s="2"/>
      <c r="AK327" s="2"/>
      <c r="AL327" s="2"/>
      <c r="AM327" s="2"/>
      <c r="AN327" s="3"/>
      <c r="AO327" s="2"/>
      <c r="AU327" s="5"/>
    </row>
    <row r="328" ht="15.75" customHeight="1" spans="1:47">
      <c r="A328" s="2"/>
      <c r="F328" s="2"/>
      <c r="G328" s="2"/>
      <c r="K328" s="2"/>
      <c r="O328" s="2"/>
      <c r="P328" s="2"/>
      <c r="R328" s="2"/>
      <c r="T328" s="2"/>
      <c r="X328" s="2"/>
      <c r="Y328" s="2"/>
      <c r="Z328" s="2"/>
      <c r="AA328" s="2"/>
      <c r="AB328" s="2"/>
      <c r="AC328" s="2"/>
      <c r="AG328" s="2"/>
      <c r="AK328" s="2"/>
      <c r="AL328" s="2"/>
      <c r="AM328" s="2"/>
      <c r="AN328" s="3"/>
      <c r="AO328" s="2"/>
      <c r="AU328" s="5"/>
    </row>
    <row r="329" ht="15.75" customHeight="1" spans="1:47">
      <c r="A329" s="2"/>
      <c r="F329" s="2"/>
      <c r="G329" s="2"/>
      <c r="K329" s="2"/>
      <c r="O329" s="2"/>
      <c r="P329" s="2"/>
      <c r="R329" s="2"/>
      <c r="T329" s="2"/>
      <c r="X329" s="2"/>
      <c r="Y329" s="2"/>
      <c r="Z329" s="2"/>
      <c r="AA329" s="2"/>
      <c r="AB329" s="2"/>
      <c r="AC329" s="2"/>
      <c r="AG329" s="2"/>
      <c r="AK329" s="2"/>
      <c r="AL329" s="2"/>
      <c r="AM329" s="2"/>
      <c r="AN329" s="3"/>
      <c r="AO329" s="2"/>
      <c r="AU329" s="5"/>
    </row>
    <row r="330" ht="15.75" customHeight="1" spans="1:47">
      <c r="A330" s="2"/>
      <c r="F330" s="2"/>
      <c r="G330" s="2"/>
      <c r="K330" s="2"/>
      <c r="O330" s="2"/>
      <c r="P330" s="2"/>
      <c r="R330" s="2"/>
      <c r="T330" s="2"/>
      <c r="X330" s="2"/>
      <c r="Y330" s="2"/>
      <c r="Z330" s="2"/>
      <c r="AA330" s="2"/>
      <c r="AB330" s="2"/>
      <c r="AC330" s="2"/>
      <c r="AG330" s="2"/>
      <c r="AK330" s="2"/>
      <c r="AL330" s="2"/>
      <c r="AM330" s="2"/>
      <c r="AN330" s="3"/>
      <c r="AO330" s="2"/>
      <c r="AU330" s="5"/>
    </row>
    <row r="331" ht="15.75" customHeight="1" spans="1:47">
      <c r="A331" s="2"/>
      <c r="F331" s="2"/>
      <c r="G331" s="2"/>
      <c r="K331" s="2"/>
      <c r="O331" s="2"/>
      <c r="P331" s="2"/>
      <c r="R331" s="2"/>
      <c r="T331" s="2"/>
      <c r="X331" s="2"/>
      <c r="Y331" s="2"/>
      <c r="Z331" s="2"/>
      <c r="AA331" s="2"/>
      <c r="AB331" s="2"/>
      <c r="AC331" s="2"/>
      <c r="AG331" s="2"/>
      <c r="AK331" s="2"/>
      <c r="AL331" s="2"/>
      <c r="AM331" s="2"/>
      <c r="AN331" s="3"/>
      <c r="AO331" s="2"/>
      <c r="AU331" s="5"/>
    </row>
    <row r="332" ht="15.75" customHeight="1" spans="1:47">
      <c r="A332" s="2"/>
      <c r="F332" s="2"/>
      <c r="G332" s="2"/>
      <c r="K332" s="2"/>
      <c r="O332" s="2"/>
      <c r="P332" s="2"/>
      <c r="R332" s="2"/>
      <c r="T332" s="2"/>
      <c r="X332" s="2"/>
      <c r="Y332" s="2"/>
      <c r="Z332" s="2"/>
      <c r="AA332" s="2"/>
      <c r="AB332" s="2"/>
      <c r="AC332" s="2"/>
      <c r="AG332" s="2"/>
      <c r="AK332" s="2"/>
      <c r="AL332" s="2"/>
      <c r="AM332" s="2"/>
      <c r="AN332" s="3"/>
      <c r="AO332" s="2"/>
      <c r="AU332" s="5"/>
    </row>
    <row r="333" ht="15.75" customHeight="1" spans="1:47">
      <c r="A333" s="2"/>
      <c r="F333" s="2"/>
      <c r="G333" s="2"/>
      <c r="K333" s="2"/>
      <c r="O333" s="2"/>
      <c r="P333" s="2"/>
      <c r="R333" s="2"/>
      <c r="T333" s="2"/>
      <c r="X333" s="2"/>
      <c r="Y333" s="2"/>
      <c r="Z333" s="2"/>
      <c r="AA333" s="2"/>
      <c r="AB333" s="2"/>
      <c r="AC333" s="2"/>
      <c r="AG333" s="2"/>
      <c r="AK333" s="2"/>
      <c r="AL333" s="2"/>
      <c r="AM333" s="2"/>
      <c r="AN333" s="3"/>
      <c r="AO333" s="2"/>
      <c r="AU333" s="5"/>
    </row>
    <row r="334" ht="15.75" customHeight="1" spans="1:47">
      <c r="A334" s="2"/>
      <c r="F334" s="2"/>
      <c r="G334" s="2"/>
      <c r="K334" s="2"/>
      <c r="O334" s="2"/>
      <c r="P334" s="2"/>
      <c r="R334" s="2"/>
      <c r="T334" s="2"/>
      <c r="X334" s="2"/>
      <c r="Y334" s="2"/>
      <c r="Z334" s="2"/>
      <c r="AA334" s="2"/>
      <c r="AB334" s="2"/>
      <c r="AC334" s="2"/>
      <c r="AG334" s="2"/>
      <c r="AK334" s="2"/>
      <c r="AL334" s="2"/>
      <c r="AM334" s="2"/>
      <c r="AN334" s="3"/>
      <c r="AO334" s="2"/>
      <c r="AU334" s="5"/>
    </row>
    <row r="335" ht="15.75" customHeight="1" spans="1:47">
      <c r="A335" s="2"/>
      <c r="F335" s="2"/>
      <c r="G335" s="2"/>
      <c r="K335" s="2"/>
      <c r="O335" s="2"/>
      <c r="P335" s="2"/>
      <c r="R335" s="2"/>
      <c r="T335" s="2"/>
      <c r="X335" s="2"/>
      <c r="Y335" s="2"/>
      <c r="Z335" s="2"/>
      <c r="AA335" s="2"/>
      <c r="AB335" s="2"/>
      <c r="AC335" s="2"/>
      <c r="AG335" s="2"/>
      <c r="AK335" s="2"/>
      <c r="AL335" s="2"/>
      <c r="AM335" s="2"/>
      <c r="AN335" s="3"/>
      <c r="AO335" s="2"/>
      <c r="AU335" s="5"/>
    </row>
    <row r="336" ht="15.75" customHeight="1" spans="1:47">
      <c r="A336" s="2"/>
      <c r="F336" s="2"/>
      <c r="G336" s="2"/>
      <c r="K336" s="2"/>
      <c r="O336" s="2"/>
      <c r="P336" s="2"/>
      <c r="R336" s="2"/>
      <c r="T336" s="2"/>
      <c r="X336" s="2"/>
      <c r="Y336" s="2"/>
      <c r="Z336" s="2"/>
      <c r="AA336" s="2"/>
      <c r="AB336" s="2"/>
      <c r="AC336" s="2"/>
      <c r="AG336" s="2"/>
      <c r="AK336" s="2"/>
      <c r="AL336" s="2"/>
      <c r="AM336" s="2"/>
      <c r="AN336" s="3"/>
      <c r="AO336" s="2"/>
      <c r="AU336" s="5"/>
    </row>
    <row r="337" ht="15.75" customHeight="1" spans="1:47">
      <c r="A337" s="2"/>
      <c r="F337" s="2"/>
      <c r="G337" s="2"/>
      <c r="K337" s="2"/>
      <c r="O337" s="2"/>
      <c r="P337" s="2"/>
      <c r="R337" s="2"/>
      <c r="T337" s="2"/>
      <c r="X337" s="2"/>
      <c r="Y337" s="2"/>
      <c r="Z337" s="2"/>
      <c r="AA337" s="2"/>
      <c r="AB337" s="2"/>
      <c r="AC337" s="2"/>
      <c r="AG337" s="2"/>
      <c r="AK337" s="2"/>
      <c r="AL337" s="2"/>
      <c r="AM337" s="2"/>
      <c r="AN337" s="3"/>
      <c r="AO337" s="2"/>
      <c r="AU337" s="5"/>
    </row>
    <row r="338" ht="15.75" customHeight="1" spans="1:47">
      <c r="A338" s="2"/>
      <c r="F338" s="2"/>
      <c r="G338" s="2"/>
      <c r="K338" s="2"/>
      <c r="O338" s="2"/>
      <c r="P338" s="2"/>
      <c r="R338" s="2"/>
      <c r="T338" s="2"/>
      <c r="X338" s="2"/>
      <c r="Y338" s="2"/>
      <c r="Z338" s="2"/>
      <c r="AA338" s="2"/>
      <c r="AB338" s="2"/>
      <c r="AC338" s="2"/>
      <c r="AG338" s="2"/>
      <c r="AK338" s="2"/>
      <c r="AL338" s="2"/>
      <c r="AM338" s="2"/>
      <c r="AN338" s="3"/>
      <c r="AO338" s="2"/>
      <c r="AU338" s="5"/>
    </row>
    <row r="339" ht="15.75" customHeight="1" spans="1:47">
      <c r="A339" s="2"/>
      <c r="F339" s="2"/>
      <c r="G339" s="2"/>
      <c r="K339" s="2"/>
      <c r="O339" s="2"/>
      <c r="P339" s="2"/>
      <c r="R339" s="2"/>
      <c r="T339" s="2"/>
      <c r="X339" s="2"/>
      <c r="Y339" s="2"/>
      <c r="Z339" s="2"/>
      <c r="AA339" s="2"/>
      <c r="AB339" s="2"/>
      <c r="AC339" s="2"/>
      <c r="AG339" s="2"/>
      <c r="AK339" s="2"/>
      <c r="AL339" s="2"/>
      <c r="AM339" s="2"/>
      <c r="AN339" s="3"/>
      <c r="AO339" s="2"/>
      <c r="AU339" s="5"/>
    </row>
    <row r="340" ht="15.75" customHeight="1" spans="1:47">
      <c r="A340" s="2"/>
      <c r="F340" s="2"/>
      <c r="G340" s="2"/>
      <c r="K340" s="2"/>
      <c r="O340" s="2"/>
      <c r="P340" s="2"/>
      <c r="R340" s="2"/>
      <c r="T340" s="2"/>
      <c r="X340" s="2"/>
      <c r="Y340" s="2"/>
      <c r="Z340" s="2"/>
      <c r="AA340" s="2"/>
      <c r="AB340" s="2"/>
      <c r="AC340" s="2"/>
      <c r="AG340" s="2"/>
      <c r="AK340" s="2"/>
      <c r="AL340" s="2"/>
      <c r="AM340" s="2"/>
      <c r="AN340" s="3"/>
      <c r="AO340" s="2"/>
      <c r="AU340" s="5"/>
    </row>
    <row r="341" ht="15.75" customHeight="1" spans="1:47">
      <c r="A341" s="2"/>
      <c r="F341" s="2"/>
      <c r="G341" s="2"/>
      <c r="K341" s="2"/>
      <c r="O341" s="2"/>
      <c r="P341" s="2"/>
      <c r="R341" s="2"/>
      <c r="T341" s="2"/>
      <c r="X341" s="2"/>
      <c r="Y341" s="2"/>
      <c r="Z341" s="2"/>
      <c r="AA341" s="2"/>
      <c r="AB341" s="2"/>
      <c r="AC341" s="2"/>
      <c r="AG341" s="2"/>
      <c r="AK341" s="2"/>
      <c r="AL341" s="2"/>
      <c r="AM341" s="2"/>
      <c r="AN341" s="3"/>
      <c r="AO341" s="2"/>
      <c r="AU341" s="5"/>
    </row>
    <row r="342" ht="15.75" customHeight="1" spans="1:47">
      <c r="A342" s="2"/>
      <c r="F342" s="2"/>
      <c r="G342" s="2"/>
      <c r="K342" s="2"/>
      <c r="O342" s="2"/>
      <c r="P342" s="2"/>
      <c r="R342" s="2"/>
      <c r="T342" s="2"/>
      <c r="X342" s="2"/>
      <c r="Y342" s="2"/>
      <c r="Z342" s="2"/>
      <c r="AA342" s="2"/>
      <c r="AB342" s="2"/>
      <c r="AC342" s="2"/>
      <c r="AG342" s="2"/>
      <c r="AK342" s="2"/>
      <c r="AL342" s="2"/>
      <c r="AM342" s="2"/>
      <c r="AN342" s="3"/>
      <c r="AO342" s="2"/>
      <c r="AU342" s="5"/>
    </row>
    <row r="343" ht="15.75" customHeight="1" spans="1:47">
      <c r="A343" s="2"/>
      <c r="F343" s="2"/>
      <c r="G343" s="2"/>
      <c r="K343" s="2"/>
      <c r="O343" s="2"/>
      <c r="P343" s="2"/>
      <c r="R343" s="2"/>
      <c r="T343" s="2"/>
      <c r="X343" s="2"/>
      <c r="Y343" s="2"/>
      <c r="Z343" s="2"/>
      <c r="AA343" s="2"/>
      <c r="AB343" s="2"/>
      <c r="AC343" s="2"/>
      <c r="AG343" s="2"/>
      <c r="AK343" s="2"/>
      <c r="AL343" s="2"/>
      <c r="AM343" s="2"/>
      <c r="AN343" s="3"/>
      <c r="AO343" s="2"/>
      <c r="AU343" s="5"/>
    </row>
    <row r="344" ht="15.75" customHeight="1" spans="1:47">
      <c r="A344" s="2"/>
      <c r="F344" s="2"/>
      <c r="G344" s="2"/>
      <c r="K344" s="2"/>
      <c r="O344" s="2"/>
      <c r="P344" s="2"/>
      <c r="R344" s="2"/>
      <c r="T344" s="2"/>
      <c r="X344" s="2"/>
      <c r="Y344" s="2"/>
      <c r="Z344" s="2"/>
      <c r="AA344" s="2"/>
      <c r="AB344" s="2"/>
      <c r="AC344" s="2"/>
      <c r="AG344" s="2"/>
      <c r="AK344" s="2"/>
      <c r="AL344" s="2"/>
      <c r="AM344" s="2"/>
      <c r="AN344" s="3"/>
      <c r="AO344" s="2"/>
      <c r="AU344" s="5"/>
    </row>
    <row r="345" ht="15.75" customHeight="1" spans="1:47">
      <c r="A345" s="2"/>
      <c r="F345" s="2"/>
      <c r="G345" s="2"/>
      <c r="K345" s="2"/>
      <c r="O345" s="2"/>
      <c r="P345" s="2"/>
      <c r="R345" s="2"/>
      <c r="T345" s="2"/>
      <c r="X345" s="2"/>
      <c r="Y345" s="2"/>
      <c r="Z345" s="2"/>
      <c r="AA345" s="2"/>
      <c r="AB345" s="2"/>
      <c r="AC345" s="2"/>
      <c r="AG345" s="2"/>
      <c r="AK345" s="2"/>
      <c r="AL345" s="2"/>
      <c r="AM345" s="2"/>
      <c r="AN345" s="3"/>
      <c r="AO345" s="2"/>
      <c r="AU345" s="5"/>
    </row>
    <row r="346" ht="15.75" customHeight="1" spans="1:47">
      <c r="A346" s="2"/>
      <c r="F346" s="2"/>
      <c r="G346" s="2"/>
      <c r="K346" s="2"/>
      <c r="O346" s="2"/>
      <c r="P346" s="2"/>
      <c r="R346" s="2"/>
      <c r="T346" s="2"/>
      <c r="X346" s="2"/>
      <c r="Y346" s="2"/>
      <c r="Z346" s="2"/>
      <c r="AA346" s="2"/>
      <c r="AB346" s="2"/>
      <c r="AC346" s="2"/>
      <c r="AG346" s="2"/>
      <c r="AK346" s="2"/>
      <c r="AL346" s="2"/>
      <c r="AM346" s="2"/>
      <c r="AN346" s="3"/>
      <c r="AO346" s="2"/>
      <c r="AU346" s="5"/>
    </row>
    <row r="347" ht="15.75" customHeight="1" spans="1:47">
      <c r="A347" s="2"/>
      <c r="F347" s="2"/>
      <c r="G347" s="2"/>
      <c r="K347" s="2"/>
      <c r="O347" s="2"/>
      <c r="P347" s="2"/>
      <c r="R347" s="2"/>
      <c r="T347" s="2"/>
      <c r="X347" s="2"/>
      <c r="Y347" s="2"/>
      <c r="Z347" s="2"/>
      <c r="AA347" s="2"/>
      <c r="AB347" s="2"/>
      <c r="AC347" s="2"/>
      <c r="AG347" s="2"/>
      <c r="AK347" s="2"/>
      <c r="AL347" s="2"/>
      <c r="AM347" s="2"/>
      <c r="AN347" s="3"/>
      <c r="AO347" s="2"/>
      <c r="AU347" s="5"/>
    </row>
    <row r="348" ht="15.75" customHeight="1" spans="1:47">
      <c r="A348" s="2"/>
      <c r="F348" s="2"/>
      <c r="G348" s="2"/>
      <c r="K348" s="2"/>
      <c r="O348" s="2"/>
      <c r="P348" s="2"/>
      <c r="R348" s="2"/>
      <c r="T348" s="2"/>
      <c r="X348" s="2"/>
      <c r="Y348" s="2"/>
      <c r="Z348" s="2"/>
      <c r="AA348" s="2"/>
      <c r="AB348" s="2"/>
      <c r="AC348" s="2"/>
      <c r="AG348" s="2"/>
      <c r="AK348" s="2"/>
      <c r="AL348" s="2"/>
      <c r="AM348" s="2"/>
      <c r="AN348" s="3"/>
      <c r="AO348" s="2"/>
      <c r="AU348" s="5"/>
    </row>
    <row r="349" ht="15.75" customHeight="1" spans="1:47">
      <c r="A349" s="2"/>
      <c r="F349" s="2"/>
      <c r="G349" s="2"/>
      <c r="K349" s="2"/>
      <c r="O349" s="2"/>
      <c r="P349" s="2"/>
      <c r="R349" s="2"/>
      <c r="T349" s="2"/>
      <c r="X349" s="2"/>
      <c r="Y349" s="2"/>
      <c r="Z349" s="2"/>
      <c r="AA349" s="2"/>
      <c r="AB349" s="2"/>
      <c r="AC349" s="2"/>
      <c r="AG349" s="2"/>
      <c r="AK349" s="2"/>
      <c r="AL349" s="2"/>
      <c r="AM349" s="2"/>
      <c r="AN349" s="3"/>
      <c r="AO349" s="2"/>
      <c r="AU349" s="5"/>
    </row>
    <row r="350" ht="15.75" customHeight="1" spans="1:47">
      <c r="A350" s="2"/>
      <c r="F350" s="2"/>
      <c r="G350" s="2"/>
      <c r="K350" s="2"/>
      <c r="O350" s="2"/>
      <c r="P350" s="2"/>
      <c r="R350" s="2"/>
      <c r="T350" s="2"/>
      <c r="X350" s="2"/>
      <c r="Y350" s="2"/>
      <c r="Z350" s="2"/>
      <c r="AA350" s="2"/>
      <c r="AB350" s="2"/>
      <c r="AC350" s="2"/>
      <c r="AG350" s="2"/>
      <c r="AK350" s="2"/>
      <c r="AL350" s="2"/>
      <c r="AM350" s="2"/>
      <c r="AN350" s="3"/>
      <c r="AO350" s="2"/>
      <c r="AU350" s="5"/>
    </row>
    <row r="351" ht="15.75" customHeight="1" spans="1:47">
      <c r="A351" s="2"/>
      <c r="F351" s="2"/>
      <c r="G351" s="2"/>
      <c r="K351" s="2"/>
      <c r="O351" s="2"/>
      <c r="P351" s="2"/>
      <c r="R351" s="2"/>
      <c r="T351" s="2"/>
      <c r="X351" s="2"/>
      <c r="Y351" s="2"/>
      <c r="Z351" s="2"/>
      <c r="AA351" s="2"/>
      <c r="AB351" s="2"/>
      <c r="AC351" s="2"/>
      <c r="AG351" s="2"/>
      <c r="AK351" s="2"/>
      <c r="AL351" s="2"/>
      <c r="AM351" s="2"/>
      <c r="AN351" s="3"/>
      <c r="AO351" s="2"/>
      <c r="AU351" s="5"/>
    </row>
    <row r="352" ht="15.75" customHeight="1" spans="1:47">
      <c r="A352" s="2"/>
      <c r="F352" s="2"/>
      <c r="G352" s="2"/>
      <c r="K352" s="2"/>
      <c r="O352" s="2"/>
      <c r="P352" s="2"/>
      <c r="R352" s="2"/>
      <c r="T352" s="2"/>
      <c r="X352" s="2"/>
      <c r="Y352" s="2"/>
      <c r="Z352" s="2"/>
      <c r="AA352" s="2"/>
      <c r="AB352" s="2"/>
      <c r="AC352" s="2"/>
      <c r="AG352" s="2"/>
      <c r="AK352" s="2"/>
      <c r="AL352" s="2"/>
      <c r="AM352" s="2"/>
      <c r="AN352" s="3"/>
      <c r="AO352" s="2"/>
      <c r="AU352" s="5"/>
    </row>
    <row r="353" ht="15.75" customHeight="1" spans="1:47">
      <c r="A353" s="2"/>
      <c r="F353" s="2"/>
      <c r="G353" s="2"/>
      <c r="K353" s="2"/>
      <c r="O353" s="2"/>
      <c r="P353" s="2"/>
      <c r="R353" s="2"/>
      <c r="T353" s="2"/>
      <c r="X353" s="2"/>
      <c r="Y353" s="2"/>
      <c r="Z353" s="2"/>
      <c r="AA353" s="2"/>
      <c r="AB353" s="2"/>
      <c r="AC353" s="2"/>
      <c r="AG353" s="2"/>
      <c r="AK353" s="2"/>
      <c r="AL353" s="2"/>
      <c r="AM353" s="2"/>
      <c r="AN353" s="3"/>
      <c r="AO353" s="2"/>
      <c r="AU353" s="5"/>
    </row>
    <row r="354" ht="15.75" customHeight="1" spans="1:47">
      <c r="A354" s="2"/>
      <c r="F354" s="2"/>
      <c r="G354" s="2"/>
      <c r="K354" s="2"/>
      <c r="O354" s="2"/>
      <c r="P354" s="2"/>
      <c r="R354" s="2"/>
      <c r="T354" s="2"/>
      <c r="X354" s="2"/>
      <c r="Y354" s="2"/>
      <c r="Z354" s="2"/>
      <c r="AA354" s="2"/>
      <c r="AB354" s="2"/>
      <c r="AC354" s="2"/>
      <c r="AG354" s="2"/>
      <c r="AK354" s="2"/>
      <c r="AL354" s="2"/>
      <c r="AM354" s="2"/>
      <c r="AN354" s="3"/>
      <c r="AO354" s="2"/>
      <c r="AU354" s="5"/>
    </row>
    <row r="355" ht="15.75" customHeight="1" spans="1:47">
      <c r="A355" s="2"/>
      <c r="F355" s="2"/>
      <c r="G355" s="2"/>
      <c r="K355" s="2"/>
      <c r="O355" s="2"/>
      <c r="P355" s="2"/>
      <c r="R355" s="2"/>
      <c r="T355" s="2"/>
      <c r="X355" s="2"/>
      <c r="Y355" s="2"/>
      <c r="Z355" s="2"/>
      <c r="AA355" s="2"/>
      <c r="AB355" s="2"/>
      <c r="AC355" s="2"/>
      <c r="AG355" s="2"/>
      <c r="AK355" s="2"/>
      <c r="AL355" s="2"/>
      <c r="AM355" s="2"/>
      <c r="AN355" s="3"/>
      <c r="AO355" s="2"/>
      <c r="AU355" s="5"/>
    </row>
    <row r="356" ht="15.75" customHeight="1" spans="1:47">
      <c r="A356" s="2"/>
      <c r="F356" s="2"/>
      <c r="G356" s="2"/>
      <c r="K356" s="2"/>
      <c r="O356" s="2"/>
      <c r="P356" s="2"/>
      <c r="R356" s="2"/>
      <c r="T356" s="2"/>
      <c r="X356" s="2"/>
      <c r="Y356" s="2"/>
      <c r="Z356" s="2"/>
      <c r="AA356" s="2"/>
      <c r="AB356" s="2"/>
      <c r="AC356" s="2"/>
      <c r="AG356" s="2"/>
      <c r="AK356" s="2"/>
      <c r="AL356" s="2"/>
      <c r="AM356" s="2"/>
      <c r="AN356" s="3"/>
      <c r="AO356" s="2"/>
      <c r="AU356" s="5"/>
    </row>
    <row r="357" ht="15.75" customHeight="1" spans="1:47">
      <c r="A357" s="2"/>
      <c r="F357" s="2"/>
      <c r="G357" s="2"/>
      <c r="K357" s="2"/>
      <c r="O357" s="2"/>
      <c r="P357" s="2"/>
      <c r="R357" s="2"/>
      <c r="T357" s="2"/>
      <c r="X357" s="2"/>
      <c r="Y357" s="2"/>
      <c r="Z357" s="2"/>
      <c r="AA357" s="2"/>
      <c r="AB357" s="2"/>
      <c r="AC357" s="2"/>
      <c r="AG357" s="2"/>
      <c r="AK357" s="2"/>
      <c r="AL357" s="2"/>
      <c r="AM357" s="2"/>
      <c r="AN357" s="3"/>
      <c r="AO357" s="2"/>
      <c r="AU357" s="5"/>
    </row>
    <row r="358" ht="15.75" customHeight="1" spans="1:47">
      <c r="A358" s="2"/>
      <c r="F358" s="2"/>
      <c r="G358" s="2"/>
      <c r="K358" s="2"/>
      <c r="O358" s="2"/>
      <c r="P358" s="2"/>
      <c r="R358" s="2"/>
      <c r="T358" s="2"/>
      <c r="X358" s="2"/>
      <c r="Y358" s="2"/>
      <c r="Z358" s="2"/>
      <c r="AA358" s="2"/>
      <c r="AB358" s="2"/>
      <c r="AC358" s="2"/>
      <c r="AG358" s="2"/>
      <c r="AK358" s="2"/>
      <c r="AL358" s="2"/>
      <c r="AM358" s="2"/>
      <c r="AN358" s="3"/>
      <c r="AO358" s="2"/>
      <c r="AU358" s="5"/>
    </row>
    <row r="359" ht="15.75" customHeight="1" spans="1:47">
      <c r="A359" s="2"/>
      <c r="F359" s="2"/>
      <c r="G359" s="2"/>
      <c r="K359" s="2"/>
      <c r="O359" s="2"/>
      <c r="P359" s="2"/>
      <c r="R359" s="2"/>
      <c r="T359" s="2"/>
      <c r="X359" s="2"/>
      <c r="Y359" s="2"/>
      <c r="Z359" s="2"/>
      <c r="AA359" s="2"/>
      <c r="AB359" s="2"/>
      <c r="AC359" s="2"/>
      <c r="AG359" s="2"/>
      <c r="AK359" s="2"/>
      <c r="AL359" s="2"/>
      <c r="AM359" s="2"/>
      <c r="AN359" s="3"/>
      <c r="AO359" s="2"/>
      <c r="AU359" s="5"/>
    </row>
    <row r="360" ht="15.75" customHeight="1" spans="1:47">
      <c r="A360" s="2"/>
      <c r="F360" s="2"/>
      <c r="G360" s="2"/>
      <c r="K360" s="2"/>
      <c r="O360" s="2"/>
      <c r="P360" s="2"/>
      <c r="R360" s="2"/>
      <c r="T360" s="2"/>
      <c r="X360" s="2"/>
      <c r="Y360" s="2"/>
      <c r="Z360" s="2"/>
      <c r="AA360" s="2"/>
      <c r="AB360" s="2"/>
      <c r="AC360" s="2"/>
      <c r="AG360" s="2"/>
      <c r="AK360" s="2"/>
      <c r="AL360" s="2"/>
      <c r="AM360" s="2"/>
      <c r="AN360" s="3"/>
      <c r="AO360" s="2"/>
      <c r="AU360" s="5"/>
    </row>
    <row r="361" ht="15.75" customHeight="1" spans="1:47">
      <c r="A361" s="2"/>
      <c r="F361" s="2"/>
      <c r="G361" s="2"/>
      <c r="K361" s="2"/>
      <c r="O361" s="2"/>
      <c r="P361" s="2"/>
      <c r="R361" s="2"/>
      <c r="T361" s="2"/>
      <c r="X361" s="2"/>
      <c r="Y361" s="2"/>
      <c r="Z361" s="2"/>
      <c r="AA361" s="2"/>
      <c r="AB361" s="2"/>
      <c r="AC361" s="2"/>
      <c r="AG361" s="2"/>
      <c r="AK361" s="2"/>
      <c r="AL361" s="2"/>
      <c r="AM361" s="2"/>
      <c r="AN361" s="3"/>
      <c r="AO361" s="2"/>
      <c r="AU361" s="5"/>
    </row>
    <row r="362" ht="15.75" customHeight="1" spans="1:47">
      <c r="A362" s="2"/>
      <c r="F362" s="2"/>
      <c r="G362" s="2"/>
      <c r="K362" s="2"/>
      <c r="O362" s="2"/>
      <c r="P362" s="2"/>
      <c r="R362" s="2"/>
      <c r="T362" s="2"/>
      <c r="X362" s="2"/>
      <c r="Y362" s="2"/>
      <c r="Z362" s="2"/>
      <c r="AA362" s="2"/>
      <c r="AB362" s="2"/>
      <c r="AC362" s="2"/>
      <c r="AG362" s="2"/>
      <c r="AK362" s="2"/>
      <c r="AL362" s="2"/>
      <c r="AM362" s="2"/>
      <c r="AN362" s="3"/>
      <c r="AO362" s="2"/>
      <c r="AU362" s="5"/>
    </row>
    <row r="363" ht="15.75" customHeight="1" spans="1:47">
      <c r="A363" s="2"/>
      <c r="F363" s="2"/>
      <c r="G363" s="2"/>
      <c r="K363" s="2"/>
      <c r="O363" s="2"/>
      <c r="P363" s="2"/>
      <c r="R363" s="2"/>
      <c r="T363" s="2"/>
      <c r="X363" s="2"/>
      <c r="Y363" s="2"/>
      <c r="Z363" s="2"/>
      <c r="AA363" s="2"/>
      <c r="AB363" s="2"/>
      <c r="AC363" s="2"/>
      <c r="AG363" s="2"/>
      <c r="AK363" s="2"/>
      <c r="AL363" s="2"/>
      <c r="AM363" s="2"/>
      <c r="AN363" s="3"/>
      <c r="AO363" s="2"/>
      <c r="AU363" s="5"/>
    </row>
    <row r="364" ht="15.75" customHeight="1" spans="1:47">
      <c r="A364" s="2"/>
      <c r="F364" s="2"/>
      <c r="G364" s="2"/>
      <c r="K364" s="2"/>
      <c r="O364" s="2"/>
      <c r="P364" s="2"/>
      <c r="R364" s="2"/>
      <c r="T364" s="2"/>
      <c r="X364" s="2"/>
      <c r="Y364" s="2"/>
      <c r="Z364" s="2"/>
      <c r="AA364" s="2"/>
      <c r="AB364" s="2"/>
      <c r="AC364" s="2"/>
      <c r="AG364" s="2"/>
      <c r="AK364" s="2"/>
      <c r="AL364" s="2"/>
      <c r="AM364" s="2"/>
      <c r="AN364" s="3"/>
      <c r="AO364" s="2"/>
      <c r="AU364" s="5"/>
    </row>
    <row r="365" ht="15.75" customHeight="1" spans="1:47">
      <c r="A365" s="2"/>
      <c r="F365" s="2"/>
      <c r="G365" s="2"/>
      <c r="K365" s="2"/>
      <c r="O365" s="2"/>
      <c r="P365" s="2"/>
      <c r="R365" s="2"/>
      <c r="T365" s="2"/>
      <c r="X365" s="2"/>
      <c r="Y365" s="2"/>
      <c r="Z365" s="2"/>
      <c r="AA365" s="2"/>
      <c r="AB365" s="2"/>
      <c r="AC365" s="2"/>
      <c r="AG365" s="2"/>
      <c r="AK365" s="2"/>
      <c r="AL365" s="2"/>
      <c r="AM365" s="2"/>
      <c r="AN365" s="3"/>
      <c r="AO365" s="2"/>
      <c r="AU365" s="5"/>
    </row>
    <row r="366" ht="15.75" customHeight="1" spans="1:47">
      <c r="A366" s="2"/>
      <c r="F366" s="2"/>
      <c r="G366" s="2"/>
      <c r="K366" s="2"/>
      <c r="O366" s="2"/>
      <c r="P366" s="2"/>
      <c r="R366" s="2"/>
      <c r="T366" s="2"/>
      <c r="X366" s="2"/>
      <c r="Y366" s="2"/>
      <c r="Z366" s="2"/>
      <c r="AA366" s="2"/>
      <c r="AB366" s="2"/>
      <c r="AC366" s="2"/>
      <c r="AG366" s="2"/>
      <c r="AK366" s="2"/>
      <c r="AL366" s="2"/>
      <c r="AM366" s="2"/>
      <c r="AN366" s="3"/>
      <c r="AO366" s="2"/>
      <c r="AU366" s="5"/>
    </row>
    <row r="367" ht="15.75" customHeight="1" spans="1:47">
      <c r="A367" s="2"/>
      <c r="F367" s="2"/>
      <c r="G367" s="2"/>
      <c r="K367" s="2"/>
      <c r="O367" s="2"/>
      <c r="P367" s="2"/>
      <c r="R367" s="2"/>
      <c r="T367" s="2"/>
      <c r="X367" s="2"/>
      <c r="Y367" s="2"/>
      <c r="Z367" s="2"/>
      <c r="AA367" s="2"/>
      <c r="AB367" s="2"/>
      <c r="AC367" s="2"/>
      <c r="AG367" s="2"/>
      <c r="AK367" s="2"/>
      <c r="AL367" s="2"/>
      <c r="AM367" s="2"/>
      <c r="AN367" s="3"/>
      <c r="AO367" s="2"/>
      <c r="AU367" s="5"/>
    </row>
    <row r="368" ht="15.75" customHeight="1" spans="1:47">
      <c r="A368" s="2"/>
      <c r="F368" s="2"/>
      <c r="G368" s="2"/>
      <c r="K368" s="2"/>
      <c r="O368" s="2"/>
      <c r="P368" s="2"/>
      <c r="R368" s="2"/>
      <c r="T368" s="2"/>
      <c r="X368" s="2"/>
      <c r="Y368" s="2"/>
      <c r="Z368" s="2"/>
      <c r="AA368" s="2"/>
      <c r="AB368" s="2"/>
      <c r="AC368" s="2"/>
      <c r="AG368" s="2"/>
      <c r="AK368" s="2"/>
      <c r="AL368" s="2"/>
      <c r="AM368" s="2"/>
      <c r="AN368" s="3"/>
      <c r="AO368" s="2"/>
      <c r="AU368" s="5"/>
    </row>
    <row r="369" ht="15.75" customHeight="1" spans="1:47">
      <c r="A369" s="2"/>
      <c r="F369" s="2"/>
      <c r="G369" s="2"/>
      <c r="K369" s="2"/>
      <c r="O369" s="2"/>
      <c r="P369" s="2"/>
      <c r="R369" s="2"/>
      <c r="T369" s="2"/>
      <c r="X369" s="2"/>
      <c r="Y369" s="2"/>
      <c r="Z369" s="2"/>
      <c r="AA369" s="2"/>
      <c r="AB369" s="2"/>
      <c r="AC369" s="2"/>
      <c r="AG369" s="2"/>
      <c r="AK369" s="2"/>
      <c r="AL369" s="2"/>
      <c r="AM369" s="2"/>
      <c r="AN369" s="3"/>
      <c r="AO369" s="2"/>
      <c r="AU369" s="5"/>
    </row>
    <row r="370" ht="15.75" customHeight="1" spans="1:47">
      <c r="A370" s="2"/>
      <c r="F370" s="2"/>
      <c r="G370" s="2"/>
      <c r="K370" s="2"/>
      <c r="O370" s="2"/>
      <c r="P370" s="2"/>
      <c r="R370" s="2"/>
      <c r="T370" s="2"/>
      <c r="X370" s="2"/>
      <c r="Y370" s="2"/>
      <c r="Z370" s="2"/>
      <c r="AA370" s="2"/>
      <c r="AB370" s="2"/>
      <c r="AC370" s="2"/>
      <c r="AG370" s="2"/>
      <c r="AK370" s="2"/>
      <c r="AL370" s="2"/>
      <c r="AM370" s="2"/>
      <c r="AN370" s="3"/>
      <c r="AO370" s="2"/>
      <c r="AU370" s="5"/>
    </row>
    <row r="371" ht="15.75" customHeight="1" spans="1:47">
      <c r="A371" s="2"/>
      <c r="F371" s="2"/>
      <c r="G371" s="2"/>
      <c r="K371" s="2"/>
      <c r="O371" s="2"/>
      <c r="P371" s="2"/>
      <c r="R371" s="2"/>
      <c r="T371" s="2"/>
      <c r="X371" s="2"/>
      <c r="Y371" s="2"/>
      <c r="Z371" s="2"/>
      <c r="AA371" s="2"/>
      <c r="AB371" s="2"/>
      <c r="AC371" s="2"/>
      <c r="AG371" s="2"/>
      <c r="AK371" s="2"/>
      <c r="AL371" s="2"/>
      <c r="AM371" s="2"/>
      <c r="AN371" s="3"/>
      <c r="AO371" s="2"/>
      <c r="AU371" s="5"/>
    </row>
    <row r="372" ht="15.75" customHeight="1" spans="1:47">
      <c r="A372" s="2"/>
      <c r="F372" s="2"/>
      <c r="G372" s="2"/>
      <c r="K372" s="2"/>
      <c r="O372" s="2"/>
      <c r="P372" s="2"/>
      <c r="R372" s="2"/>
      <c r="T372" s="2"/>
      <c r="X372" s="2"/>
      <c r="Y372" s="2"/>
      <c r="Z372" s="2"/>
      <c r="AA372" s="2"/>
      <c r="AB372" s="2"/>
      <c r="AC372" s="2"/>
      <c r="AG372" s="2"/>
      <c r="AK372" s="2"/>
      <c r="AL372" s="2"/>
      <c r="AM372" s="2"/>
      <c r="AN372" s="3"/>
      <c r="AO372" s="2"/>
      <c r="AU372" s="5"/>
    </row>
    <row r="373" ht="15.75" customHeight="1" spans="1:47">
      <c r="A373" s="2"/>
      <c r="F373" s="2"/>
      <c r="G373" s="2"/>
      <c r="K373" s="2"/>
      <c r="O373" s="2"/>
      <c r="P373" s="2"/>
      <c r="R373" s="2"/>
      <c r="T373" s="2"/>
      <c r="X373" s="2"/>
      <c r="Y373" s="2"/>
      <c r="Z373" s="2"/>
      <c r="AA373" s="2"/>
      <c r="AB373" s="2"/>
      <c r="AC373" s="2"/>
      <c r="AG373" s="2"/>
      <c r="AK373" s="2"/>
      <c r="AL373" s="2"/>
      <c r="AM373" s="2"/>
      <c r="AN373" s="3"/>
      <c r="AO373" s="2"/>
      <c r="AU373" s="5"/>
    </row>
    <row r="374" ht="15.75" customHeight="1" spans="1:47">
      <c r="A374" s="2"/>
      <c r="F374" s="2"/>
      <c r="G374" s="2"/>
      <c r="K374" s="2"/>
      <c r="O374" s="2"/>
      <c r="P374" s="2"/>
      <c r="R374" s="2"/>
      <c r="T374" s="2"/>
      <c r="X374" s="2"/>
      <c r="Y374" s="2"/>
      <c r="Z374" s="2"/>
      <c r="AA374" s="2"/>
      <c r="AB374" s="2"/>
      <c r="AC374" s="2"/>
      <c r="AG374" s="2"/>
      <c r="AK374" s="2"/>
      <c r="AL374" s="2"/>
      <c r="AM374" s="2"/>
      <c r="AN374" s="3"/>
      <c r="AO374" s="2"/>
      <c r="AU374" s="5"/>
    </row>
    <row r="375" ht="15.75" customHeight="1" spans="1:47">
      <c r="A375" s="2"/>
      <c r="F375" s="2"/>
      <c r="G375" s="2"/>
      <c r="K375" s="2"/>
      <c r="O375" s="2"/>
      <c r="P375" s="2"/>
      <c r="R375" s="2"/>
      <c r="T375" s="2"/>
      <c r="X375" s="2"/>
      <c r="Y375" s="2"/>
      <c r="Z375" s="2"/>
      <c r="AA375" s="2"/>
      <c r="AB375" s="2"/>
      <c r="AC375" s="2"/>
      <c r="AG375" s="2"/>
      <c r="AK375" s="2"/>
      <c r="AL375" s="2"/>
      <c r="AM375" s="2"/>
      <c r="AN375" s="3"/>
      <c r="AO375" s="2"/>
      <c r="AU375" s="5"/>
    </row>
    <row r="376" ht="15.75" customHeight="1" spans="1:47">
      <c r="A376" s="2"/>
      <c r="F376" s="2"/>
      <c r="G376" s="2"/>
      <c r="K376" s="2"/>
      <c r="O376" s="2"/>
      <c r="P376" s="2"/>
      <c r="R376" s="2"/>
      <c r="T376" s="2"/>
      <c r="X376" s="2"/>
      <c r="Y376" s="2"/>
      <c r="Z376" s="2"/>
      <c r="AA376" s="2"/>
      <c r="AB376" s="2"/>
      <c r="AC376" s="2"/>
      <c r="AG376" s="2"/>
      <c r="AK376" s="2"/>
      <c r="AL376" s="2"/>
      <c r="AM376" s="2"/>
      <c r="AN376" s="3"/>
      <c r="AO376" s="2"/>
      <c r="AU376" s="5"/>
    </row>
    <row r="377" ht="15.75" customHeight="1" spans="1:47">
      <c r="A377" s="2"/>
      <c r="F377" s="2"/>
      <c r="G377" s="2"/>
      <c r="K377" s="2"/>
      <c r="O377" s="2"/>
      <c r="P377" s="2"/>
      <c r="R377" s="2"/>
      <c r="T377" s="2"/>
      <c r="X377" s="2"/>
      <c r="Y377" s="2"/>
      <c r="Z377" s="2"/>
      <c r="AA377" s="2"/>
      <c r="AB377" s="2"/>
      <c r="AC377" s="2"/>
      <c r="AG377" s="2"/>
      <c r="AK377" s="2"/>
      <c r="AL377" s="2"/>
      <c r="AM377" s="2"/>
      <c r="AN377" s="3"/>
      <c r="AO377" s="2"/>
      <c r="AU377" s="5"/>
    </row>
    <row r="378" ht="15.75" customHeight="1" spans="1:47">
      <c r="A378" s="2"/>
      <c r="F378" s="2"/>
      <c r="G378" s="2"/>
      <c r="K378" s="2"/>
      <c r="O378" s="2"/>
      <c r="P378" s="2"/>
      <c r="R378" s="2"/>
      <c r="T378" s="2"/>
      <c r="X378" s="2"/>
      <c r="Y378" s="2"/>
      <c r="Z378" s="2"/>
      <c r="AA378" s="2"/>
      <c r="AB378" s="2"/>
      <c r="AC378" s="2"/>
      <c r="AG378" s="2"/>
      <c r="AK378" s="2"/>
      <c r="AL378" s="2"/>
      <c r="AM378" s="2"/>
      <c r="AN378" s="3"/>
      <c r="AO378" s="2"/>
      <c r="AU378" s="5"/>
    </row>
    <row r="379" ht="15.75" customHeight="1" spans="1:47">
      <c r="A379" s="2"/>
      <c r="F379" s="2"/>
      <c r="G379" s="2"/>
      <c r="K379" s="2"/>
      <c r="O379" s="2"/>
      <c r="P379" s="2"/>
      <c r="R379" s="2"/>
      <c r="T379" s="2"/>
      <c r="X379" s="2"/>
      <c r="Y379" s="2"/>
      <c r="Z379" s="2"/>
      <c r="AA379" s="2"/>
      <c r="AB379" s="2"/>
      <c r="AC379" s="2"/>
      <c r="AG379" s="2"/>
      <c r="AK379" s="2"/>
      <c r="AL379" s="2"/>
      <c r="AM379" s="2"/>
      <c r="AN379" s="3"/>
      <c r="AO379" s="2"/>
      <c r="AU379" s="5"/>
    </row>
    <row r="380" ht="15.75" customHeight="1" spans="1:47">
      <c r="A380" s="2"/>
      <c r="F380" s="2"/>
      <c r="G380" s="2"/>
      <c r="K380" s="2"/>
      <c r="O380" s="2"/>
      <c r="P380" s="2"/>
      <c r="R380" s="2"/>
      <c r="T380" s="2"/>
      <c r="X380" s="2"/>
      <c r="Y380" s="2"/>
      <c r="Z380" s="2"/>
      <c r="AA380" s="2"/>
      <c r="AB380" s="2"/>
      <c r="AC380" s="2"/>
      <c r="AG380" s="2"/>
      <c r="AK380" s="2"/>
      <c r="AL380" s="2"/>
      <c r="AM380" s="2"/>
      <c r="AN380" s="3"/>
      <c r="AO380" s="2"/>
      <c r="AU380" s="5"/>
    </row>
    <row r="381" ht="15.75" customHeight="1" spans="1:47">
      <c r="A381" s="2"/>
      <c r="F381" s="2"/>
      <c r="G381" s="2"/>
      <c r="K381" s="2"/>
      <c r="O381" s="2"/>
      <c r="P381" s="2"/>
      <c r="R381" s="2"/>
      <c r="T381" s="2"/>
      <c r="X381" s="2"/>
      <c r="Y381" s="2"/>
      <c r="Z381" s="2"/>
      <c r="AA381" s="2"/>
      <c r="AB381" s="2"/>
      <c r="AC381" s="2"/>
      <c r="AG381" s="2"/>
      <c r="AK381" s="2"/>
      <c r="AL381" s="2"/>
      <c r="AM381" s="2"/>
      <c r="AN381" s="3"/>
      <c r="AO381" s="2"/>
      <c r="AU381" s="5"/>
    </row>
    <row r="382" ht="15.75" customHeight="1" spans="1:47">
      <c r="A382" s="2"/>
      <c r="F382" s="2"/>
      <c r="G382" s="2"/>
      <c r="K382" s="2"/>
      <c r="O382" s="2"/>
      <c r="P382" s="2"/>
      <c r="R382" s="2"/>
      <c r="T382" s="2"/>
      <c r="X382" s="2"/>
      <c r="Y382" s="2"/>
      <c r="Z382" s="2"/>
      <c r="AA382" s="2"/>
      <c r="AB382" s="2"/>
      <c r="AC382" s="2"/>
      <c r="AG382" s="2"/>
      <c r="AK382" s="2"/>
      <c r="AL382" s="2"/>
      <c r="AM382" s="2"/>
      <c r="AN382" s="3"/>
      <c r="AO382" s="2"/>
      <c r="AU382" s="5"/>
    </row>
    <row r="383" ht="15.75" customHeight="1" spans="1:47">
      <c r="A383" s="2"/>
      <c r="F383" s="2"/>
      <c r="G383" s="2"/>
      <c r="K383" s="2"/>
      <c r="O383" s="2"/>
      <c r="P383" s="2"/>
      <c r="R383" s="2"/>
      <c r="T383" s="2"/>
      <c r="X383" s="2"/>
      <c r="Y383" s="2"/>
      <c r="Z383" s="2"/>
      <c r="AA383" s="2"/>
      <c r="AB383" s="2"/>
      <c r="AC383" s="2"/>
      <c r="AG383" s="2"/>
      <c r="AK383" s="2"/>
      <c r="AL383" s="2"/>
      <c r="AM383" s="2"/>
      <c r="AN383" s="3"/>
      <c r="AO383" s="2"/>
      <c r="AU383" s="5"/>
    </row>
    <row r="384" ht="15.75" customHeight="1" spans="1:47">
      <c r="A384" s="2"/>
      <c r="F384" s="2"/>
      <c r="G384" s="2"/>
      <c r="K384" s="2"/>
      <c r="O384" s="2"/>
      <c r="P384" s="2"/>
      <c r="R384" s="2"/>
      <c r="T384" s="2"/>
      <c r="X384" s="2"/>
      <c r="Y384" s="2"/>
      <c r="Z384" s="2"/>
      <c r="AA384" s="2"/>
      <c r="AB384" s="2"/>
      <c r="AC384" s="2"/>
      <c r="AG384" s="2"/>
      <c r="AK384" s="2"/>
      <c r="AL384" s="2"/>
      <c r="AM384" s="2"/>
      <c r="AN384" s="3"/>
      <c r="AO384" s="2"/>
      <c r="AU384" s="5"/>
    </row>
    <row r="385" ht="15.75" customHeight="1" spans="1:47">
      <c r="A385" s="2"/>
      <c r="F385" s="2"/>
      <c r="G385" s="2"/>
      <c r="K385" s="2"/>
      <c r="O385" s="2"/>
      <c r="P385" s="2"/>
      <c r="R385" s="2"/>
      <c r="T385" s="2"/>
      <c r="X385" s="2"/>
      <c r="Y385" s="2"/>
      <c r="Z385" s="2"/>
      <c r="AA385" s="2"/>
      <c r="AB385" s="2"/>
      <c r="AC385" s="2"/>
      <c r="AG385" s="2"/>
      <c r="AK385" s="2"/>
      <c r="AL385" s="2"/>
      <c r="AM385" s="2"/>
      <c r="AN385" s="3"/>
      <c r="AO385" s="2"/>
      <c r="AU385" s="5"/>
    </row>
    <row r="386" ht="15.75" customHeight="1" spans="1:47">
      <c r="A386" s="2"/>
      <c r="F386" s="2"/>
      <c r="G386" s="2"/>
      <c r="K386" s="2"/>
      <c r="O386" s="2"/>
      <c r="P386" s="2"/>
      <c r="R386" s="2"/>
      <c r="T386" s="2"/>
      <c r="X386" s="2"/>
      <c r="Y386" s="2"/>
      <c r="Z386" s="2"/>
      <c r="AA386" s="2"/>
      <c r="AB386" s="2"/>
      <c r="AC386" s="2"/>
      <c r="AG386" s="2"/>
      <c r="AK386" s="2"/>
      <c r="AL386" s="2"/>
      <c r="AM386" s="2"/>
      <c r="AN386" s="3"/>
      <c r="AO386" s="2"/>
      <c r="AU386" s="5"/>
    </row>
    <row r="387" ht="15.75" customHeight="1" spans="1:47">
      <c r="A387" s="2"/>
      <c r="F387" s="2"/>
      <c r="G387" s="2"/>
      <c r="K387" s="2"/>
      <c r="O387" s="2"/>
      <c r="P387" s="2"/>
      <c r="R387" s="2"/>
      <c r="T387" s="2"/>
      <c r="X387" s="2"/>
      <c r="Y387" s="2"/>
      <c r="Z387" s="2"/>
      <c r="AA387" s="2"/>
      <c r="AB387" s="2"/>
      <c r="AC387" s="2"/>
      <c r="AG387" s="2"/>
      <c r="AK387" s="2"/>
      <c r="AL387" s="2"/>
      <c r="AM387" s="2"/>
      <c r="AN387" s="3"/>
      <c r="AO387" s="2"/>
      <c r="AU387" s="5"/>
    </row>
    <row r="388" ht="15.75" customHeight="1" spans="1:47">
      <c r="A388" s="2"/>
      <c r="F388" s="2"/>
      <c r="G388" s="2"/>
      <c r="K388" s="2"/>
      <c r="O388" s="2"/>
      <c r="P388" s="2"/>
      <c r="R388" s="2"/>
      <c r="T388" s="2"/>
      <c r="X388" s="2"/>
      <c r="Y388" s="2"/>
      <c r="Z388" s="2"/>
      <c r="AA388" s="2"/>
      <c r="AB388" s="2"/>
      <c r="AC388" s="2"/>
      <c r="AG388" s="2"/>
      <c r="AK388" s="2"/>
      <c r="AL388" s="2"/>
      <c r="AM388" s="2"/>
      <c r="AN388" s="3"/>
      <c r="AO388" s="2"/>
      <c r="AU388" s="5"/>
    </row>
    <row r="389" ht="15.75" customHeight="1" spans="1:47">
      <c r="A389" s="2"/>
      <c r="F389" s="2"/>
      <c r="G389" s="2"/>
      <c r="K389" s="2"/>
      <c r="O389" s="2"/>
      <c r="P389" s="2"/>
      <c r="R389" s="2"/>
      <c r="T389" s="2"/>
      <c r="X389" s="2"/>
      <c r="Y389" s="2"/>
      <c r="Z389" s="2"/>
      <c r="AA389" s="2"/>
      <c r="AB389" s="2"/>
      <c r="AC389" s="2"/>
      <c r="AG389" s="2"/>
      <c r="AK389" s="2"/>
      <c r="AL389" s="2"/>
      <c r="AM389" s="2"/>
      <c r="AN389" s="3"/>
      <c r="AO389" s="2"/>
      <c r="AU389" s="5"/>
    </row>
    <row r="390" ht="15.75" customHeight="1" spans="1:47">
      <c r="A390" s="2"/>
      <c r="F390" s="2"/>
      <c r="G390" s="2"/>
      <c r="K390" s="2"/>
      <c r="O390" s="2"/>
      <c r="P390" s="2"/>
      <c r="R390" s="2"/>
      <c r="T390" s="2"/>
      <c r="X390" s="2"/>
      <c r="Y390" s="2"/>
      <c r="Z390" s="2"/>
      <c r="AA390" s="2"/>
      <c r="AB390" s="2"/>
      <c r="AC390" s="2"/>
      <c r="AG390" s="2"/>
      <c r="AK390" s="2"/>
      <c r="AL390" s="2"/>
      <c r="AM390" s="2"/>
      <c r="AN390" s="3"/>
      <c r="AO390" s="2"/>
      <c r="AU390" s="5"/>
    </row>
    <row r="391" ht="15.75" customHeight="1" spans="1:47">
      <c r="A391" s="2"/>
      <c r="F391" s="2"/>
      <c r="G391" s="2"/>
      <c r="K391" s="2"/>
      <c r="O391" s="2"/>
      <c r="P391" s="2"/>
      <c r="R391" s="2"/>
      <c r="T391" s="2"/>
      <c r="X391" s="2"/>
      <c r="Y391" s="2"/>
      <c r="Z391" s="2"/>
      <c r="AA391" s="2"/>
      <c r="AB391" s="2"/>
      <c r="AC391" s="2"/>
      <c r="AG391" s="2"/>
      <c r="AK391" s="2"/>
      <c r="AL391" s="2"/>
      <c r="AM391" s="2"/>
      <c r="AN391" s="3"/>
      <c r="AO391" s="2"/>
      <c r="AU391" s="5"/>
    </row>
    <row r="392" ht="15.75" customHeight="1" spans="1:47">
      <c r="A392" s="2"/>
      <c r="F392" s="2"/>
      <c r="G392" s="2"/>
      <c r="K392" s="2"/>
      <c r="O392" s="2"/>
      <c r="P392" s="2"/>
      <c r="R392" s="2"/>
      <c r="T392" s="2"/>
      <c r="X392" s="2"/>
      <c r="Y392" s="2"/>
      <c r="Z392" s="2"/>
      <c r="AA392" s="2"/>
      <c r="AB392" s="2"/>
      <c r="AC392" s="2"/>
      <c r="AG392" s="2"/>
      <c r="AK392" s="2"/>
      <c r="AL392" s="2"/>
      <c r="AM392" s="2"/>
      <c r="AN392" s="3"/>
      <c r="AO392" s="2"/>
      <c r="AU392" s="5"/>
    </row>
    <row r="393" ht="15.75" customHeight="1" spans="1:47">
      <c r="A393" s="2"/>
      <c r="F393" s="2"/>
      <c r="G393" s="2"/>
      <c r="K393" s="2"/>
      <c r="O393" s="2"/>
      <c r="P393" s="2"/>
      <c r="R393" s="2"/>
      <c r="T393" s="2"/>
      <c r="X393" s="2"/>
      <c r="Y393" s="2"/>
      <c r="Z393" s="2"/>
      <c r="AA393" s="2"/>
      <c r="AB393" s="2"/>
      <c r="AC393" s="2"/>
      <c r="AG393" s="2"/>
      <c r="AK393" s="2"/>
      <c r="AL393" s="2"/>
      <c r="AM393" s="2"/>
      <c r="AN393" s="3"/>
      <c r="AO393" s="2"/>
      <c r="AU393" s="5"/>
    </row>
    <row r="394" ht="15.75" customHeight="1" spans="1:47">
      <c r="A394" s="2"/>
      <c r="F394" s="2"/>
      <c r="G394" s="2"/>
      <c r="K394" s="2"/>
      <c r="O394" s="2"/>
      <c r="P394" s="2"/>
      <c r="R394" s="2"/>
      <c r="T394" s="2"/>
      <c r="X394" s="2"/>
      <c r="Y394" s="2"/>
      <c r="Z394" s="2"/>
      <c r="AA394" s="2"/>
      <c r="AB394" s="2"/>
      <c r="AC394" s="2"/>
      <c r="AG394" s="2"/>
      <c r="AK394" s="2"/>
      <c r="AL394" s="2"/>
      <c r="AM394" s="2"/>
      <c r="AN394" s="3"/>
      <c r="AO394" s="2"/>
      <c r="AU394" s="5"/>
    </row>
    <row r="395" ht="15.75" customHeight="1" spans="1:47">
      <c r="A395" s="2"/>
      <c r="F395" s="2"/>
      <c r="G395" s="2"/>
      <c r="K395" s="2"/>
      <c r="O395" s="2"/>
      <c r="P395" s="2"/>
      <c r="R395" s="2"/>
      <c r="T395" s="2"/>
      <c r="X395" s="2"/>
      <c r="Y395" s="2"/>
      <c r="Z395" s="2"/>
      <c r="AA395" s="2"/>
      <c r="AB395" s="2"/>
      <c r="AC395" s="2"/>
      <c r="AG395" s="2"/>
      <c r="AK395" s="2"/>
      <c r="AL395" s="2"/>
      <c r="AM395" s="2"/>
      <c r="AN395" s="3"/>
      <c r="AO395" s="2"/>
      <c r="AU395" s="5"/>
    </row>
    <row r="396" ht="15.75" customHeight="1" spans="1:47">
      <c r="A396" s="2"/>
      <c r="F396" s="2"/>
      <c r="G396" s="2"/>
      <c r="K396" s="2"/>
      <c r="O396" s="2"/>
      <c r="P396" s="2"/>
      <c r="R396" s="2"/>
      <c r="T396" s="2"/>
      <c r="X396" s="2"/>
      <c r="Y396" s="2"/>
      <c r="Z396" s="2"/>
      <c r="AA396" s="2"/>
      <c r="AB396" s="2"/>
      <c r="AC396" s="2"/>
      <c r="AG396" s="2"/>
      <c r="AK396" s="2"/>
      <c r="AL396" s="2"/>
      <c r="AM396" s="2"/>
      <c r="AN396" s="3"/>
      <c r="AO396" s="2"/>
      <c r="AU396" s="5"/>
    </row>
    <row r="397" ht="15.75" customHeight="1" spans="1:47">
      <c r="A397" s="2"/>
      <c r="F397" s="2"/>
      <c r="G397" s="2"/>
      <c r="K397" s="2"/>
      <c r="O397" s="2"/>
      <c r="P397" s="2"/>
      <c r="R397" s="2"/>
      <c r="T397" s="2"/>
      <c r="X397" s="2"/>
      <c r="Y397" s="2"/>
      <c r="Z397" s="2"/>
      <c r="AA397" s="2"/>
      <c r="AB397" s="2"/>
      <c r="AC397" s="2"/>
      <c r="AG397" s="2"/>
      <c r="AK397" s="2"/>
      <c r="AL397" s="2"/>
      <c r="AM397" s="2"/>
      <c r="AN397" s="3"/>
      <c r="AO397" s="2"/>
      <c r="AU397" s="5"/>
    </row>
    <row r="398" ht="15.75" customHeight="1" spans="1:47">
      <c r="A398" s="2"/>
      <c r="F398" s="2"/>
      <c r="G398" s="2"/>
      <c r="K398" s="2"/>
      <c r="O398" s="2"/>
      <c r="P398" s="2"/>
      <c r="R398" s="2"/>
      <c r="T398" s="2"/>
      <c r="X398" s="2"/>
      <c r="Y398" s="2"/>
      <c r="Z398" s="2"/>
      <c r="AA398" s="2"/>
      <c r="AB398" s="2"/>
      <c r="AC398" s="2"/>
      <c r="AG398" s="2"/>
      <c r="AK398" s="2"/>
      <c r="AL398" s="2"/>
      <c r="AM398" s="2"/>
      <c r="AN398" s="3"/>
      <c r="AO398" s="2"/>
      <c r="AU398" s="5"/>
    </row>
    <row r="399" ht="15.75" customHeight="1" spans="1:47">
      <c r="A399" s="2"/>
      <c r="F399" s="2"/>
      <c r="G399" s="2"/>
      <c r="K399" s="2"/>
      <c r="O399" s="2"/>
      <c r="P399" s="2"/>
      <c r="R399" s="2"/>
      <c r="T399" s="2"/>
      <c r="X399" s="2"/>
      <c r="Y399" s="2"/>
      <c r="Z399" s="2"/>
      <c r="AA399" s="2"/>
      <c r="AB399" s="2"/>
      <c r="AC399" s="2"/>
      <c r="AG399" s="2"/>
      <c r="AK399" s="2"/>
      <c r="AL399" s="2"/>
      <c r="AM399" s="2"/>
      <c r="AN399" s="3"/>
      <c r="AO399" s="2"/>
      <c r="AU399" s="5"/>
    </row>
    <row r="400" ht="15.75" customHeight="1" spans="1:47">
      <c r="A400" s="2"/>
      <c r="F400" s="2"/>
      <c r="G400" s="2"/>
      <c r="K400" s="2"/>
      <c r="O400" s="2"/>
      <c r="P400" s="2"/>
      <c r="R400" s="2"/>
      <c r="T400" s="2"/>
      <c r="X400" s="2"/>
      <c r="Y400" s="2"/>
      <c r="Z400" s="2"/>
      <c r="AA400" s="2"/>
      <c r="AB400" s="2"/>
      <c r="AC400" s="2"/>
      <c r="AG400" s="2"/>
      <c r="AK400" s="2"/>
      <c r="AL400" s="2"/>
      <c r="AM400" s="2"/>
      <c r="AN400" s="3"/>
      <c r="AO400" s="2"/>
      <c r="AU400" s="5"/>
    </row>
    <row r="401" ht="15.75" customHeight="1" spans="1:47">
      <c r="A401" s="2"/>
      <c r="F401" s="2"/>
      <c r="G401" s="2"/>
      <c r="K401" s="2"/>
      <c r="O401" s="2"/>
      <c r="P401" s="2"/>
      <c r="R401" s="2"/>
      <c r="T401" s="2"/>
      <c r="X401" s="2"/>
      <c r="Y401" s="2"/>
      <c r="Z401" s="2"/>
      <c r="AA401" s="2"/>
      <c r="AB401" s="2"/>
      <c r="AC401" s="2"/>
      <c r="AG401" s="2"/>
      <c r="AK401" s="2"/>
      <c r="AL401" s="2"/>
      <c r="AM401" s="2"/>
      <c r="AN401" s="3"/>
      <c r="AO401" s="2"/>
      <c r="AU401" s="5"/>
    </row>
    <row r="402" ht="15.75" customHeight="1" spans="1:47">
      <c r="A402" s="2"/>
      <c r="F402" s="2"/>
      <c r="G402" s="2"/>
      <c r="K402" s="2"/>
      <c r="O402" s="2"/>
      <c r="P402" s="2"/>
      <c r="R402" s="2"/>
      <c r="T402" s="2"/>
      <c r="X402" s="2"/>
      <c r="Y402" s="2"/>
      <c r="Z402" s="2"/>
      <c r="AA402" s="2"/>
      <c r="AB402" s="2"/>
      <c r="AC402" s="2"/>
      <c r="AG402" s="2"/>
      <c r="AK402" s="2"/>
      <c r="AL402" s="2"/>
      <c r="AM402" s="2"/>
      <c r="AN402" s="3"/>
      <c r="AO402" s="2"/>
      <c r="AU402" s="5"/>
    </row>
    <row r="403" ht="15.75" customHeight="1" spans="1:47">
      <c r="A403" s="2"/>
      <c r="F403" s="2"/>
      <c r="G403" s="2"/>
      <c r="K403" s="2"/>
      <c r="O403" s="2"/>
      <c r="P403" s="2"/>
      <c r="R403" s="2"/>
      <c r="T403" s="2"/>
      <c r="X403" s="2"/>
      <c r="Y403" s="2"/>
      <c r="Z403" s="2"/>
      <c r="AA403" s="2"/>
      <c r="AB403" s="2"/>
      <c r="AC403" s="2"/>
      <c r="AG403" s="2"/>
      <c r="AK403" s="2"/>
      <c r="AL403" s="2"/>
      <c r="AM403" s="2"/>
      <c r="AN403" s="3"/>
      <c r="AO403" s="2"/>
      <c r="AU403" s="5"/>
    </row>
    <row r="404" ht="15.75" customHeight="1" spans="1:47">
      <c r="A404" s="2"/>
      <c r="F404" s="2"/>
      <c r="G404" s="2"/>
      <c r="K404" s="2"/>
      <c r="O404" s="2"/>
      <c r="P404" s="2"/>
      <c r="R404" s="2"/>
      <c r="T404" s="2"/>
      <c r="X404" s="2"/>
      <c r="Y404" s="2"/>
      <c r="Z404" s="2"/>
      <c r="AA404" s="2"/>
      <c r="AB404" s="2"/>
      <c r="AC404" s="2"/>
      <c r="AG404" s="2"/>
      <c r="AK404" s="2"/>
      <c r="AL404" s="2"/>
      <c r="AM404" s="2"/>
      <c r="AN404" s="3"/>
      <c r="AO404" s="2"/>
      <c r="AU404" s="5"/>
    </row>
    <row r="405" ht="15.75" customHeight="1" spans="1:47">
      <c r="A405" s="2"/>
      <c r="F405" s="2"/>
      <c r="G405" s="2"/>
      <c r="K405" s="2"/>
      <c r="O405" s="2"/>
      <c r="P405" s="2"/>
      <c r="R405" s="2"/>
      <c r="T405" s="2"/>
      <c r="X405" s="2"/>
      <c r="Y405" s="2"/>
      <c r="Z405" s="2"/>
      <c r="AA405" s="2"/>
      <c r="AB405" s="2"/>
      <c r="AC405" s="2"/>
      <c r="AG405" s="2"/>
      <c r="AK405" s="2"/>
      <c r="AL405" s="2"/>
      <c r="AM405" s="2"/>
      <c r="AN405" s="3"/>
      <c r="AO405" s="2"/>
      <c r="AU405" s="5"/>
    </row>
    <row r="406" ht="15.75" customHeight="1" spans="1:47">
      <c r="A406" s="2"/>
      <c r="F406" s="2"/>
      <c r="G406" s="2"/>
      <c r="K406" s="2"/>
      <c r="O406" s="2"/>
      <c r="P406" s="2"/>
      <c r="R406" s="2"/>
      <c r="T406" s="2"/>
      <c r="X406" s="2"/>
      <c r="Y406" s="2"/>
      <c r="Z406" s="2"/>
      <c r="AA406" s="2"/>
      <c r="AB406" s="2"/>
      <c r="AC406" s="2"/>
      <c r="AG406" s="2"/>
      <c r="AK406" s="2"/>
      <c r="AL406" s="2"/>
      <c r="AM406" s="2"/>
      <c r="AN406" s="3"/>
      <c r="AO406" s="2"/>
      <c r="AU406" s="5"/>
    </row>
    <row r="407" ht="15.75" customHeight="1" spans="1:47">
      <c r="A407" s="2"/>
      <c r="F407" s="2"/>
      <c r="G407" s="2"/>
      <c r="K407" s="2"/>
      <c r="O407" s="2"/>
      <c r="P407" s="2"/>
      <c r="R407" s="2"/>
      <c r="T407" s="2"/>
      <c r="X407" s="2"/>
      <c r="Y407" s="2"/>
      <c r="Z407" s="2"/>
      <c r="AA407" s="2"/>
      <c r="AB407" s="2"/>
      <c r="AC407" s="2"/>
      <c r="AG407" s="2"/>
      <c r="AK407" s="2"/>
      <c r="AL407" s="2"/>
      <c r="AM407" s="2"/>
      <c r="AN407" s="3"/>
      <c r="AO407" s="2"/>
      <c r="AU407" s="5"/>
    </row>
    <row r="408" ht="15.75" customHeight="1" spans="1:47">
      <c r="A408" s="2"/>
      <c r="F408" s="2"/>
      <c r="G408" s="2"/>
      <c r="K408" s="2"/>
      <c r="O408" s="2"/>
      <c r="P408" s="2"/>
      <c r="R408" s="2"/>
      <c r="T408" s="2"/>
      <c r="X408" s="2"/>
      <c r="Y408" s="2"/>
      <c r="Z408" s="2"/>
      <c r="AA408" s="2"/>
      <c r="AB408" s="2"/>
      <c r="AC408" s="2"/>
      <c r="AG408" s="2"/>
      <c r="AK408" s="2"/>
      <c r="AL408" s="2"/>
      <c r="AM408" s="2"/>
      <c r="AN408" s="3"/>
      <c r="AO408" s="2"/>
      <c r="AU408" s="5"/>
    </row>
    <row r="409" ht="15.75" customHeight="1" spans="1:47">
      <c r="A409" s="2"/>
      <c r="F409" s="2"/>
      <c r="G409" s="2"/>
      <c r="K409" s="2"/>
      <c r="O409" s="2"/>
      <c r="P409" s="2"/>
      <c r="R409" s="2"/>
      <c r="T409" s="2"/>
      <c r="X409" s="2"/>
      <c r="Y409" s="2"/>
      <c r="Z409" s="2"/>
      <c r="AA409" s="2"/>
      <c r="AB409" s="2"/>
      <c r="AC409" s="2"/>
      <c r="AG409" s="2"/>
      <c r="AK409" s="2"/>
      <c r="AL409" s="2"/>
      <c r="AM409" s="2"/>
      <c r="AN409" s="3"/>
      <c r="AO409" s="2"/>
      <c r="AU409" s="5"/>
    </row>
    <row r="410" ht="15.75" customHeight="1" spans="1:47">
      <c r="A410" s="2"/>
      <c r="F410" s="2"/>
      <c r="G410" s="2"/>
      <c r="K410" s="2"/>
      <c r="O410" s="2"/>
      <c r="P410" s="2"/>
      <c r="R410" s="2"/>
      <c r="T410" s="2"/>
      <c r="X410" s="2"/>
      <c r="Y410" s="2"/>
      <c r="Z410" s="2"/>
      <c r="AA410" s="2"/>
      <c r="AB410" s="2"/>
      <c r="AC410" s="2"/>
      <c r="AG410" s="2"/>
      <c r="AK410" s="2"/>
      <c r="AL410" s="2"/>
      <c r="AM410" s="2"/>
      <c r="AN410" s="3"/>
      <c r="AO410" s="2"/>
      <c r="AU410" s="5"/>
    </row>
    <row r="411" ht="15.75" customHeight="1" spans="1:47">
      <c r="A411" s="2"/>
      <c r="F411" s="2"/>
      <c r="G411" s="2"/>
      <c r="K411" s="2"/>
      <c r="O411" s="2"/>
      <c r="P411" s="2"/>
      <c r="R411" s="2"/>
      <c r="T411" s="2"/>
      <c r="X411" s="2"/>
      <c r="Y411" s="2"/>
      <c r="Z411" s="2"/>
      <c r="AA411" s="2"/>
      <c r="AB411" s="2"/>
      <c r="AC411" s="2"/>
      <c r="AG411" s="2"/>
      <c r="AK411" s="2"/>
      <c r="AL411" s="2"/>
      <c r="AM411" s="2"/>
      <c r="AN411" s="3"/>
      <c r="AO411" s="2"/>
      <c r="AU411" s="5"/>
    </row>
    <row r="412" ht="15.75" customHeight="1" spans="1:47">
      <c r="A412" s="2"/>
      <c r="F412" s="2"/>
      <c r="G412" s="2"/>
      <c r="K412" s="2"/>
      <c r="O412" s="2"/>
      <c r="P412" s="2"/>
      <c r="R412" s="2"/>
      <c r="T412" s="2"/>
      <c r="X412" s="2"/>
      <c r="Y412" s="2"/>
      <c r="Z412" s="2"/>
      <c r="AA412" s="2"/>
      <c r="AB412" s="2"/>
      <c r="AC412" s="2"/>
      <c r="AG412" s="2"/>
      <c r="AK412" s="2"/>
      <c r="AL412" s="2"/>
      <c r="AM412" s="2"/>
      <c r="AN412" s="3"/>
      <c r="AO412" s="2"/>
      <c r="AU412" s="5"/>
    </row>
    <row r="413" ht="15.75" customHeight="1" spans="1:47">
      <c r="A413" s="2"/>
      <c r="F413" s="2"/>
      <c r="G413" s="2"/>
      <c r="K413" s="2"/>
      <c r="O413" s="2"/>
      <c r="P413" s="2"/>
      <c r="R413" s="2"/>
      <c r="T413" s="2"/>
      <c r="X413" s="2"/>
      <c r="Y413" s="2"/>
      <c r="Z413" s="2"/>
      <c r="AA413" s="2"/>
      <c r="AB413" s="2"/>
      <c r="AC413" s="2"/>
      <c r="AG413" s="2"/>
      <c r="AK413" s="2"/>
      <c r="AL413" s="2"/>
      <c r="AM413" s="2"/>
      <c r="AN413" s="3"/>
      <c r="AO413" s="2"/>
      <c r="AU413" s="5"/>
    </row>
    <row r="414" ht="15.75" customHeight="1" spans="1:47">
      <c r="A414" s="2"/>
      <c r="F414" s="2"/>
      <c r="G414" s="2"/>
      <c r="K414" s="2"/>
      <c r="O414" s="2"/>
      <c r="P414" s="2"/>
      <c r="R414" s="2"/>
      <c r="T414" s="2"/>
      <c r="X414" s="2"/>
      <c r="Y414" s="2"/>
      <c r="Z414" s="2"/>
      <c r="AA414" s="2"/>
      <c r="AB414" s="2"/>
      <c r="AC414" s="2"/>
      <c r="AG414" s="2"/>
      <c r="AK414" s="2"/>
      <c r="AL414" s="2"/>
      <c r="AM414" s="2"/>
      <c r="AN414" s="3"/>
      <c r="AO414" s="2"/>
      <c r="AU414" s="5"/>
    </row>
    <row r="415" ht="15.75" customHeight="1" spans="1:47">
      <c r="A415" s="2"/>
      <c r="F415" s="2"/>
      <c r="G415" s="2"/>
      <c r="K415" s="2"/>
      <c r="O415" s="2"/>
      <c r="P415" s="2"/>
      <c r="R415" s="2"/>
      <c r="T415" s="2"/>
      <c r="X415" s="2"/>
      <c r="Y415" s="2"/>
      <c r="Z415" s="2"/>
      <c r="AA415" s="2"/>
      <c r="AB415" s="2"/>
      <c r="AC415" s="2"/>
      <c r="AG415" s="2"/>
      <c r="AK415" s="2"/>
      <c r="AL415" s="2"/>
      <c r="AM415" s="2"/>
      <c r="AN415" s="3"/>
      <c r="AO415" s="2"/>
      <c r="AU415" s="5"/>
    </row>
    <row r="416" ht="15.75" customHeight="1" spans="1:47">
      <c r="A416" s="2"/>
      <c r="F416" s="2"/>
      <c r="G416" s="2"/>
      <c r="K416" s="2"/>
      <c r="O416" s="2"/>
      <c r="P416" s="2"/>
      <c r="R416" s="2"/>
      <c r="T416" s="2"/>
      <c r="X416" s="2"/>
      <c r="Y416" s="2"/>
      <c r="Z416" s="2"/>
      <c r="AA416" s="2"/>
      <c r="AB416" s="2"/>
      <c r="AC416" s="2"/>
      <c r="AG416" s="2"/>
      <c r="AK416" s="2"/>
      <c r="AL416" s="2"/>
      <c r="AM416" s="2"/>
      <c r="AN416" s="3"/>
      <c r="AO416" s="2"/>
      <c r="AU416" s="5"/>
    </row>
    <row r="417" ht="15.75" customHeight="1" spans="1:47">
      <c r="A417" s="2"/>
      <c r="F417" s="2"/>
      <c r="G417" s="2"/>
      <c r="K417" s="2"/>
      <c r="O417" s="2"/>
      <c r="P417" s="2"/>
      <c r="R417" s="2"/>
      <c r="T417" s="2"/>
      <c r="X417" s="2"/>
      <c r="Y417" s="2"/>
      <c r="Z417" s="2"/>
      <c r="AA417" s="2"/>
      <c r="AB417" s="2"/>
      <c r="AC417" s="2"/>
      <c r="AG417" s="2"/>
      <c r="AK417" s="2"/>
      <c r="AL417" s="2"/>
      <c r="AM417" s="2"/>
      <c r="AN417" s="3"/>
      <c r="AO417" s="2"/>
      <c r="AU417" s="5"/>
    </row>
    <row r="418" ht="15.75" customHeight="1" spans="1:47">
      <c r="A418" s="2"/>
      <c r="F418" s="2"/>
      <c r="G418" s="2"/>
      <c r="K418" s="2"/>
      <c r="O418" s="2"/>
      <c r="P418" s="2"/>
      <c r="R418" s="2"/>
      <c r="T418" s="2"/>
      <c r="X418" s="2"/>
      <c r="Y418" s="2"/>
      <c r="Z418" s="2"/>
      <c r="AA418" s="2"/>
      <c r="AB418" s="2"/>
      <c r="AC418" s="2"/>
      <c r="AG418" s="2"/>
      <c r="AK418" s="2"/>
      <c r="AL418" s="2"/>
      <c r="AM418" s="2"/>
      <c r="AN418" s="3"/>
      <c r="AO418" s="2"/>
      <c r="AU418" s="5"/>
    </row>
    <row r="419" ht="15.75" customHeight="1" spans="1:47">
      <c r="A419" s="2"/>
      <c r="F419" s="2"/>
      <c r="G419" s="2"/>
      <c r="K419" s="2"/>
      <c r="O419" s="2"/>
      <c r="P419" s="2"/>
      <c r="R419" s="2"/>
      <c r="T419" s="2"/>
      <c r="X419" s="2"/>
      <c r="Y419" s="2"/>
      <c r="Z419" s="2"/>
      <c r="AA419" s="2"/>
      <c r="AB419" s="2"/>
      <c r="AC419" s="2"/>
      <c r="AG419" s="2"/>
      <c r="AK419" s="2"/>
      <c r="AL419" s="2"/>
      <c r="AM419" s="2"/>
      <c r="AN419" s="3"/>
      <c r="AO419" s="2"/>
      <c r="AU419" s="5"/>
    </row>
    <row r="420" ht="15.75" customHeight="1" spans="1:47">
      <c r="A420" s="2"/>
      <c r="F420" s="2"/>
      <c r="G420" s="2"/>
      <c r="K420" s="2"/>
      <c r="O420" s="2"/>
      <c r="P420" s="2"/>
      <c r="R420" s="2"/>
      <c r="T420" s="2"/>
      <c r="X420" s="2"/>
      <c r="Y420" s="2"/>
      <c r="Z420" s="2"/>
      <c r="AA420" s="2"/>
      <c r="AB420" s="2"/>
      <c r="AC420" s="2"/>
      <c r="AG420" s="2"/>
      <c r="AK420" s="2"/>
      <c r="AL420" s="2"/>
      <c r="AM420" s="2"/>
      <c r="AN420" s="3"/>
      <c r="AO420" s="2"/>
      <c r="AU420" s="5"/>
    </row>
    <row r="421" ht="15.75" customHeight="1" spans="1:47">
      <c r="A421" s="2"/>
      <c r="F421" s="2"/>
      <c r="G421" s="2"/>
      <c r="K421" s="2"/>
      <c r="O421" s="2"/>
      <c r="P421" s="2"/>
      <c r="R421" s="2"/>
      <c r="T421" s="2"/>
      <c r="X421" s="2"/>
      <c r="Y421" s="2"/>
      <c r="Z421" s="2"/>
      <c r="AA421" s="2"/>
      <c r="AB421" s="2"/>
      <c r="AC421" s="2"/>
      <c r="AG421" s="2"/>
      <c r="AK421" s="2"/>
      <c r="AL421" s="2"/>
      <c r="AM421" s="2"/>
      <c r="AN421" s="3"/>
      <c r="AO421" s="2"/>
      <c r="AU421" s="5"/>
    </row>
    <row r="422" ht="15.75" customHeight="1" spans="1:47">
      <c r="A422" s="2"/>
      <c r="F422" s="2"/>
      <c r="G422" s="2"/>
      <c r="K422" s="2"/>
      <c r="O422" s="2"/>
      <c r="P422" s="2"/>
      <c r="R422" s="2"/>
      <c r="T422" s="2"/>
      <c r="X422" s="2"/>
      <c r="Y422" s="2"/>
      <c r="Z422" s="2"/>
      <c r="AA422" s="2"/>
      <c r="AB422" s="2"/>
      <c r="AC422" s="2"/>
      <c r="AG422" s="2"/>
      <c r="AK422" s="2"/>
      <c r="AL422" s="2"/>
      <c r="AM422" s="2"/>
      <c r="AN422" s="3"/>
      <c r="AO422" s="2"/>
      <c r="AU422" s="5"/>
    </row>
    <row r="423" ht="15.75" customHeight="1" spans="1:47">
      <c r="A423" s="2"/>
      <c r="F423" s="2"/>
      <c r="G423" s="2"/>
      <c r="K423" s="2"/>
      <c r="O423" s="2"/>
      <c r="P423" s="2"/>
      <c r="R423" s="2"/>
      <c r="T423" s="2"/>
      <c r="X423" s="2"/>
      <c r="Y423" s="2"/>
      <c r="Z423" s="2"/>
      <c r="AA423" s="2"/>
      <c r="AB423" s="2"/>
      <c r="AC423" s="2"/>
      <c r="AG423" s="2"/>
      <c r="AK423" s="2"/>
      <c r="AL423" s="2"/>
      <c r="AM423" s="2"/>
      <c r="AN423" s="3"/>
      <c r="AO423" s="2"/>
      <c r="AU423" s="5"/>
    </row>
    <row r="424" ht="15.75" customHeight="1" spans="1:47">
      <c r="A424" s="2"/>
      <c r="F424" s="2"/>
      <c r="G424" s="2"/>
      <c r="K424" s="2"/>
      <c r="O424" s="2"/>
      <c r="P424" s="2"/>
      <c r="R424" s="2"/>
      <c r="T424" s="2"/>
      <c r="X424" s="2"/>
      <c r="Y424" s="2"/>
      <c r="Z424" s="2"/>
      <c r="AA424" s="2"/>
      <c r="AB424" s="2"/>
      <c r="AC424" s="2"/>
      <c r="AG424" s="2"/>
      <c r="AK424" s="2"/>
      <c r="AL424" s="2"/>
      <c r="AM424" s="2"/>
      <c r="AN424" s="3"/>
      <c r="AO424" s="2"/>
      <c r="AU424" s="5"/>
    </row>
    <row r="425" ht="15.75" customHeight="1" spans="1:47">
      <c r="A425" s="2"/>
      <c r="F425" s="2"/>
      <c r="G425" s="2"/>
      <c r="K425" s="2"/>
      <c r="O425" s="2"/>
      <c r="P425" s="2"/>
      <c r="R425" s="2"/>
      <c r="T425" s="2"/>
      <c r="X425" s="2"/>
      <c r="Y425" s="2"/>
      <c r="Z425" s="2"/>
      <c r="AA425" s="2"/>
      <c r="AB425" s="2"/>
      <c r="AC425" s="2"/>
      <c r="AG425" s="2"/>
      <c r="AK425" s="2"/>
      <c r="AL425" s="2"/>
      <c r="AM425" s="2"/>
      <c r="AN425" s="3"/>
      <c r="AO425" s="2"/>
      <c r="AU425" s="5"/>
    </row>
    <row r="426" ht="15.75" customHeight="1" spans="1:47">
      <c r="A426" s="2"/>
      <c r="F426" s="2"/>
      <c r="G426" s="2"/>
      <c r="K426" s="2"/>
      <c r="O426" s="2"/>
      <c r="P426" s="2"/>
      <c r="R426" s="2"/>
      <c r="T426" s="2"/>
      <c r="X426" s="2"/>
      <c r="Y426" s="2"/>
      <c r="Z426" s="2"/>
      <c r="AA426" s="2"/>
      <c r="AB426" s="2"/>
      <c r="AC426" s="2"/>
      <c r="AG426" s="2"/>
      <c r="AK426" s="2"/>
      <c r="AL426" s="2"/>
      <c r="AM426" s="2"/>
      <c r="AN426" s="3"/>
      <c r="AO426" s="2"/>
      <c r="AU426" s="5"/>
    </row>
    <row r="427" ht="15.75" customHeight="1" spans="1:47">
      <c r="A427" s="2"/>
      <c r="F427" s="2"/>
      <c r="G427" s="2"/>
      <c r="K427" s="2"/>
      <c r="O427" s="2"/>
      <c r="P427" s="2"/>
      <c r="R427" s="2"/>
      <c r="T427" s="2"/>
      <c r="X427" s="2"/>
      <c r="Y427" s="2"/>
      <c r="Z427" s="2"/>
      <c r="AA427" s="2"/>
      <c r="AB427" s="2"/>
      <c r="AC427" s="2"/>
      <c r="AG427" s="2"/>
      <c r="AK427" s="2"/>
      <c r="AL427" s="2"/>
      <c r="AM427" s="2"/>
      <c r="AN427" s="3"/>
      <c r="AO427" s="2"/>
      <c r="AU427" s="5"/>
    </row>
    <row r="428" ht="15.75" customHeight="1" spans="1:47">
      <c r="A428" s="2"/>
      <c r="F428" s="2"/>
      <c r="G428" s="2"/>
      <c r="K428" s="2"/>
      <c r="O428" s="2"/>
      <c r="P428" s="2"/>
      <c r="R428" s="2"/>
      <c r="T428" s="2"/>
      <c r="X428" s="2"/>
      <c r="Y428" s="2"/>
      <c r="Z428" s="2"/>
      <c r="AA428" s="2"/>
      <c r="AB428" s="2"/>
      <c r="AC428" s="2"/>
      <c r="AG428" s="2"/>
      <c r="AK428" s="2"/>
      <c r="AL428" s="2"/>
      <c r="AM428" s="2"/>
      <c r="AN428" s="3"/>
      <c r="AO428" s="2"/>
      <c r="AU428" s="5"/>
    </row>
    <row r="429" ht="15.75" customHeight="1" spans="1:47">
      <c r="A429" s="2"/>
      <c r="F429" s="2"/>
      <c r="G429" s="2"/>
      <c r="K429" s="2"/>
      <c r="O429" s="2"/>
      <c r="P429" s="2"/>
      <c r="R429" s="2"/>
      <c r="T429" s="2"/>
      <c r="X429" s="2"/>
      <c r="Y429" s="2"/>
      <c r="Z429" s="2"/>
      <c r="AA429" s="2"/>
      <c r="AB429" s="2"/>
      <c r="AC429" s="2"/>
      <c r="AG429" s="2"/>
      <c r="AK429" s="2"/>
      <c r="AL429" s="2"/>
      <c r="AM429" s="2"/>
      <c r="AN429" s="3"/>
      <c r="AO429" s="2"/>
      <c r="AU429" s="5"/>
    </row>
    <row r="430" ht="15.75" customHeight="1" spans="1:47">
      <c r="A430" s="2"/>
      <c r="F430" s="2"/>
      <c r="G430" s="2"/>
      <c r="K430" s="2"/>
      <c r="O430" s="2"/>
      <c r="P430" s="2"/>
      <c r="R430" s="2"/>
      <c r="T430" s="2"/>
      <c r="X430" s="2"/>
      <c r="Y430" s="2"/>
      <c r="Z430" s="2"/>
      <c r="AA430" s="2"/>
      <c r="AB430" s="2"/>
      <c r="AC430" s="2"/>
      <c r="AG430" s="2"/>
      <c r="AK430" s="2"/>
      <c r="AL430" s="2"/>
      <c r="AM430" s="2"/>
      <c r="AN430" s="3"/>
      <c r="AO430" s="2"/>
      <c r="AU430" s="5"/>
    </row>
    <row r="431" ht="15.75" customHeight="1" spans="1:47">
      <c r="A431" s="2"/>
      <c r="F431" s="2"/>
      <c r="G431" s="2"/>
      <c r="K431" s="2"/>
      <c r="O431" s="2"/>
      <c r="P431" s="2"/>
      <c r="R431" s="2"/>
      <c r="T431" s="2"/>
      <c r="X431" s="2"/>
      <c r="Y431" s="2"/>
      <c r="Z431" s="2"/>
      <c r="AA431" s="2"/>
      <c r="AB431" s="2"/>
      <c r="AC431" s="2"/>
      <c r="AG431" s="2"/>
      <c r="AK431" s="2"/>
      <c r="AL431" s="2"/>
      <c r="AM431" s="2"/>
      <c r="AN431" s="3"/>
      <c r="AO431" s="2"/>
      <c r="AU431" s="5"/>
    </row>
    <row r="432" ht="15.75" customHeight="1" spans="1:47">
      <c r="A432" s="2"/>
      <c r="F432" s="2"/>
      <c r="G432" s="2"/>
      <c r="K432" s="2"/>
      <c r="O432" s="2"/>
      <c r="P432" s="2"/>
      <c r="R432" s="2"/>
      <c r="T432" s="2"/>
      <c r="X432" s="2"/>
      <c r="Y432" s="2"/>
      <c r="Z432" s="2"/>
      <c r="AA432" s="2"/>
      <c r="AB432" s="2"/>
      <c r="AC432" s="2"/>
      <c r="AG432" s="2"/>
      <c r="AK432" s="2"/>
      <c r="AL432" s="2"/>
      <c r="AM432" s="2"/>
      <c r="AN432" s="3"/>
      <c r="AO432" s="2"/>
      <c r="AU432" s="5"/>
    </row>
    <row r="433" ht="15.75" customHeight="1" spans="1:47">
      <c r="A433" s="2"/>
      <c r="F433" s="2"/>
      <c r="G433" s="2"/>
      <c r="K433" s="2"/>
      <c r="O433" s="2"/>
      <c r="P433" s="2"/>
      <c r="R433" s="2"/>
      <c r="T433" s="2"/>
      <c r="X433" s="2"/>
      <c r="Y433" s="2"/>
      <c r="Z433" s="2"/>
      <c r="AA433" s="2"/>
      <c r="AB433" s="2"/>
      <c r="AC433" s="2"/>
      <c r="AG433" s="2"/>
      <c r="AK433" s="2"/>
      <c r="AL433" s="2"/>
      <c r="AM433" s="2"/>
      <c r="AN433" s="3"/>
      <c r="AO433" s="2"/>
      <c r="AU433" s="5"/>
    </row>
    <row r="434" ht="15.75" customHeight="1" spans="1:47">
      <c r="A434" s="2"/>
      <c r="F434" s="2"/>
      <c r="G434" s="2"/>
      <c r="K434" s="2"/>
      <c r="O434" s="2"/>
      <c r="P434" s="2"/>
      <c r="R434" s="2"/>
      <c r="T434" s="2"/>
      <c r="X434" s="2"/>
      <c r="Y434" s="2"/>
      <c r="Z434" s="2"/>
      <c r="AA434" s="2"/>
      <c r="AB434" s="2"/>
      <c r="AC434" s="2"/>
      <c r="AG434" s="2"/>
      <c r="AK434" s="2"/>
      <c r="AL434" s="2"/>
      <c r="AM434" s="2"/>
      <c r="AN434" s="3"/>
      <c r="AO434" s="2"/>
      <c r="AU434" s="5"/>
    </row>
    <row r="435" ht="15.75" customHeight="1" spans="1:47">
      <c r="A435" s="2"/>
      <c r="F435" s="2"/>
      <c r="G435" s="2"/>
      <c r="K435" s="2"/>
      <c r="O435" s="2"/>
      <c r="P435" s="2"/>
      <c r="R435" s="2"/>
      <c r="T435" s="2"/>
      <c r="X435" s="2"/>
      <c r="Y435" s="2"/>
      <c r="Z435" s="2"/>
      <c r="AA435" s="2"/>
      <c r="AB435" s="2"/>
      <c r="AC435" s="2"/>
      <c r="AG435" s="2"/>
      <c r="AK435" s="2"/>
      <c r="AL435" s="2"/>
      <c r="AM435" s="2"/>
      <c r="AN435" s="3"/>
      <c r="AO435" s="2"/>
      <c r="AU435" s="5"/>
    </row>
    <row r="436" ht="15.75" customHeight="1" spans="1:47">
      <c r="A436" s="2"/>
      <c r="F436" s="2"/>
      <c r="G436" s="2"/>
      <c r="K436" s="2"/>
      <c r="O436" s="2"/>
      <c r="P436" s="2"/>
      <c r="R436" s="2"/>
      <c r="T436" s="2"/>
      <c r="X436" s="2"/>
      <c r="Y436" s="2"/>
      <c r="Z436" s="2"/>
      <c r="AA436" s="2"/>
      <c r="AB436" s="2"/>
      <c r="AC436" s="2"/>
      <c r="AG436" s="2"/>
      <c r="AK436" s="2"/>
      <c r="AL436" s="2"/>
      <c r="AM436" s="2"/>
      <c r="AN436" s="3"/>
      <c r="AO436" s="2"/>
      <c r="AU436" s="5"/>
    </row>
    <row r="437" ht="15.75" customHeight="1" spans="1:47">
      <c r="A437" s="2"/>
      <c r="F437" s="2"/>
      <c r="G437" s="2"/>
      <c r="K437" s="2"/>
      <c r="O437" s="2"/>
      <c r="P437" s="2"/>
      <c r="R437" s="2"/>
      <c r="T437" s="2"/>
      <c r="X437" s="2"/>
      <c r="Y437" s="2"/>
      <c r="Z437" s="2"/>
      <c r="AA437" s="2"/>
      <c r="AB437" s="2"/>
      <c r="AC437" s="2"/>
      <c r="AG437" s="2"/>
      <c r="AK437" s="2"/>
      <c r="AL437" s="2"/>
      <c r="AM437" s="2"/>
      <c r="AN437" s="3"/>
      <c r="AO437" s="2"/>
      <c r="AU437" s="5"/>
    </row>
    <row r="438" ht="15.75" customHeight="1" spans="1:47">
      <c r="A438" s="2"/>
      <c r="F438" s="2"/>
      <c r="G438" s="2"/>
      <c r="K438" s="2"/>
      <c r="O438" s="2"/>
      <c r="P438" s="2"/>
      <c r="R438" s="2"/>
      <c r="T438" s="2"/>
      <c r="X438" s="2"/>
      <c r="Y438" s="2"/>
      <c r="Z438" s="2"/>
      <c r="AA438" s="2"/>
      <c r="AB438" s="2"/>
      <c r="AC438" s="2"/>
      <c r="AG438" s="2"/>
      <c r="AK438" s="2"/>
      <c r="AL438" s="2"/>
      <c r="AM438" s="2"/>
      <c r="AN438" s="3"/>
      <c r="AO438" s="2"/>
      <c r="AU438" s="5"/>
    </row>
    <row r="439" ht="15.75" customHeight="1" spans="1:47">
      <c r="A439" s="2"/>
      <c r="F439" s="2"/>
      <c r="G439" s="2"/>
      <c r="K439" s="2"/>
      <c r="O439" s="2"/>
      <c r="P439" s="2"/>
      <c r="R439" s="2"/>
      <c r="T439" s="2"/>
      <c r="X439" s="2"/>
      <c r="Y439" s="2"/>
      <c r="Z439" s="2"/>
      <c r="AA439" s="2"/>
      <c r="AB439" s="2"/>
      <c r="AC439" s="2"/>
      <c r="AG439" s="2"/>
      <c r="AK439" s="2"/>
      <c r="AL439" s="2"/>
      <c r="AM439" s="2"/>
      <c r="AN439" s="3"/>
      <c r="AO439" s="2"/>
      <c r="AU439" s="5"/>
    </row>
    <row r="440" ht="15.75" customHeight="1" spans="1:47">
      <c r="A440" s="2"/>
      <c r="F440" s="2"/>
      <c r="G440" s="2"/>
      <c r="K440" s="2"/>
      <c r="O440" s="2"/>
      <c r="P440" s="2"/>
      <c r="R440" s="2"/>
      <c r="T440" s="2"/>
      <c r="X440" s="2"/>
      <c r="Y440" s="2"/>
      <c r="Z440" s="2"/>
      <c r="AA440" s="2"/>
      <c r="AB440" s="2"/>
      <c r="AC440" s="2"/>
      <c r="AG440" s="2"/>
      <c r="AK440" s="2"/>
      <c r="AL440" s="2"/>
      <c r="AM440" s="2"/>
      <c r="AN440" s="3"/>
      <c r="AO440" s="2"/>
      <c r="AU440" s="5"/>
    </row>
    <row r="441" ht="15.75" customHeight="1" spans="1:47">
      <c r="A441" s="2"/>
      <c r="F441" s="2"/>
      <c r="G441" s="2"/>
      <c r="K441" s="2"/>
      <c r="O441" s="2"/>
      <c r="P441" s="2"/>
      <c r="R441" s="2"/>
      <c r="T441" s="2"/>
      <c r="X441" s="2"/>
      <c r="Y441" s="2"/>
      <c r="Z441" s="2"/>
      <c r="AA441" s="2"/>
      <c r="AB441" s="2"/>
      <c r="AC441" s="2"/>
      <c r="AG441" s="2"/>
      <c r="AK441" s="2"/>
      <c r="AL441" s="2"/>
      <c r="AM441" s="2"/>
      <c r="AN441" s="3"/>
      <c r="AO441" s="2"/>
      <c r="AU441" s="5"/>
    </row>
    <row r="442" ht="15.75" customHeight="1" spans="1:47">
      <c r="A442" s="2"/>
      <c r="F442" s="2"/>
      <c r="G442" s="2"/>
      <c r="K442" s="2"/>
      <c r="O442" s="2"/>
      <c r="P442" s="2"/>
      <c r="R442" s="2"/>
      <c r="T442" s="2"/>
      <c r="X442" s="2"/>
      <c r="Y442" s="2"/>
      <c r="Z442" s="2"/>
      <c r="AA442" s="2"/>
      <c r="AB442" s="2"/>
      <c r="AC442" s="2"/>
      <c r="AG442" s="2"/>
      <c r="AK442" s="2"/>
      <c r="AL442" s="2"/>
      <c r="AM442" s="2"/>
      <c r="AN442" s="3"/>
      <c r="AO442" s="2"/>
      <c r="AU442" s="5"/>
    </row>
    <row r="443" ht="15.75" customHeight="1" spans="1:47">
      <c r="A443" s="2"/>
      <c r="F443" s="2"/>
      <c r="G443" s="2"/>
      <c r="K443" s="2"/>
      <c r="O443" s="2"/>
      <c r="P443" s="2"/>
      <c r="R443" s="2"/>
      <c r="T443" s="2"/>
      <c r="X443" s="2"/>
      <c r="Y443" s="2"/>
      <c r="Z443" s="2"/>
      <c r="AA443" s="2"/>
      <c r="AB443" s="2"/>
      <c r="AC443" s="2"/>
      <c r="AG443" s="2"/>
      <c r="AK443" s="2"/>
      <c r="AL443" s="2"/>
      <c r="AM443" s="2"/>
      <c r="AN443" s="3"/>
      <c r="AO443" s="2"/>
      <c r="AU443" s="5"/>
    </row>
    <row r="444" ht="15.75" customHeight="1" spans="1:47">
      <c r="A444" s="2"/>
      <c r="F444" s="2"/>
      <c r="G444" s="2"/>
      <c r="K444" s="2"/>
      <c r="O444" s="2"/>
      <c r="P444" s="2"/>
      <c r="R444" s="2"/>
      <c r="T444" s="2"/>
      <c r="X444" s="2"/>
      <c r="Y444" s="2"/>
      <c r="Z444" s="2"/>
      <c r="AA444" s="2"/>
      <c r="AB444" s="2"/>
      <c r="AC444" s="2"/>
      <c r="AG444" s="2"/>
      <c r="AK444" s="2"/>
      <c r="AL444" s="2"/>
      <c r="AM444" s="2"/>
      <c r="AN444" s="3"/>
      <c r="AO444" s="2"/>
      <c r="AU444" s="5"/>
    </row>
    <row r="445" ht="15.75" customHeight="1" spans="1:47">
      <c r="A445" s="2"/>
      <c r="F445" s="2"/>
      <c r="G445" s="2"/>
      <c r="K445" s="2"/>
      <c r="O445" s="2"/>
      <c r="P445" s="2"/>
      <c r="R445" s="2"/>
      <c r="T445" s="2"/>
      <c r="X445" s="2"/>
      <c r="Y445" s="2"/>
      <c r="Z445" s="2"/>
      <c r="AA445" s="2"/>
      <c r="AB445" s="2"/>
      <c r="AC445" s="2"/>
      <c r="AG445" s="2"/>
      <c r="AK445" s="2"/>
      <c r="AL445" s="2"/>
      <c r="AM445" s="2"/>
      <c r="AN445" s="3"/>
      <c r="AO445" s="2"/>
      <c r="AU445" s="5"/>
    </row>
    <row r="446" ht="15.75" customHeight="1" spans="1:47">
      <c r="A446" s="2"/>
      <c r="F446" s="2"/>
      <c r="G446" s="2"/>
      <c r="K446" s="2"/>
      <c r="O446" s="2"/>
      <c r="P446" s="2"/>
      <c r="R446" s="2"/>
      <c r="T446" s="2"/>
      <c r="X446" s="2"/>
      <c r="Y446" s="2"/>
      <c r="Z446" s="2"/>
      <c r="AA446" s="2"/>
      <c r="AB446" s="2"/>
      <c r="AC446" s="2"/>
      <c r="AG446" s="2"/>
      <c r="AK446" s="2"/>
      <c r="AL446" s="2"/>
      <c r="AM446" s="2"/>
      <c r="AN446" s="3"/>
      <c r="AO446" s="2"/>
      <c r="AU446" s="5"/>
    </row>
    <row r="447" ht="15.75" customHeight="1" spans="1:47">
      <c r="A447" s="2"/>
      <c r="F447" s="2"/>
      <c r="G447" s="2"/>
      <c r="K447" s="2"/>
      <c r="O447" s="2"/>
      <c r="P447" s="2"/>
      <c r="R447" s="2"/>
      <c r="T447" s="2"/>
      <c r="X447" s="2"/>
      <c r="Y447" s="2"/>
      <c r="Z447" s="2"/>
      <c r="AA447" s="2"/>
      <c r="AB447" s="2"/>
      <c r="AC447" s="2"/>
      <c r="AG447" s="2"/>
      <c r="AK447" s="2"/>
      <c r="AL447" s="2"/>
      <c r="AM447" s="2"/>
      <c r="AN447" s="3"/>
      <c r="AO447" s="2"/>
      <c r="AU447" s="5"/>
    </row>
    <row r="448" ht="15.75" customHeight="1" spans="1:47">
      <c r="A448" s="2"/>
      <c r="F448" s="2"/>
      <c r="G448" s="2"/>
      <c r="K448" s="2"/>
      <c r="O448" s="2"/>
      <c r="P448" s="2"/>
      <c r="R448" s="2"/>
      <c r="T448" s="2"/>
      <c r="X448" s="2"/>
      <c r="Y448" s="2"/>
      <c r="Z448" s="2"/>
      <c r="AA448" s="2"/>
      <c r="AB448" s="2"/>
      <c r="AC448" s="2"/>
      <c r="AG448" s="2"/>
      <c r="AK448" s="2"/>
      <c r="AL448" s="2"/>
      <c r="AM448" s="2"/>
      <c r="AN448" s="3"/>
      <c r="AO448" s="2"/>
      <c r="AU448" s="5"/>
    </row>
    <row r="449" ht="15.75" customHeight="1" spans="1:47">
      <c r="A449" s="2"/>
      <c r="F449" s="2"/>
      <c r="G449" s="2"/>
      <c r="K449" s="2"/>
      <c r="O449" s="2"/>
      <c r="P449" s="2"/>
      <c r="R449" s="2"/>
      <c r="T449" s="2"/>
      <c r="X449" s="2"/>
      <c r="Y449" s="2"/>
      <c r="Z449" s="2"/>
      <c r="AA449" s="2"/>
      <c r="AB449" s="2"/>
      <c r="AC449" s="2"/>
      <c r="AG449" s="2"/>
      <c r="AK449" s="2"/>
      <c r="AL449" s="2"/>
      <c r="AM449" s="2"/>
      <c r="AN449" s="3"/>
      <c r="AO449" s="2"/>
      <c r="AU449" s="5"/>
    </row>
    <row r="450" ht="15.75" customHeight="1" spans="1:47">
      <c r="A450" s="2"/>
      <c r="F450" s="2"/>
      <c r="G450" s="2"/>
      <c r="K450" s="2"/>
      <c r="O450" s="2"/>
      <c r="P450" s="2"/>
      <c r="R450" s="2"/>
      <c r="T450" s="2"/>
      <c r="X450" s="2"/>
      <c r="Y450" s="2"/>
      <c r="Z450" s="2"/>
      <c r="AA450" s="2"/>
      <c r="AB450" s="2"/>
      <c r="AC450" s="2"/>
      <c r="AG450" s="2"/>
      <c r="AK450" s="2"/>
      <c r="AL450" s="2"/>
      <c r="AM450" s="2"/>
      <c r="AN450" s="3"/>
      <c r="AO450" s="2"/>
      <c r="AU450" s="5"/>
    </row>
    <row r="451" ht="15.75" customHeight="1" spans="1:47">
      <c r="A451" s="2"/>
      <c r="F451" s="2"/>
      <c r="G451" s="2"/>
      <c r="K451" s="2"/>
      <c r="O451" s="2"/>
      <c r="P451" s="2"/>
      <c r="R451" s="2"/>
      <c r="T451" s="2"/>
      <c r="X451" s="2"/>
      <c r="Y451" s="2"/>
      <c r="Z451" s="2"/>
      <c r="AA451" s="2"/>
      <c r="AB451" s="2"/>
      <c r="AC451" s="2"/>
      <c r="AG451" s="2"/>
      <c r="AK451" s="2"/>
      <c r="AL451" s="2"/>
      <c r="AM451" s="2"/>
      <c r="AN451" s="3"/>
      <c r="AO451" s="2"/>
      <c r="AU451" s="5"/>
    </row>
    <row r="452" ht="15.75" customHeight="1" spans="1:47">
      <c r="A452" s="2"/>
      <c r="F452" s="2"/>
      <c r="G452" s="2"/>
      <c r="K452" s="2"/>
      <c r="O452" s="2"/>
      <c r="P452" s="2"/>
      <c r="R452" s="2"/>
      <c r="T452" s="2"/>
      <c r="X452" s="2"/>
      <c r="Y452" s="2"/>
      <c r="Z452" s="2"/>
      <c r="AA452" s="2"/>
      <c r="AB452" s="2"/>
      <c r="AC452" s="2"/>
      <c r="AG452" s="2"/>
      <c r="AK452" s="2"/>
      <c r="AL452" s="2"/>
      <c r="AM452" s="2"/>
      <c r="AN452" s="3"/>
      <c r="AO452" s="2"/>
      <c r="AU452" s="5"/>
    </row>
    <row r="453" ht="15.75" customHeight="1" spans="1:47">
      <c r="A453" s="2"/>
      <c r="F453" s="2"/>
      <c r="G453" s="2"/>
      <c r="K453" s="2"/>
      <c r="O453" s="2"/>
      <c r="P453" s="2"/>
      <c r="R453" s="2"/>
      <c r="T453" s="2"/>
      <c r="X453" s="2"/>
      <c r="Y453" s="2"/>
      <c r="Z453" s="2"/>
      <c r="AA453" s="2"/>
      <c r="AB453" s="2"/>
      <c r="AC453" s="2"/>
      <c r="AG453" s="2"/>
      <c r="AK453" s="2"/>
      <c r="AL453" s="2"/>
      <c r="AM453" s="2"/>
      <c r="AN453" s="3"/>
      <c r="AO453" s="2"/>
      <c r="AU453" s="5"/>
    </row>
    <row r="454" ht="15.75" customHeight="1" spans="1:47">
      <c r="A454" s="2"/>
      <c r="F454" s="2"/>
      <c r="G454" s="2"/>
      <c r="K454" s="2"/>
      <c r="O454" s="2"/>
      <c r="P454" s="2"/>
      <c r="R454" s="2"/>
      <c r="T454" s="2"/>
      <c r="X454" s="2"/>
      <c r="Y454" s="2"/>
      <c r="Z454" s="2"/>
      <c r="AA454" s="2"/>
      <c r="AB454" s="2"/>
      <c r="AC454" s="2"/>
      <c r="AG454" s="2"/>
      <c r="AK454" s="2"/>
      <c r="AL454" s="2"/>
      <c r="AM454" s="2"/>
      <c r="AN454" s="3"/>
      <c r="AO454" s="2"/>
      <c r="AU454" s="5"/>
    </row>
    <row r="455" ht="15.75" customHeight="1" spans="1:47">
      <c r="A455" s="2"/>
      <c r="F455" s="2"/>
      <c r="G455" s="2"/>
      <c r="K455" s="2"/>
      <c r="O455" s="2"/>
      <c r="P455" s="2"/>
      <c r="R455" s="2"/>
      <c r="T455" s="2"/>
      <c r="X455" s="2"/>
      <c r="Y455" s="2"/>
      <c r="Z455" s="2"/>
      <c r="AA455" s="2"/>
      <c r="AB455" s="2"/>
      <c r="AC455" s="2"/>
      <c r="AG455" s="2"/>
      <c r="AK455" s="2"/>
      <c r="AL455" s="2"/>
      <c r="AM455" s="2"/>
      <c r="AN455" s="3"/>
      <c r="AO455" s="2"/>
      <c r="AU455" s="5"/>
    </row>
    <row r="456" ht="15.75" customHeight="1" spans="1:47">
      <c r="A456" s="2"/>
      <c r="F456" s="2"/>
      <c r="G456" s="2"/>
      <c r="K456" s="2"/>
      <c r="O456" s="2"/>
      <c r="P456" s="2"/>
      <c r="R456" s="2"/>
      <c r="T456" s="2"/>
      <c r="X456" s="2"/>
      <c r="Y456" s="2"/>
      <c r="Z456" s="2"/>
      <c r="AA456" s="2"/>
      <c r="AB456" s="2"/>
      <c r="AC456" s="2"/>
      <c r="AG456" s="2"/>
      <c r="AK456" s="2"/>
      <c r="AL456" s="2"/>
      <c r="AM456" s="2"/>
      <c r="AN456" s="3"/>
      <c r="AO456" s="2"/>
      <c r="AU456" s="5"/>
    </row>
    <row r="457" ht="15.75" customHeight="1" spans="1:47">
      <c r="A457" s="2"/>
      <c r="F457" s="2"/>
      <c r="G457" s="2"/>
      <c r="K457" s="2"/>
      <c r="O457" s="2"/>
      <c r="P457" s="2"/>
      <c r="R457" s="2"/>
      <c r="T457" s="2"/>
      <c r="X457" s="2"/>
      <c r="Y457" s="2"/>
      <c r="Z457" s="2"/>
      <c r="AA457" s="2"/>
      <c r="AB457" s="2"/>
      <c r="AC457" s="2"/>
      <c r="AG457" s="2"/>
      <c r="AK457" s="2"/>
      <c r="AL457" s="2"/>
      <c r="AM457" s="2"/>
      <c r="AN457" s="3"/>
      <c r="AO457" s="2"/>
      <c r="AU457" s="5"/>
    </row>
    <row r="458" ht="15.75" customHeight="1" spans="1:47">
      <c r="A458" s="2"/>
      <c r="F458" s="2"/>
      <c r="G458" s="2"/>
      <c r="K458" s="2"/>
      <c r="O458" s="2"/>
      <c r="P458" s="2"/>
      <c r="R458" s="2"/>
      <c r="T458" s="2"/>
      <c r="X458" s="2"/>
      <c r="Y458" s="2"/>
      <c r="Z458" s="2"/>
      <c r="AA458" s="2"/>
      <c r="AB458" s="2"/>
      <c r="AC458" s="2"/>
      <c r="AG458" s="2"/>
      <c r="AK458" s="2"/>
      <c r="AL458" s="2"/>
      <c r="AM458" s="2"/>
      <c r="AN458" s="3"/>
      <c r="AO458" s="2"/>
      <c r="AU458" s="5"/>
    </row>
    <row r="459" ht="15.75" customHeight="1" spans="1:47">
      <c r="A459" s="2"/>
      <c r="F459" s="2"/>
      <c r="G459" s="2"/>
      <c r="K459" s="2"/>
      <c r="O459" s="2"/>
      <c r="P459" s="2"/>
      <c r="R459" s="2"/>
      <c r="T459" s="2"/>
      <c r="X459" s="2"/>
      <c r="Y459" s="2"/>
      <c r="Z459" s="2"/>
      <c r="AA459" s="2"/>
      <c r="AB459" s="2"/>
      <c r="AC459" s="2"/>
      <c r="AG459" s="2"/>
      <c r="AK459" s="2"/>
      <c r="AL459" s="2"/>
      <c r="AM459" s="2"/>
      <c r="AN459" s="3"/>
      <c r="AO459" s="2"/>
      <c r="AU459" s="5"/>
    </row>
    <row r="460" ht="15.75" customHeight="1" spans="1:47">
      <c r="A460" s="2"/>
      <c r="F460" s="2"/>
      <c r="G460" s="2"/>
      <c r="K460" s="2"/>
      <c r="O460" s="2"/>
      <c r="P460" s="2"/>
      <c r="R460" s="2"/>
      <c r="T460" s="2"/>
      <c r="X460" s="2"/>
      <c r="Y460" s="2"/>
      <c r="Z460" s="2"/>
      <c r="AA460" s="2"/>
      <c r="AB460" s="2"/>
      <c r="AC460" s="2"/>
      <c r="AG460" s="2"/>
      <c r="AK460" s="2"/>
      <c r="AL460" s="2"/>
      <c r="AM460" s="2"/>
      <c r="AN460" s="3"/>
      <c r="AO460" s="2"/>
      <c r="AU460" s="5"/>
    </row>
    <row r="461" ht="15.75" customHeight="1" spans="1:47">
      <c r="A461" s="2"/>
      <c r="F461" s="2"/>
      <c r="G461" s="2"/>
      <c r="K461" s="2"/>
      <c r="O461" s="2"/>
      <c r="P461" s="2"/>
      <c r="R461" s="2"/>
      <c r="T461" s="2"/>
      <c r="X461" s="2"/>
      <c r="Y461" s="2"/>
      <c r="Z461" s="2"/>
      <c r="AA461" s="2"/>
      <c r="AB461" s="2"/>
      <c r="AC461" s="2"/>
      <c r="AG461" s="2"/>
      <c r="AK461" s="2"/>
      <c r="AL461" s="2"/>
      <c r="AM461" s="2"/>
      <c r="AN461" s="3"/>
      <c r="AO461" s="2"/>
      <c r="AU461" s="5"/>
    </row>
    <row r="462" ht="15.75" customHeight="1" spans="1:47">
      <c r="A462" s="2"/>
      <c r="F462" s="2"/>
      <c r="G462" s="2"/>
      <c r="K462" s="2"/>
      <c r="O462" s="2"/>
      <c r="P462" s="2"/>
      <c r="R462" s="2"/>
      <c r="T462" s="2"/>
      <c r="X462" s="2"/>
      <c r="Y462" s="2"/>
      <c r="Z462" s="2"/>
      <c r="AA462" s="2"/>
      <c r="AB462" s="2"/>
      <c r="AC462" s="2"/>
      <c r="AG462" s="2"/>
      <c r="AK462" s="2"/>
      <c r="AL462" s="2"/>
      <c r="AM462" s="2"/>
      <c r="AN462" s="3"/>
      <c r="AO462" s="2"/>
      <c r="AU462" s="5"/>
    </row>
    <row r="463" ht="15.75" customHeight="1" spans="1:47">
      <c r="A463" s="2"/>
      <c r="F463" s="2"/>
      <c r="G463" s="2"/>
      <c r="K463" s="2"/>
      <c r="O463" s="2"/>
      <c r="P463" s="2"/>
      <c r="R463" s="2"/>
      <c r="T463" s="2"/>
      <c r="X463" s="2"/>
      <c r="Y463" s="2"/>
      <c r="Z463" s="2"/>
      <c r="AA463" s="2"/>
      <c r="AB463" s="2"/>
      <c r="AC463" s="2"/>
      <c r="AG463" s="2"/>
      <c r="AK463" s="2"/>
      <c r="AL463" s="2"/>
      <c r="AM463" s="2"/>
      <c r="AN463" s="3"/>
      <c r="AO463" s="2"/>
      <c r="AU463" s="5"/>
    </row>
    <row r="464" ht="15.75" customHeight="1" spans="1:47">
      <c r="A464" s="2"/>
      <c r="F464" s="2"/>
      <c r="G464" s="2"/>
      <c r="K464" s="2"/>
      <c r="O464" s="2"/>
      <c r="P464" s="2"/>
      <c r="R464" s="2"/>
      <c r="T464" s="2"/>
      <c r="X464" s="2"/>
      <c r="Y464" s="2"/>
      <c r="Z464" s="2"/>
      <c r="AA464" s="2"/>
      <c r="AB464" s="2"/>
      <c r="AC464" s="2"/>
      <c r="AG464" s="2"/>
      <c r="AK464" s="2"/>
      <c r="AL464" s="2"/>
      <c r="AM464" s="2"/>
      <c r="AN464" s="3"/>
      <c r="AO464" s="2"/>
      <c r="AU464" s="5"/>
    </row>
    <row r="465" ht="15.75" customHeight="1" spans="1:47">
      <c r="A465" s="2"/>
      <c r="F465" s="2"/>
      <c r="G465" s="2"/>
      <c r="K465" s="2"/>
      <c r="O465" s="2"/>
      <c r="P465" s="2"/>
      <c r="R465" s="2"/>
      <c r="T465" s="2"/>
      <c r="X465" s="2"/>
      <c r="Y465" s="2"/>
      <c r="Z465" s="2"/>
      <c r="AA465" s="2"/>
      <c r="AB465" s="2"/>
      <c r="AC465" s="2"/>
      <c r="AG465" s="2"/>
      <c r="AK465" s="2"/>
      <c r="AL465" s="2"/>
      <c r="AM465" s="2"/>
      <c r="AN465" s="3"/>
      <c r="AO465" s="2"/>
      <c r="AU465" s="5"/>
    </row>
    <row r="466" ht="15.75" customHeight="1" spans="1:47">
      <c r="A466" s="2"/>
      <c r="F466" s="2"/>
      <c r="G466" s="2"/>
      <c r="K466" s="2"/>
      <c r="O466" s="2"/>
      <c r="P466" s="2"/>
      <c r="R466" s="2"/>
      <c r="T466" s="2"/>
      <c r="X466" s="2"/>
      <c r="Y466" s="2"/>
      <c r="Z466" s="2"/>
      <c r="AA466" s="2"/>
      <c r="AB466" s="2"/>
      <c r="AC466" s="2"/>
      <c r="AG466" s="2"/>
      <c r="AK466" s="2"/>
      <c r="AL466" s="2"/>
      <c r="AM466" s="2"/>
      <c r="AN466" s="3"/>
      <c r="AO466" s="2"/>
      <c r="AU466" s="5"/>
    </row>
    <row r="467" ht="15.75" customHeight="1" spans="1:47">
      <c r="A467" s="2"/>
      <c r="F467" s="2"/>
      <c r="G467" s="2"/>
      <c r="K467" s="2"/>
      <c r="O467" s="2"/>
      <c r="P467" s="2"/>
      <c r="R467" s="2"/>
      <c r="T467" s="2"/>
      <c r="X467" s="2"/>
      <c r="Y467" s="2"/>
      <c r="Z467" s="2"/>
      <c r="AA467" s="2"/>
      <c r="AB467" s="2"/>
      <c r="AC467" s="2"/>
      <c r="AG467" s="2"/>
      <c r="AK467" s="2"/>
      <c r="AL467" s="2"/>
      <c r="AM467" s="2"/>
      <c r="AN467" s="3"/>
      <c r="AO467" s="2"/>
      <c r="AU467" s="5"/>
    </row>
    <row r="468" ht="15.75" customHeight="1" spans="1:47">
      <c r="A468" s="2"/>
      <c r="F468" s="2"/>
      <c r="G468" s="2"/>
      <c r="K468" s="2"/>
      <c r="O468" s="2"/>
      <c r="P468" s="2"/>
      <c r="R468" s="2"/>
      <c r="T468" s="2"/>
      <c r="X468" s="2"/>
      <c r="Y468" s="2"/>
      <c r="Z468" s="2"/>
      <c r="AA468" s="2"/>
      <c r="AB468" s="2"/>
      <c r="AC468" s="2"/>
      <c r="AG468" s="2"/>
      <c r="AK468" s="2"/>
      <c r="AL468" s="2"/>
      <c r="AM468" s="2"/>
      <c r="AN468" s="3"/>
      <c r="AO468" s="2"/>
      <c r="AU468" s="5"/>
    </row>
    <row r="469" ht="15.75" customHeight="1" spans="1:47">
      <c r="A469" s="2"/>
      <c r="F469" s="2"/>
      <c r="G469" s="2"/>
      <c r="K469" s="2"/>
      <c r="O469" s="2"/>
      <c r="P469" s="2"/>
      <c r="R469" s="2"/>
      <c r="T469" s="2"/>
      <c r="X469" s="2"/>
      <c r="Y469" s="2"/>
      <c r="Z469" s="2"/>
      <c r="AA469" s="2"/>
      <c r="AB469" s="2"/>
      <c r="AC469" s="2"/>
      <c r="AG469" s="2"/>
      <c r="AK469" s="2"/>
      <c r="AL469" s="2"/>
      <c r="AM469" s="2"/>
      <c r="AN469" s="3"/>
      <c r="AO469" s="2"/>
      <c r="AU469" s="5"/>
    </row>
    <row r="470" ht="15.75" customHeight="1" spans="1:47">
      <c r="A470" s="2"/>
      <c r="F470" s="2"/>
      <c r="G470" s="2"/>
      <c r="K470" s="2"/>
      <c r="O470" s="2"/>
      <c r="P470" s="2"/>
      <c r="R470" s="2"/>
      <c r="T470" s="2"/>
      <c r="X470" s="2"/>
      <c r="Y470" s="2"/>
      <c r="Z470" s="2"/>
      <c r="AA470" s="2"/>
      <c r="AB470" s="2"/>
      <c r="AC470" s="2"/>
      <c r="AG470" s="2"/>
      <c r="AK470" s="2"/>
      <c r="AL470" s="2"/>
      <c r="AM470" s="2"/>
      <c r="AN470" s="3"/>
      <c r="AO470" s="2"/>
      <c r="AU470" s="5"/>
    </row>
    <row r="471" ht="15.75" customHeight="1" spans="1:47">
      <c r="A471" s="2"/>
      <c r="F471" s="2"/>
      <c r="G471" s="2"/>
      <c r="K471" s="2"/>
      <c r="O471" s="2"/>
      <c r="P471" s="2"/>
      <c r="R471" s="2"/>
      <c r="T471" s="2"/>
      <c r="X471" s="2"/>
      <c r="Y471" s="2"/>
      <c r="Z471" s="2"/>
      <c r="AA471" s="2"/>
      <c r="AB471" s="2"/>
      <c r="AC471" s="2"/>
      <c r="AG471" s="2"/>
      <c r="AK471" s="2"/>
      <c r="AL471" s="2"/>
      <c r="AM471" s="2"/>
      <c r="AN471" s="3"/>
      <c r="AO471" s="2"/>
      <c r="AU471" s="5"/>
    </row>
    <row r="472" ht="15.75" customHeight="1" spans="1:47">
      <c r="A472" s="2"/>
      <c r="F472" s="2"/>
      <c r="G472" s="2"/>
      <c r="K472" s="2"/>
      <c r="O472" s="2"/>
      <c r="P472" s="2"/>
      <c r="R472" s="2"/>
      <c r="T472" s="2"/>
      <c r="X472" s="2"/>
      <c r="Y472" s="2"/>
      <c r="Z472" s="2"/>
      <c r="AA472" s="2"/>
      <c r="AB472" s="2"/>
      <c r="AC472" s="2"/>
      <c r="AG472" s="2"/>
      <c r="AK472" s="2"/>
      <c r="AL472" s="2"/>
      <c r="AM472" s="2"/>
      <c r="AN472" s="3"/>
      <c r="AO472" s="2"/>
      <c r="AU472" s="5"/>
    </row>
    <row r="473" ht="15.75" customHeight="1" spans="1:47">
      <c r="A473" s="2"/>
      <c r="F473" s="2"/>
      <c r="G473" s="2"/>
      <c r="K473" s="2"/>
      <c r="O473" s="2"/>
      <c r="P473" s="2"/>
      <c r="R473" s="2"/>
      <c r="T473" s="2"/>
      <c r="X473" s="2"/>
      <c r="Y473" s="2"/>
      <c r="Z473" s="2"/>
      <c r="AA473" s="2"/>
      <c r="AB473" s="2"/>
      <c r="AC473" s="2"/>
      <c r="AG473" s="2"/>
      <c r="AK473" s="2"/>
      <c r="AL473" s="2"/>
      <c r="AM473" s="2"/>
      <c r="AN473" s="3"/>
      <c r="AO473" s="2"/>
      <c r="AU473" s="5"/>
    </row>
    <row r="474" ht="15.75" customHeight="1" spans="1:47">
      <c r="A474" s="2"/>
      <c r="F474" s="2"/>
      <c r="G474" s="2"/>
      <c r="K474" s="2"/>
      <c r="O474" s="2"/>
      <c r="P474" s="2"/>
      <c r="R474" s="2"/>
      <c r="T474" s="2"/>
      <c r="X474" s="2"/>
      <c r="Y474" s="2"/>
      <c r="Z474" s="2"/>
      <c r="AA474" s="2"/>
      <c r="AB474" s="2"/>
      <c r="AC474" s="2"/>
      <c r="AG474" s="2"/>
      <c r="AK474" s="2"/>
      <c r="AL474" s="2"/>
      <c r="AM474" s="2"/>
      <c r="AN474" s="3"/>
      <c r="AO474" s="2"/>
      <c r="AU474" s="5"/>
    </row>
    <row r="475" ht="15.75" customHeight="1" spans="1:47">
      <c r="A475" s="2"/>
      <c r="F475" s="2"/>
      <c r="G475" s="2"/>
      <c r="K475" s="2"/>
      <c r="O475" s="2"/>
      <c r="P475" s="2"/>
      <c r="R475" s="2"/>
      <c r="T475" s="2"/>
      <c r="X475" s="2"/>
      <c r="Y475" s="2"/>
      <c r="Z475" s="2"/>
      <c r="AA475" s="2"/>
      <c r="AB475" s="2"/>
      <c r="AC475" s="2"/>
      <c r="AG475" s="2"/>
      <c r="AK475" s="2"/>
      <c r="AL475" s="2"/>
      <c r="AM475" s="2"/>
      <c r="AN475" s="3"/>
      <c r="AO475" s="2"/>
      <c r="AU475" s="5"/>
    </row>
    <row r="476" ht="15.75" customHeight="1" spans="1:47">
      <c r="A476" s="2"/>
      <c r="F476" s="2"/>
      <c r="G476" s="2"/>
      <c r="K476" s="2"/>
      <c r="O476" s="2"/>
      <c r="P476" s="2"/>
      <c r="R476" s="2"/>
      <c r="T476" s="2"/>
      <c r="X476" s="2"/>
      <c r="Y476" s="2"/>
      <c r="Z476" s="2"/>
      <c r="AA476" s="2"/>
      <c r="AB476" s="2"/>
      <c r="AC476" s="2"/>
      <c r="AG476" s="2"/>
      <c r="AK476" s="2"/>
      <c r="AL476" s="2"/>
      <c r="AM476" s="2"/>
      <c r="AN476" s="3"/>
      <c r="AO476" s="2"/>
      <c r="AU476" s="5"/>
    </row>
    <row r="477" ht="15.75" customHeight="1" spans="1:47">
      <c r="A477" s="2"/>
      <c r="F477" s="2"/>
      <c r="G477" s="2"/>
      <c r="K477" s="2"/>
      <c r="O477" s="2"/>
      <c r="P477" s="2"/>
      <c r="R477" s="2"/>
      <c r="T477" s="2"/>
      <c r="X477" s="2"/>
      <c r="Y477" s="2"/>
      <c r="Z477" s="2"/>
      <c r="AA477" s="2"/>
      <c r="AB477" s="2"/>
      <c r="AC477" s="2"/>
      <c r="AG477" s="2"/>
      <c r="AK477" s="2"/>
      <c r="AL477" s="2"/>
      <c r="AM477" s="2"/>
      <c r="AN477" s="3"/>
      <c r="AO477" s="2"/>
      <c r="AU477" s="5"/>
    </row>
    <row r="478" ht="15.75" customHeight="1" spans="1:47">
      <c r="A478" s="2"/>
      <c r="F478" s="2"/>
      <c r="G478" s="2"/>
      <c r="K478" s="2"/>
      <c r="O478" s="2"/>
      <c r="P478" s="2"/>
      <c r="R478" s="2"/>
      <c r="T478" s="2"/>
      <c r="X478" s="2"/>
      <c r="Y478" s="2"/>
      <c r="Z478" s="2"/>
      <c r="AA478" s="2"/>
      <c r="AB478" s="2"/>
      <c r="AC478" s="2"/>
      <c r="AG478" s="2"/>
      <c r="AK478" s="2"/>
      <c r="AL478" s="2"/>
      <c r="AM478" s="2"/>
      <c r="AN478" s="3"/>
      <c r="AO478" s="2"/>
      <c r="AU478" s="5"/>
    </row>
    <row r="479" ht="15.75" customHeight="1" spans="1:47">
      <c r="A479" s="2"/>
      <c r="F479" s="2"/>
      <c r="G479" s="2"/>
      <c r="K479" s="2"/>
      <c r="O479" s="2"/>
      <c r="P479" s="2"/>
      <c r="R479" s="2"/>
      <c r="T479" s="2"/>
      <c r="X479" s="2"/>
      <c r="Y479" s="2"/>
      <c r="Z479" s="2"/>
      <c r="AA479" s="2"/>
      <c r="AB479" s="2"/>
      <c r="AC479" s="2"/>
      <c r="AG479" s="2"/>
      <c r="AK479" s="2"/>
      <c r="AL479" s="2"/>
      <c r="AM479" s="2"/>
      <c r="AN479" s="3"/>
      <c r="AO479" s="2"/>
      <c r="AU479" s="5"/>
    </row>
    <row r="480" ht="15.75" customHeight="1" spans="1:47">
      <c r="A480" s="2"/>
      <c r="F480" s="2"/>
      <c r="G480" s="2"/>
      <c r="K480" s="2"/>
      <c r="O480" s="2"/>
      <c r="P480" s="2"/>
      <c r="R480" s="2"/>
      <c r="T480" s="2"/>
      <c r="X480" s="2"/>
      <c r="Y480" s="2"/>
      <c r="Z480" s="2"/>
      <c r="AA480" s="2"/>
      <c r="AB480" s="2"/>
      <c r="AC480" s="2"/>
      <c r="AG480" s="2"/>
      <c r="AK480" s="2"/>
      <c r="AL480" s="2"/>
      <c r="AM480" s="2"/>
      <c r="AN480" s="3"/>
      <c r="AO480" s="2"/>
      <c r="AU480" s="5"/>
    </row>
    <row r="481" ht="15.75" customHeight="1" spans="1:47">
      <c r="A481" s="2"/>
      <c r="F481" s="2"/>
      <c r="G481" s="2"/>
      <c r="K481" s="2"/>
      <c r="O481" s="2"/>
      <c r="P481" s="2"/>
      <c r="R481" s="2"/>
      <c r="T481" s="2"/>
      <c r="X481" s="2"/>
      <c r="Y481" s="2"/>
      <c r="Z481" s="2"/>
      <c r="AA481" s="2"/>
      <c r="AB481" s="2"/>
      <c r="AC481" s="2"/>
      <c r="AG481" s="2"/>
      <c r="AK481" s="2"/>
      <c r="AL481" s="2"/>
      <c r="AM481" s="2"/>
      <c r="AN481" s="3"/>
      <c r="AO481" s="2"/>
      <c r="AU481" s="5"/>
    </row>
    <row r="482" ht="15.75" customHeight="1" spans="1:47">
      <c r="A482" s="2"/>
      <c r="F482" s="2"/>
      <c r="G482" s="2"/>
      <c r="K482" s="2"/>
      <c r="O482" s="2"/>
      <c r="P482" s="2"/>
      <c r="R482" s="2"/>
      <c r="T482" s="2"/>
      <c r="X482" s="2"/>
      <c r="Y482" s="2"/>
      <c r="Z482" s="2"/>
      <c r="AA482" s="2"/>
      <c r="AB482" s="2"/>
      <c r="AC482" s="2"/>
      <c r="AG482" s="2"/>
      <c r="AK482" s="2"/>
      <c r="AL482" s="2"/>
      <c r="AM482" s="2"/>
      <c r="AN482" s="3"/>
      <c r="AO482" s="2"/>
      <c r="AU482" s="5"/>
    </row>
    <row r="483" ht="15.75" customHeight="1" spans="1:47">
      <c r="A483" s="2"/>
      <c r="F483" s="2"/>
      <c r="G483" s="2"/>
      <c r="K483" s="2"/>
      <c r="O483" s="2"/>
      <c r="P483" s="2"/>
      <c r="R483" s="2"/>
      <c r="T483" s="2"/>
      <c r="X483" s="2"/>
      <c r="Y483" s="2"/>
      <c r="Z483" s="2"/>
      <c r="AA483" s="2"/>
      <c r="AB483" s="2"/>
      <c r="AC483" s="2"/>
      <c r="AG483" s="2"/>
      <c r="AK483" s="2"/>
      <c r="AL483" s="2"/>
      <c r="AM483" s="2"/>
      <c r="AN483" s="3"/>
      <c r="AO483" s="2"/>
      <c r="AU483" s="5"/>
    </row>
    <row r="484" ht="15.75" customHeight="1" spans="1:47">
      <c r="A484" s="2"/>
      <c r="F484" s="2"/>
      <c r="G484" s="2"/>
      <c r="K484" s="2"/>
      <c r="O484" s="2"/>
      <c r="P484" s="2"/>
      <c r="R484" s="2"/>
      <c r="T484" s="2"/>
      <c r="X484" s="2"/>
      <c r="Y484" s="2"/>
      <c r="Z484" s="2"/>
      <c r="AA484" s="2"/>
      <c r="AB484" s="2"/>
      <c r="AC484" s="2"/>
      <c r="AG484" s="2"/>
      <c r="AK484" s="2"/>
      <c r="AL484" s="2"/>
      <c r="AM484" s="2"/>
      <c r="AN484" s="3"/>
      <c r="AO484" s="2"/>
      <c r="AU484" s="5"/>
    </row>
    <row r="485" ht="15.75" customHeight="1" spans="1:47">
      <c r="A485" s="2"/>
      <c r="F485" s="2"/>
      <c r="G485" s="2"/>
      <c r="K485" s="2"/>
      <c r="O485" s="2"/>
      <c r="P485" s="2"/>
      <c r="R485" s="2"/>
      <c r="T485" s="2"/>
      <c r="X485" s="2"/>
      <c r="Y485" s="2"/>
      <c r="Z485" s="2"/>
      <c r="AA485" s="2"/>
      <c r="AB485" s="2"/>
      <c r="AC485" s="2"/>
      <c r="AG485" s="2"/>
      <c r="AK485" s="2"/>
      <c r="AL485" s="2"/>
      <c r="AM485" s="2"/>
      <c r="AN485" s="3"/>
      <c r="AO485" s="2"/>
      <c r="AU485" s="5"/>
    </row>
    <row r="486" ht="15.75" customHeight="1" spans="1:47">
      <c r="A486" s="2"/>
      <c r="F486" s="2"/>
      <c r="G486" s="2"/>
      <c r="K486" s="2"/>
      <c r="O486" s="2"/>
      <c r="P486" s="2"/>
      <c r="R486" s="2"/>
      <c r="T486" s="2"/>
      <c r="X486" s="2"/>
      <c r="Y486" s="2"/>
      <c r="Z486" s="2"/>
      <c r="AA486" s="2"/>
      <c r="AB486" s="2"/>
      <c r="AC486" s="2"/>
      <c r="AG486" s="2"/>
      <c r="AK486" s="2"/>
      <c r="AL486" s="2"/>
      <c r="AM486" s="2"/>
      <c r="AN486" s="3"/>
      <c r="AO486" s="2"/>
      <c r="AU486" s="5"/>
    </row>
    <row r="487" ht="15.75" customHeight="1" spans="1:47">
      <c r="A487" s="2"/>
      <c r="F487" s="2"/>
      <c r="G487" s="2"/>
      <c r="K487" s="2"/>
      <c r="O487" s="2"/>
      <c r="P487" s="2"/>
      <c r="R487" s="2"/>
      <c r="T487" s="2"/>
      <c r="X487" s="2"/>
      <c r="Y487" s="2"/>
      <c r="Z487" s="2"/>
      <c r="AA487" s="2"/>
      <c r="AB487" s="2"/>
      <c r="AC487" s="2"/>
      <c r="AG487" s="2"/>
      <c r="AK487" s="2"/>
      <c r="AL487" s="2"/>
      <c r="AM487" s="2"/>
      <c r="AN487" s="3"/>
      <c r="AO487" s="2"/>
      <c r="AU487" s="5"/>
    </row>
    <row r="488" ht="15.75" customHeight="1" spans="1:47">
      <c r="A488" s="2"/>
      <c r="F488" s="2"/>
      <c r="G488" s="2"/>
      <c r="K488" s="2"/>
      <c r="O488" s="2"/>
      <c r="P488" s="2"/>
      <c r="R488" s="2"/>
      <c r="T488" s="2"/>
      <c r="X488" s="2"/>
      <c r="Y488" s="2"/>
      <c r="Z488" s="2"/>
      <c r="AA488" s="2"/>
      <c r="AB488" s="2"/>
      <c r="AC488" s="2"/>
      <c r="AG488" s="2"/>
      <c r="AK488" s="2"/>
      <c r="AL488" s="2"/>
      <c r="AM488" s="2"/>
      <c r="AN488" s="3"/>
      <c r="AO488" s="2"/>
      <c r="AU488" s="5"/>
    </row>
    <row r="489" ht="15.75" customHeight="1" spans="1:47">
      <c r="A489" s="2"/>
      <c r="F489" s="2"/>
      <c r="G489" s="2"/>
      <c r="K489" s="2"/>
      <c r="O489" s="2"/>
      <c r="P489" s="2"/>
      <c r="R489" s="2"/>
      <c r="T489" s="2"/>
      <c r="X489" s="2"/>
      <c r="Y489" s="2"/>
      <c r="Z489" s="2"/>
      <c r="AA489" s="2"/>
      <c r="AB489" s="2"/>
      <c r="AC489" s="2"/>
      <c r="AG489" s="2"/>
      <c r="AK489" s="2"/>
      <c r="AL489" s="2"/>
      <c r="AM489" s="2"/>
      <c r="AN489" s="3"/>
      <c r="AO489" s="2"/>
      <c r="AU489" s="5"/>
    </row>
    <row r="490" ht="15.75" customHeight="1" spans="1:47">
      <c r="A490" s="2"/>
      <c r="F490" s="2"/>
      <c r="G490" s="2"/>
      <c r="K490" s="2"/>
      <c r="O490" s="2"/>
      <c r="P490" s="2"/>
      <c r="R490" s="2"/>
      <c r="T490" s="2"/>
      <c r="X490" s="2"/>
      <c r="Y490" s="2"/>
      <c r="Z490" s="2"/>
      <c r="AA490" s="2"/>
      <c r="AB490" s="2"/>
      <c r="AC490" s="2"/>
      <c r="AG490" s="2"/>
      <c r="AK490" s="2"/>
      <c r="AL490" s="2"/>
      <c r="AM490" s="2"/>
      <c r="AN490" s="3"/>
      <c r="AO490" s="2"/>
      <c r="AU490" s="5"/>
    </row>
    <row r="491" ht="15.75" customHeight="1" spans="1:47">
      <c r="A491" s="2"/>
      <c r="F491" s="2"/>
      <c r="G491" s="2"/>
      <c r="K491" s="2"/>
      <c r="O491" s="2"/>
      <c r="P491" s="2"/>
      <c r="R491" s="2"/>
      <c r="T491" s="2"/>
      <c r="X491" s="2"/>
      <c r="Y491" s="2"/>
      <c r="Z491" s="2"/>
      <c r="AA491" s="2"/>
      <c r="AB491" s="2"/>
      <c r="AC491" s="2"/>
      <c r="AG491" s="2"/>
      <c r="AK491" s="2"/>
      <c r="AL491" s="2"/>
      <c r="AM491" s="2"/>
      <c r="AN491" s="3"/>
      <c r="AO491" s="2"/>
      <c r="AU491" s="5"/>
    </row>
    <row r="492" ht="15.75" customHeight="1" spans="1:47">
      <c r="A492" s="2"/>
      <c r="F492" s="2"/>
      <c r="G492" s="2"/>
      <c r="K492" s="2"/>
      <c r="O492" s="2"/>
      <c r="P492" s="2"/>
      <c r="R492" s="2"/>
      <c r="T492" s="2"/>
      <c r="X492" s="2"/>
      <c r="Y492" s="2"/>
      <c r="Z492" s="2"/>
      <c r="AA492" s="2"/>
      <c r="AB492" s="2"/>
      <c r="AC492" s="2"/>
      <c r="AG492" s="2"/>
      <c r="AK492" s="2"/>
      <c r="AL492" s="2"/>
      <c r="AM492" s="2"/>
      <c r="AN492" s="3"/>
      <c r="AO492" s="2"/>
      <c r="AU492" s="5"/>
    </row>
    <row r="493" ht="15.75" customHeight="1" spans="1:47">
      <c r="A493" s="2"/>
      <c r="F493" s="2"/>
      <c r="G493" s="2"/>
      <c r="K493" s="2"/>
      <c r="O493" s="2"/>
      <c r="P493" s="2"/>
      <c r="R493" s="2"/>
      <c r="T493" s="2"/>
      <c r="X493" s="2"/>
      <c r="Y493" s="2"/>
      <c r="Z493" s="2"/>
      <c r="AA493" s="2"/>
      <c r="AB493" s="2"/>
      <c r="AC493" s="2"/>
      <c r="AG493" s="2"/>
      <c r="AK493" s="2"/>
      <c r="AL493" s="2"/>
      <c r="AM493" s="2"/>
      <c r="AN493" s="3"/>
      <c r="AO493" s="2"/>
      <c r="AU493" s="5"/>
    </row>
    <row r="494" ht="15.75" customHeight="1" spans="1:47">
      <c r="A494" s="2"/>
      <c r="F494" s="2"/>
      <c r="G494" s="2"/>
      <c r="K494" s="2"/>
      <c r="O494" s="2"/>
      <c r="P494" s="2"/>
      <c r="R494" s="2"/>
      <c r="T494" s="2"/>
      <c r="X494" s="2"/>
      <c r="Y494" s="2"/>
      <c r="Z494" s="2"/>
      <c r="AA494" s="2"/>
      <c r="AB494" s="2"/>
      <c r="AC494" s="2"/>
      <c r="AG494" s="2"/>
      <c r="AK494" s="2"/>
      <c r="AL494" s="2"/>
      <c r="AM494" s="2"/>
      <c r="AN494" s="3"/>
      <c r="AO494" s="2"/>
      <c r="AU494" s="5"/>
    </row>
    <row r="495" ht="15.75" customHeight="1" spans="1:47">
      <c r="A495" s="2"/>
      <c r="F495" s="2"/>
      <c r="G495" s="2"/>
      <c r="K495" s="2"/>
      <c r="O495" s="2"/>
      <c r="P495" s="2"/>
      <c r="R495" s="2"/>
      <c r="T495" s="2"/>
      <c r="X495" s="2"/>
      <c r="Y495" s="2"/>
      <c r="Z495" s="2"/>
      <c r="AA495" s="2"/>
      <c r="AB495" s="2"/>
      <c r="AC495" s="2"/>
      <c r="AG495" s="2"/>
      <c r="AK495" s="2"/>
      <c r="AL495" s="2"/>
      <c r="AM495" s="2"/>
      <c r="AN495" s="3"/>
      <c r="AO495" s="2"/>
      <c r="AU495" s="5"/>
    </row>
    <row r="496" ht="15.75" customHeight="1" spans="1:47">
      <c r="A496" s="2"/>
      <c r="F496" s="2"/>
      <c r="G496" s="2"/>
      <c r="K496" s="2"/>
      <c r="O496" s="2"/>
      <c r="P496" s="2"/>
      <c r="R496" s="2"/>
      <c r="T496" s="2"/>
      <c r="X496" s="2"/>
      <c r="Y496" s="2"/>
      <c r="Z496" s="2"/>
      <c r="AA496" s="2"/>
      <c r="AB496" s="2"/>
      <c r="AC496" s="2"/>
      <c r="AG496" s="2"/>
      <c r="AK496" s="2"/>
      <c r="AL496" s="2"/>
      <c r="AM496" s="2"/>
      <c r="AN496" s="3"/>
      <c r="AO496" s="2"/>
      <c r="AU496" s="5"/>
    </row>
    <row r="497" ht="15.75" customHeight="1" spans="1:47">
      <c r="A497" s="2"/>
      <c r="F497" s="2"/>
      <c r="G497" s="2"/>
      <c r="K497" s="2"/>
      <c r="O497" s="2"/>
      <c r="P497" s="2"/>
      <c r="R497" s="2"/>
      <c r="T497" s="2"/>
      <c r="X497" s="2"/>
      <c r="Y497" s="2"/>
      <c r="Z497" s="2"/>
      <c r="AA497" s="2"/>
      <c r="AB497" s="2"/>
      <c r="AC497" s="2"/>
      <c r="AG497" s="2"/>
      <c r="AK497" s="2"/>
      <c r="AL497" s="2"/>
      <c r="AM497" s="2"/>
      <c r="AN497" s="3"/>
      <c r="AO497" s="2"/>
      <c r="AU497" s="5"/>
    </row>
    <row r="498" ht="15.75" customHeight="1" spans="1:47">
      <c r="A498" s="2"/>
      <c r="F498" s="2"/>
      <c r="G498" s="2"/>
      <c r="K498" s="2"/>
      <c r="O498" s="2"/>
      <c r="P498" s="2"/>
      <c r="R498" s="2"/>
      <c r="T498" s="2"/>
      <c r="X498" s="2"/>
      <c r="Y498" s="2"/>
      <c r="Z498" s="2"/>
      <c r="AA498" s="2"/>
      <c r="AB498" s="2"/>
      <c r="AC498" s="2"/>
      <c r="AG498" s="2"/>
      <c r="AK498" s="2"/>
      <c r="AL498" s="2"/>
      <c r="AM498" s="2"/>
      <c r="AN498" s="3"/>
      <c r="AO498" s="2"/>
      <c r="AU498" s="5"/>
    </row>
    <row r="499" ht="15.75" customHeight="1" spans="1:47">
      <c r="A499" s="2"/>
      <c r="F499" s="2"/>
      <c r="G499" s="2"/>
      <c r="K499" s="2"/>
      <c r="O499" s="2"/>
      <c r="P499" s="2"/>
      <c r="R499" s="2"/>
      <c r="T499" s="2"/>
      <c r="X499" s="2"/>
      <c r="Y499" s="2"/>
      <c r="Z499" s="2"/>
      <c r="AA499" s="2"/>
      <c r="AB499" s="2"/>
      <c r="AC499" s="2"/>
      <c r="AG499" s="2"/>
      <c r="AK499" s="2"/>
      <c r="AL499" s="2"/>
      <c r="AM499" s="2"/>
      <c r="AN499" s="3"/>
      <c r="AO499" s="2"/>
      <c r="AU499" s="5"/>
    </row>
    <row r="500" ht="15.75" customHeight="1" spans="1:47">
      <c r="A500" s="2"/>
      <c r="F500" s="2"/>
      <c r="G500" s="2"/>
      <c r="K500" s="2"/>
      <c r="O500" s="2"/>
      <c r="P500" s="2"/>
      <c r="R500" s="2"/>
      <c r="T500" s="2"/>
      <c r="X500" s="2"/>
      <c r="Y500" s="2"/>
      <c r="Z500" s="2"/>
      <c r="AA500" s="2"/>
      <c r="AB500" s="2"/>
      <c r="AC500" s="2"/>
      <c r="AG500" s="2"/>
      <c r="AK500" s="2"/>
      <c r="AL500" s="2"/>
      <c r="AM500" s="2"/>
      <c r="AN500" s="3"/>
      <c r="AO500" s="2"/>
      <c r="AU500" s="5"/>
    </row>
    <row r="501" ht="15.75" customHeight="1" spans="1:47">
      <c r="A501" s="2"/>
      <c r="F501" s="2"/>
      <c r="G501" s="2"/>
      <c r="K501" s="2"/>
      <c r="O501" s="2"/>
      <c r="P501" s="2"/>
      <c r="R501" s="2"/>
      <c r="T501" s="2"/>
      <c r="X501" s="2"/>
      <c r="Y501" s="2"/>
      <c r="Z501" s="2"/>
      <c r="AA501" s="2"/>
      <c r="AB501" s="2"/>
      <c r="AC501" s="2"/>
      <c r="AG501" s="2"/>
      <c r="AK501" s="2"/>
      <c r="AL501" s="2"/>
      <c r="AM501" s="2"/>
      <c r="AN501" s="3"/>
      <c r="AO501" s="2"/>
      <c r="AU501" s="5"/>
    </row>
    <row r="502" ht="15.75" customHeight="1" spans="1:47">
      <c r="A502" s="2"/>
      <c r="F502" s="2"/>
      <c r="G502" s="2"/>
      <c r="K502" s="2"/>
      <c r="O502" s="2"/>
      <c r="P502" s="2"/>
      <c r="R502" s="2"/>
      <c r="T502" s="2"/>
      <c r="X502" s="2"/>
      <c r="Y502" s="2"/>
      <c r="Z502" s="2"/>
      <c r="AA502" s="2"/>
      <c r="AB502" s="2"/>
      <c r="AC502" s="2"/>
      <c r="AG502" s="2"/>
      <c r="AK502" s="2"/>
      <c r="AL502" s="2"/>
      <c r="AM502" s="2"/>
      <c r="AN502" s="3"/>
      <c r="AO502" s="2"/>
      <c r="AU502" s="5"/>
    </row>
    <row r="503" ht="15.75" customHeight="1" spans="1:47">
      <c r="A503" s="2"/>
      <c r="F503" s="2"/>
      <c r="G503" s="2"/>
      <c r="K503" s="2"/>
      <c r="O503" s="2"/>
      <c r="P503" s="2"/>
      <c r="R503" s="2"/>
      <c r="T503" s="2"/>
      <c r="X503" s="2"/>
      <c r="Y503" s="2"/>
      <c r="Z503" s="2"/>
      <c r="AA503" s="2"/>
      <c r="AB503" s="2"/>
      <c r="AC503" s="2"/>
      <c r="AG503" s="2"/>
      <c r="AK503" s="2"/>
      <c r="AL503" s="2"/>
      <c r="AM503" s="2"/>
      <c r="AN503" s="3"/>
      <c r="AO503" s="2"/>
      <c r="AU503" s="5"/>
    </row>
    <row r="504" ht="15.75" customHeight="1" spans="1:47">
      <c r="A504" s="2"/>
      <c r="F504" s="2"/>
      <c r="G504" s="2"/>
      <c r="K504" s="2"/>
      <c r="O504" s="2"/>
      <c r="P504" s="2"/>
      <c r="R504" s="2"/>
      <c r="T504" s="2"/>
      <c r="X504" s="2"/>
      <c r="Y504" s="2"/>
      <c r="Z504" s="2"/>
      <c r="AA504" s="2"/>
      <c r="AB504" s="2"/>
      <c r="AC504" s="2"/>
      <c r="AG504" s="2"/>
      <c r="AK504" s="2"/>
      <c r="AL504" s="2"/>
      <c r="AM504" s="2"/>
      <c r="AN504" s="3"/>
      <c r="AO504" s="2"/>
      <c r="AU504" s="5"/>
    </row>
    <row r="505" ht="15.75" customHeight="1" spans="1:47">
      <c r="A505" s="2"/>
      <c r="F505" s="2"/>
      <c r="G505" s="2"/>
      <c r="K505" s="2"/>
      <c r="O505" s="2"/>
      <c r="P505" s="2"/>
      <c r="R505" s="2"/>
      <c r="T505" s="2"/>
      <c r="X505" s="2"/>
      <c r="Y505" s="2"/>
      <c r="Z505" s="2"/>
      <c r="AA505" s="2"/>
      <c r="AB505" s="2"/>
      <c r="AC505" s="2"/>
      <c r="AG505" s="2"/>
      <c r="AK505" s="2"/>
      <c r="AL505" s="2"/>
      <c r="AM505" s="2"/>
      <c r="AN505" s="3"/>
      <c r="AO505" s="2"/>
      <c r="AU505" s="5"/>
    </row>
    <row r="506" ht="15.75" customHeight="1" spans="1:47">
      <c r="A506" s="2"/>
      <c r="F506" s="2"/>
      <c r="G506" s="2"/>
      <c r="K506" s="2"/>
      <c r="O506" s="2"/>
      <c r="P506" s="2"/>
      <c r="R506" s="2"/>
      <c r="T506" s="2"/>
      <c r="X506" s="2"/>
      <c r="Y506" s="2"/>
      <c r="Z506" s="2"/>
      <c r="AA506" s="2"/>
      <c r="AB506" s="2"/>
      <c r="AC506" s="2"/>
      <c r="AG506" s="2"/>
      <c r="AK506" s="2"/>
      <c r="AL506" s="2"/>
      <c r="AM506" s="2"/>
      <c r="AN506" s="3"/>
      <c r="AO506" s="2"/>
      <c r="AU506" s="5"/>
    </row>
    <row r="507" ht="15.75" customHeight="1" spans="1:47">
      <c r="A507" s="2"/>
      <c r="F507" s="2"/>
      <c r="G507" s="2"/>
      <c r="K507" s="2"/>
      <c r="O507" s="2"/>
      <c r="P507" s="2"/>
      <c r="R507" s="2"/>
      <c r="T507" s="2"/>
      <c r="X507" s="2"/>
      <c r="Y507" s="2"/>
      <c r="Z507" s="2"/>
      <c r="AA507" s="2"/>
      <c r="AB507" s="2"/>
      <c r="AC507" s="2"/>
      <c r="AG507" s="2"/>
      <c r="AK507" s="2"/>
      <c r="AL507" s="2"/>
      <c r="AM507" s="2"/>
      <c r="AN507" s="3"/>
      <c r="AO507" s="2"/>
      <c r="AU507" s="5"/>
    </row>
    <row r="508" ht="15.75" customHeight="1" spans="1:47">
      <c r="A508" s="2"/>
      <c r="F508" s="2"/>
      <c r="G508" s="2"/>
      <c r="K508" s="2"/>
      <c r="O508" s="2"/>
      <c r="P508" s="2"/>
      <c r="R508" s="2"/>
      <c r="T508" s="2"/>
      <c r="X508" s="2"/>
      <c r="Y508" s="2"/>
      <c r="Z508" s="2"/>
      <c r="AA508" s="2"/>
      <c r="AB508" s="2"/>
      <c r="AC508" s="2"/>
      <c r="AG508" s="2"/>
      <c r="AK508" s="2"/>
      <c r="AL508" s="2"/>
      <c r="AM508" s="2"/>
      <c r="AN508" s="3"/>
      <c r="AO508" s="2"/>
      <c r="AU508" s="5"/>
    </row>
    <row r="509" ht="15.75" customHeight="1" spans="1:47">
      <c r="A509" s="2"/>
      <c r="F509" s="2"/>
      <c r="G509" s="2"/>
      <c r="K509" s="2"/>
      <c r="O509" s="2"/>
      <c r="P509" s="2"/>
      <c r="R509" s="2"/>
      <c r="T509" s="2"/>
      <c r="X509" s="2"/>
      <c r="Y509" s="2"/>
      <c r="Z509" s="2"/>
      <c r="AA509" s="2"/>
      <c r="AB509" s="2"/>
      <c r="AC509" s="2"/>
      <c r="AG509" s="2"/>
      <c r="AK509" s="2"/>
      <c r="AL509" s="2"/>
      <c r="AM509" s="2"/>
      <c r="AN509" s="3"/>
      <c r="AO509" s="2"/>
      <c r="AU509" s="5"/>
    </row>
    <row r="510" ht="15.75" customHeight="1" spans="1:47">
      <c r="A510" s="2"/>
      <c r="F510" s="2"/>
      <c r="G510" s="2"/>
      <c r="K510" s="2"/>
      <c r="O510" s="2"/>
      <c r="P510" s="2"/>
      <c r="R510" s="2"/>
      <c r="T510" s="2"/>
      <c r="X510" s="2"/>
      <c r="Y510" s="2"/>
      <c r="Z510" s="2"/>
      <c r="AA510" s="2"/>
      <c r="AB510" s="2"/>
      <c r="AC510" s="2"/>
      <c r="AG510" s="2"/>
      <c r="AK510" s="2"/>
      <c r="AL510" s="2"/>
      <c r="AM510" s="2"/>
      <c r="AN510" s="3"/>
      <c r="AO510" s="2"/>
      <c r="AU510" s="5"/>
    </row>
    <row r="511" ht="15.75" customHeight="1" spans="1:47">
      <c r="A511" s="2"/>
      <c r="F511" s="2"/>
      <c r="G511" s="2"/>
      <c r="K511" s="2"/>
      <c r="O511" s="2"/>
      <c r="P511" s="2"/>
      <c r="R511" s="2"/>
      <c r="T511" s="2"/>
      <c r="X511" s="2"/>
      <c r="Y511" s="2"/>
      <c r="Z511" s="2"/>
      <c r="AA511" s="2"/>
      <c r="AB511" s="2"/>
      <c r="AC511" s="2"/>
      <c r="AG511" s="2"/>
      <c r="AK511" s="2"/>
      <c r="AL511" s="2"/>
      <c r="AM511" s="2"/>
      <c r="AN511" s="3"/>
      <c r="AO511" s="2"/>
      <c r="AU511" s="5"/>
    </row>
    <row r="512" ht="15.75" customHeight="1" spans="1:47">
      <c r="A512" s="2"/>
      <c r="F512" s="2"/>
      <c r="G512" s="2"/>
      <c r="K512" s="2"/>
      <c r="O512" s="2"/>
      <c r="P512" s="2"/>
      <c r="R512" s="2"/>
      <c r="T512" s="2"/>
      <c r="X512" s="2"/>
      <c r="Y512" s="2"/>
      <c r="Z512" s="2"/>
      <c r="AA512" s="2"/>
      <c r="AB512" s="2"/>
      <c r="AC512" s="2"/>
      <c r="AG512" s="2"/>
      <c r="AK512" s="2"/>
      <c r="AL512" s="2"/>
      <c r="AM512" s="2"/>
      <c r="AN512" s="3"/>
      <c r="AO512" s="2"/>
      <c r="AU512" s="5"/>
    </row>
    <row r="513" ht="15.75" customHeight="1" spans="1:47">
      <c r="A513" s="2"/>
      <c r="F513" s="2"/>
      <c r="G513" s="2"/>
      <c r="K513" s="2"/>
      <c r="O513" s="2"/>
      <c r="P513" s="2"/>
      <c r="R513" s="2"/>
      <c r="T513" s="2"/>
      <c r="X513" s="2"/>
      <c r="Y513" s="2"/>
      <c r="Z513" s="2"/>
      <c r="AA513" s="2"/>
      <c r="AB513" s="2"/>
      <c r="AC513" s="2"/>
      <c r="AG513" s="2"/>
      <c r="AK513" s="2"/>
      <c r="AL513" s="2"/>
      <c r="AM513" s="2"/>
      <c r="AN513" s="3"/>
      <c r="AO513" s="2"/>
      <c r="AU513" s="5"/>
    </row>
    <row r="514" ht="15.75" customHeight="1" spans="1:47">
      <c r="A514" s="2"/>
      <c r="F514" s="2"/>
      <c r="G514" s="2"/>
      <c r="K514" s="2"/>
      <c r="O514" s="2"/>
      <c r="P514" s="2"/>
      <c r="R514" s="2"/>
      <c r="T514" s="2"/>
      <c r="X514" s="2"/>
      <c r="Y514" s="2"/>
      <c r="Z514" s="2"/>
      <c r="AA514" s="2"/>
      <c r="AB514" s="2"/>
      <c r="AC514" s="2"/>
      <c r="AG514" s="2"/>
      <c r="AK514" s="2"/>
      <c r="AL514" s="2"/>
      <c r="AM514" s="2"/>
      <c r="AN514" s="3"/>
      <c r="AO514" s="2"/>
      <c r="AU514" s="5"/>
    </row>
    <row r="515" ht="15.75" customHeight="1" spans="1:47">
      <c r="A515" s="2"/>
      <c r="F515" s="2"/>
      <c r="G515" s="2"/>
      <c r="K515" s="2"/>
      <c r="O515" s="2"/>
      <c r="P515" s="2"/>
      <c r="R515" s="2"/>
      <c r="T515" s="2"/>
      <c r="X515" s="2"/>
      <c r="Y515" s="2"/>
      <c r="Z515" s="2"/>
      <c r="AA515" s="2"/>
      <c r="AB515" s="2"/>
      <c r="AC515" s="2"/>
      <c r="AG515" s="2"/>
      <c r="AK515" s="2"/>
      <c r="AL515" s="2"/>
      <c r="AM515" s="2"/>
      <c r="AN515" s="3"/>
      <c r="AO515" s="2"/>
      <c r="AU515" s="5"/>
    </row>
    <row r="516" ht="15.75" customHeight="1" spans="1:47">
      <c r="A516" s="2"/>
      <c r="F516" s="2"/>
      <c r="G516" s="2"/>
      <c r="K516" s="2"/>
      <c r="O516" s="2"/>
      <c r="P516" s="2"/>
      <c r="R516" s="2"/>
      <c r="T516" s="2"/>
      <c r="X516" s="2"/>
      <c r="Y516" s="2"/>
      <c r="Z516" s="2"/>
      <c r="AA516" s="2"/>
      <c r="AB516" s="2"/>
      <c r="AC516" s="2"/>
      <c r="AG516" s="2"/>
      <c r="AK516" s="2"/>
      <c r="AL516" s="2"/>
      <c r="AM516" s="2"/>
      <c r="AN516" s="3"/>
      <c r="AO516" s="2"/>
      <c r="AU516" s="5"/>
    </row>
    <row r="517" ht="15.75" customHeight="1" spans="1:47">
      <c r="A517" s="2"/>
      <c r="F517" s="2"/>
      <c r="G517" s="2"/>
      <c r="K517" s="2"/>
      <c r="O517" s="2"/>
      <c r="P517" s="2"/>
      <c r="R517" s="2"/>
      <c r="T517" s="2"/>
      <c r="X517" s="2"/>
      <c r="Y517" s="2"/>
      <c r="Z517" s="2"/>
      <c r="AA517" s="2"/>
      <c r="AB517" s="2"/>
      <c r="AC517" s="2"/>
      <c r="AG517" s="2"/>
      <c r="AK517" s="2"/>
      <c r="AL517" s="2"/>
      <c r="AM517" s="2"/>
      <c r="AN517" s="3"/>
      <c r="AO517" s="2"/>
      <c r="AU517" s="5"/>
    </row>
    <row r="518" ht="15.75" customHeight="1" spans="1:47">
      <c r="A518" s="2"/>
      <c r="F518" s="2"/>
      <c r="G518" s="2"/>
      <c r="K518" s="2"/>
      <c r="O518" s="2"/>
      <c r="P518" s="2"/>
      <c r="R518" s="2"/>
      <c r="T518" s="2"/>
      <c r="X518" s="2"/>
      <c r="Y518" s="2"/>
      <c r="Z518" s="2"/>
      <c r="AA518" s="2"/>
      <c r="AB518" s="2"/>
      <c r="AC518" s="2"/>
      <c r="AG518" s="2"/>
      <c r="AK518" s="2"/>
      <c r="AL518" s="2"/>
      <c r="AM518" s="2"/>
      <c r="AN518" s="3"/>
      <c r="AO518" s="2"/>
      <c r="AU518" s="5"/>
    </row>
    <row r="519" ht="15.75" customHeight="1" spans="1:47">
      <c r="A519" s="2"/>
      <c r="F519" s="2"/>
      <c r="G519" s="2"/>
      <c r="K519" s="2"/>
      <c r="O519" s="2"/>
      <c r="P519" s="2"/>
      <c r="R519" s="2"/>
      <c r="T519" s="2"/>
      <c r="X519" s="2"/>
      <c r="Y519" s="2"/>
      <c r="Z519" s="2"/>
      <c r="AA519" s="2"/>
      <c r="AB519" s="2"/>
      <c r="AC519" s="2"/>
      <c r="AG519" s="2"/>
      <c r="AK519" s="2"/>
      <c r="AL519" s="2"/>
      <c r="AM519" s="2"/>
      <c r="AN519" s="3"/>
      <c r="AO519" s="2"/>
      <c r="AU519" s="5"/>
    </row>
    <row r="520" ht="15.75" customHeight="1" spans="1:47">
      <c r="A520" s="2"/>
      <c r="F520" s="2"/>
      <c r="G520" s="2"/>
      <c r="K520" s="2"/>
      <c r="O520" s="2"/>
      <c r="P520" s="2"/>
      <c r="R520" s="2"/>
      <c r="T520" s="2"/>
      <c r="X520" s="2"/>
      <c r="Y520" s="2"/>
      <c r="Z520" s="2"/>
      <c r="AA520" s="2"/>
      <c r="AB520" s="2"/>
      <c r="AC520" s="2"/>
      <c r="AG520" s="2"/>
      <c r="AK520" s="2"/>
      <c r="AL520" s="2"/>
      <c r="AM520" s="2"/>
      <c r="AN520" s="3"/>
      <c r="AO520" s="2"/>
      <c r="AU520" s="5"/>
    </row>
    <row r="521" ht="15.75" customHeight="1" spans="1:47">
      <c r="A521" s="2"/>
      <c r="F521" s="2"/>
      <c r="G521" s="2"/>
      <c r="K521" s="2"/>
      <c r="O521" s="2"/>
      <c r="P521" s="2"/>
      <c r="R521" s="2"/>
      <c r="T521" s="2"/>
      <c r="X521" s="2"/>
      <c r="Y521" s="2"/>
      <c r="Z521" s="2"/>
      <c r="AA521" s="2"/>
      <c r="AB521" s="2"/>
      <c r="AC521" s="2"/>
      <c r="AG521" s="2"/>
      <c r="AK521" s="2"/>
      <c r="AL521" s="2"/>
      <c r="AM521" s="2"/>
      <c r="AN521" s="3"/>
      <c r="AO521" s="2"/>
      <c r="AU521" s="5"/>
    </row>
    <row r="522" ht="15.75" customHeight="1" spans="1:47">
      <c r="A522" s="2"/>
      <c r="F522" s="2"/>
      <c r="G522" s="2"/>
      <c r="K522" s="2"/>
      <c r="O522" s="2"/>
      <c r="P522" s="2"/>
      <c r="R522" s="2"/>
      <c r="T522" s="2"/>
      <c r="X522" s="2"/>
      <c r="Y522" s="2"/>
      <c r="Z522" s="2"/>
      <c r="AA522" s="2"/>
      <c r="AB522" s="2"/>
      <c r="AC522" s="2"/>
      <c r="AG522" s="2"/>
      <c r="AK522" s="2"/>
      <c r="AL522" s="2"/>
      <c r="AM522" s="2"/>
      <c r="AN522" s="3"/>
      <c r="AO522" s="2"/>
      <c r="AU522" s="5"/>
    </row>
    <row r="523" ht="15.75" customHeight="1" spans="1:47">
      <c r="A523" s="2"/>
      <c r="F523" s="2"/>
      <c r="G523" s="2"/>
      <c r="K523" s="2"/>
      <c r="O523" s="2"/>
      <c r="P523" s="2"/>
      <c r="R523" s="2"/>
      <c r="T523" s="2"/>
      <c r="X523" s="2"/>
      <c r="Y523" s="2"/>
      <c r="Z523" s="2"/>
      <c r="AA523" s="2"/>
      <c r="AB523" s="2"/>
      <c r="AC523" s="2"/>
      <c r="AG523" s="2"/>
      <c r="AK523" s="2"/>
      <c r="AL523" s="2"/>
      <c r="AM523" s="2"/>
      <c r="AN523" s="3"/>
      <c r="AO523" s="2"/>
      <c r="AU523" s="5"/>
    </row>
    <row r="524" ht="15.75" customHeight="1" spans="1:47">
      <c r="A524" s="2"/>
      <c r="F524" s="2"/>
      <c r="G524" s="2"/>
      <c r="K524" s="2"/>
      <c r="O524" s="2"/>
      <c r="P524" s="2"/>
      <c r="R524" s="2"/>
      <c r="T524" s="2"/>
      <c r="X524" s="2"/>
      <c r="Y524" s="2"/>
      <c r="Z524" s="2"/>
      <c r="AA524" s="2"/>
      <c r="AB524" s="2"/>
      <c r="AC524" s="2"/>
      <c r="AG524" s="2"/>
      <c r="AK524" s="2"/>
      <c r="AL524" s="2"/>
      <c r="AM524" s="2"/>
      <c r="AN524" s="3"/>
      <c r="AO524" s="2"/>
      <c r="AU524" s="5"/>
    </row>
    <row r="525" ht="15.75" customHeight="1" spans="1:47">
      <c r="A525" s="2"/>
      <c r="F525" s="2"/>
      <c r="G525" s="2"/>
      <c r="K525" s="2"/>
      <c r="O525" s="2"/>
      <c r="P525" s="2"/>
      <c r="R525" s="2"/>
      <c r="T525" s="2"/>
      <c r="X525" s="2"/>
      <c r="Y525" s="2"/>
      <c r="Z525" s="2"/>
      <c r="AA525" s="2"/>
      <c r="AB525" s="2"/>
      <c r="AC525" s="2"/>
      <c r="AG525" s="2"/>
      <c r="AK525" s="2"/>
      <c r="AL525" s="2"/>
      <c r="AM525" s="2"/>
      <c r="AN525" s="3"/>
      <c r="AO525" s="2"/>
      <c r="AU525" s="5"/>
    </row>
    <row r="526" ht="15.75" customHeight="1" spans="1:47">
      <c r="A526" s="2"/>
      <c r="F526" s="2"/>
      <c r="G526" s="2"/>
      <c r="K526" s="2"/>
      <c r="O526" s="2"/>
      <c r="P526" s="2"/>
      <c r="R526" s="2"/>
      <c r="T526" s="2"/>
      <c r="X526" s="2"/>
      <c r="Y526" s="2"/>
      <c r="Z526" s="2"/>
      <c r="AA526" s="2"/>
      <c r="AB526" s="2"/>
      <c r="AC526" s="2"/>
      <c r="AG526" s="2"/>
      <c r="AK526" s="2"/>
      <c r="AL526" s="2"/>
      <c r="AM526" s="2"/>
      <c r="AN526" s="3"/>
      <c r="AO526" s="2"/>
      <c r="AU526" s="5"/>
    </row>
    <row r="527" ht="15.75" customHeight="1" spans="1:47">
      <c r="A527" s="2"/>
      <c r="F527" s="2"/>
      <c r="G527" s="2"/>
      <c r="K527" s="2"/>
      <c r="O527" s="2"/>
      <c r="P527" s="2"/>
      <c r="R527" s="2"/>
      <c r="T527" s="2"/>
      <c r="X527" s="2"/>
      <c r="Y527" s="2"/>
      <c r="Z527" s="2"/>
      <c r="AA527" s="2"/>
      <c r="AB527" s="2"/>
      <c r="AC527" s="2"/>
      <c r="AG527" s="2"/>
      <c r="AK527" s="2"/>
      <c r="AL527" s="2"/>
      <c r="AM527" s="2"/>
      <c r="AN527" s="3"/>
      <c r="AO527" s="2"/>
      <c r="AU527" s="5"/>
    </row>
    <row r="528" ht="15.75" customHeight="1" spans="1:47">
      <c r="A528" s="2"/>
      <c r="F528" s="2"/>
      <c r="G528" s="2"/>
      <c r="K528" s="2"/>
      <c r="O528" s="2"/>
      <c r="P528" s="2"/>
      <c r="R528" s="2"/>
      <c r="T528" s="2"/>
      <c r="X528" s="2"/>
      <c r="Y528" s="2"/>
      <c r="Z528" s="2"/>
      <c r="AA528" s="2"/>
      <c r="AB528" s="2"/>
      <c r="AC528" s="2"/>
      <c r="AG528" s="2"/>
      <c r="AK528" s="2"/>
      <c r="AL528" s="2"/>
      <c r="AM528" s="2"/>
      <c r="AN528" s="3"/>
      <c r="AO528" s="2"/>
      <c r="AU528" s="5"/>
    </row>
    <row r="529" ht="15.75" customHeight="1" spans="1:47">
      <c r="A529" s="2"/>
      <c r="F529" s="2"/>
      <c r="G529" s="2"/>
      <c r="K529" s="2"/>
      <c r="O529" s="2"/>
      <c r="P529" s="2"/>
      <c r="R529" s="2"/>
      <c r="T529" s="2"/>
      <c r="X529" s="2"/>
      <c r="Y529" s="2"/>
      <c r="Z529" s="2"/>
      <c r="AA529" s="2"/>
      <c r="AB529" s="2"/>
      <c r="AC529" s="2"/>
      <c r="AG529" s="2"/>
      <c r="AK529" s="2"/>
      <c r="AL529" s="2"/>
      <c r="AM529" s="2"/>
      <c r="AN529" s="3"/>
      <c r="AO529" s="2"/>
      <c r="AU529" s="5"/>
    </row>
    <row r="530" ht="15.75" customHeight="1" spans="1:47">
      <c r="A530" s="2"/>
      <c r="F530" s="2"/>
      <c r="G530" s="2"/>
      <c r="K530" s="2"/>
      <c r="O530" s="2"/>
      <c r="P530" s="2"/>
      <c r="R530" s="2"/>
      <c r="T530" s="2"/>
      <c r="X530" s="2"/>
      <c r="Y530" s="2"/>
      <c r="Z530" s="2"/>
      <c r="AA530" s="2"/>
      <c r="AB530" s="2"/>
      <c r="AC530" s="2"/>
      <c r="AG530" s="2"/>
      <c r="AK530" s="2"/>
      <c r="AL530" s="2"/>
      <c r="AM530" s="2"/>
      <c r="AN530" s="3"/>
      <c r="AO530" s="2"/>
      <c r="AU530" s="5"/>
    </row>
    <row r="531" ht="15.75" customHeight="1" spans="1:47">
      <c r="A531" s="2"/>
      <c r="F531" s="2"/>
      <c r="G531" s="2"/>
      <c r="K531" s="2"/>
      <c r="O531" s="2"/>
      <c r="P531" s="2"/>
      <c r="R531" s="2"/>
      <c r="T531" s="2"/>
      <c r="X531" s="2"/>
      <c r="Y531" s="2"/>
      <c r="Z531" s="2"/>
      <c r="AA531" s="2"/>
      <c r="AB531" s="2"/>
      <c r="AC531" s="2"/>
      <c r="AG531" s="2"/>
      <c r="AK531" s="2"/>
      <c r="AL531" s="2"/>
      <c r="AM531" s="2"/>
      <c r="AN531" s="3"/>
      <c r="AO531" s="2"/>
      <c r="AU531" s="5"/>
    </row>
    <row r="532" ht="15.75" customHeight="1" spans="1:47">
      <c r="A532" s="2"/>
      <c r="F532" s="2"/>
      <c r="G532" s="2"/>
      <c r="K532" s="2"/>
      <c r="O532" s="2"/>
      <c r="P532" s="2"/>
      <c r="R532" s="2"/>
      <c r="T532" s="2"/>
      <c r="X532" s="2"/>
      <c r="Y532" s="2"/>
      <c r="Z532" s="2"/>
      <c r="AA532" s="2"/>
      <c r="AB532" s="2"/>
      <c r="AC532" s="2"/>
      <c r="AG532" s="2"/>
      <c r="AK532" s="2"/>
      <c r="AL532" s="2"/>
      <c r="AM532" s="2"/>
      <c r="AN532" s="3"/>
      <c r="AO532" s="2"/>
      <c r="AU532" s="5"/>
    </row>
    <row r="533" ht="15.75" customHeight="1" spans="1:47">
      <c r="A533" s="2"/>
      <c r="F533" s="2"/>
      <c r="G533" s="2"/>
      <c r="K533" s="2"/>
      <c r="O533" s="2"/>
      <c r="P533" s="2"/>
      <c r="R533" s="2"/>
      <c r="T533" s="2"/>
      <c r="X533" s="2"/>
      <c r="Y533" s="2"/>
      <c r="Z533" s="2"/>
      <c r="AA533" s="2"/>
      <c r="AB533" s="2"/>
      <c r="AC533" s="2"/>
      <c r="AG533" s="2"/>
      <c r="AK533" s="2"/>
      <c r="AL533" s="2"/>
      <c r="AM533" s="2"/>
      <c r="AN533" s="3"/>
      <c r="AO533" s="2"/>
      <c r="AU533" s="5"/>
    </row>
    <row r="534" ht="15.75" customHeight="1" spans="1:47">
      <c r="A534" s="2"/>
      <c r="F534" s="2"/>
      <c r="G534" s="2"/>
      <c r="K534" s="2"/>
      <c r="O534" s="2"/>
      <c r="P534" s="2"/>
      <c r="R534" s="2"/>
      <c r="T534" s="2"/>
      <c r="X534" s="2"/>
      <c r="Y534" s="2"/>
      <c r="Z534" s="2"/>
      <c r="AA534" s="2"/>
      <c r="AB534" s="2"/>
      <c r="AC534" s="2"/>
      <c r="AG534" s="2"/>
      <c r="AK534" s="2"/>
      <c r="AL534" s="2"/>
      <c r="AM534" s="2"/>
      <c r="AN534" s="3"/>
      <c r="AO534" s="2"/>
      <c r="AU534" s="5"/>
    </row>
    <row r="535" ht="15.75" customHeight="1" spans="1:47">
      <c r="A535" s="2"/>
      <c r="F535" s="2"/>
      <c r="G535" s="2"/>
      <c r="K535" s="2"/>
      <c r="O535" s="2"/>
      <c r="P535" s="2"/>
      <c r="R535" s="2"/>
      <c r="T535" s="2"/>
      <c r="X535" s="2"/>
      <c r="Y535" s="2"/>
      <c r="Z535" s="2"/>
      <c r="AA535" s="2"/>
      <c r="AB535" s="2"/>
      <c r="AC535" s="2"/>
      <c r="AG535" s="2"/>
      <c r="AK535" s="2"/>
      <c r="AL535" s="2"/>
      <c r="AM535" s="2"/>
      <c r="AN535" s="3"/>
      <c r="AO535" s="2"/>
      <c r="AU535" s="5"/>
    </row>
    <row r="536" ht="15.75" customHeight="1" spans="1:47">
      <c r="A536" s="2"/>
      <c r="F536" s="2"/>
      <c r="G536" s="2"/>
      <c r="K536" s="2"/>
      <c r="O536" s="2"/>
      <c r="P536" s="2"/>
      <c r="R536" s="2"/>
      <c r="T536" s="2"/>
      <c r="X536" s="2"/>
      <c r="Y536" s="2"/>
      <c r="Z536" s="2"/>
      <c r="AA536" s="2"/>
      <c r="AB536" s="2"/>
      <c r="AC536" s="2"/>
      <c r="AG536" s="2"/>
      <c r="AK536" s="2"/>
      <c r="AL536" s="2"/>
      <c r="AM536" s="2"/>
      <c r="AN536" s="3"/>
      <c r="AO536" s="2"/>
      <c r="AU536" s="5"/>
    </row>
    <row r="537" ht="15.75" customHeight="1" spans="1:47">
      <c r="A537" s="2"/>
      <c r="F537" s="2"/>
      <c r="G537" s="2"/>
      <c r="K537" s="2"/>
      <c r="O537" s="2"/>
      <c r="P537" s="2"/>
      <c r="R537" s="2"/>
      <c r="T537" s="2"/>
      <c r="X537" s="2"/>
      <c r="Y537" s="2"/>
      <c r="Z537" s="2"/>
      <c r="AA537" s="2"/>
      <c r="AB537" s="2"/>
      <c r="AC537" s="2"/>
      <c r="AG537" s="2"/>
      <c r="AK537" s="2"/>
      <c r="AL537" s="2"/>
      <c r="AM537" s="2"/>
      <c r="AN537" s="3"/>
      <c r="AO537" s="2"/>
      <c r="AU537" s="5"/>
    </row>
    <row r="538" ht="15.75" customHeight="1" spans="1:47">
      <c r="A538" s="2"/>
      <c r="F538" s="2"/>
      <c r="G538" s="2"/>
      <c r="K538" s="2"/>
      <c r="O538" s="2"/>
      <c r="P538" s="2"/>
      <c r="R538" s="2"/>
      <c r="T538" s="2"/>
      <c r="X538" s="2"/>
      <c r="Y538" s="2"/>
      <c r="Z538" s="2"/>
      <c r="AA538" s="2"/>
      <c r="AB538" s="2"/>
      <c r="AC538" s="2"/>
      <c r="AG538" s="2"/>
      <c r="AK538" s="2"/>
      <c r="AL538" s="2"/>
      <c r="AM538" s="2"/>
      <c r="AN538" s="3"/>
      <c r="AO538" s="2"/>
      <c r="AU538" s="5"/>
    </row>
    <row r="539" ht="15.75" customHeight="1" spans="1:47">
      <c r="A539" s="2"/>
      <c r="F539" s="2"/>
      <c r="G539" s="2"/>
      <c r="K539" s="2"/>
      <c r="O539" s="2"/>
      <c r="P539" s="2"/>
      <c r="R539" s="2"/>
      <c r="T539" s="2"/>
      <c r="X539" s="2"/>
      <c r="Y539" s="2"/>
      <c r="Z539" s="2"/>
      <c r="AA539" s="2"/>
      <c r="AB539" s="2"/>
      <c r="AC539" s="2"/>
      <c r="AG539" s="2"/>
      <c r="AK539" s="2"/>
      <c r="AL539" s="2"/>
      <c r="AM539" s="2"/>
      <c r="AN539" s="3"/>
      <c r="AO539" s="2"/>
      <c r="AU539" s="5"/>
    </row>
    <row r="540" ht="15.75" customHeight="1" spans="1:47">
      <c r="A540" s="2"/>
      <c r="F540" s="2"/>
      <c r="G540" s="2"/>
      <c r="K540" s="2"/>
      <c r="O540" s="2"/>
      <c r="P540" s="2"/>
      <c r="R540" s="2"/>
      <c r="T540" s="2"/>
      <c r="X540" s="2"/>
      <c r="Y540" s="2"/>
      <c r="Z540" s="2"/>
      <c r="AA540" s="2"/>
      <c r="AB540" s="2"/>
      <c r="AC540" s="2"/>
      <c r="AG540" s="2"/>
      <c r="AK540" s="2"/>
      <c r="AL540" s="2"/>
      <c r="AM540" s="2"/>
      <c r="AN540" s="3"/>
      <c r="AO540" s="2"/>
      <c r="AU540" s="5"/>
    </row>
    <row r="541" ht="15.75" customHeight="1" spans="1:47">
      <c r="A541" s="2"/>
      <c r="F541" s="2"/>
      <c r="G541" s="2"/>
      <c r="K541" s="2"/>
      <c r="O541" s="2"/>
      <c r="P541" s="2"/>
      <c r="R541" s="2"/>
      <c r="T541" s="2"/>
      <c r="X541" s="2"/>
      <c r="Y541" s="2"/>
      <c r="Z541" s="2"/>
      <c r="AA541" s="2"/>
      <c r="AB541" s="2"/>
      <c r="AC541" s="2"/>
      <c r="AG541" s="2"/>
      <c r="AK541" s="2"/>
      <c r="AL541" s="2"/>
      <c r="AM541" s="2"/>
      <c r="AN541" s="3"/>
      <c r="AO541" s="2"/>
      <c r="AU541" s="5"/>
    </row>
    <row r="542" ht="15.75" customHeight="1" spans="1:47">
      <c r="A542" s="2"/>
      <c r="F542" s="2"/>
      <c r="G542" s="2"/>
      <c r="K542" s="2"/>
      <c r="O542" s="2"/>
      <c r="P542" s="2"/>
      <c r="R542" s="2"/>
      <c r="T542" s="2"/>
      <c r="X542" s="2"/>
      <c r="Y542" s="2"/>
      <c r="Z542" s="2"/>
      <c r="AA542" s="2"/>
      <c r="AB542" s="2"/>
      <c r="AC542" s="2"/>
      <c r="AG542" s="2"/>
      <c r="AK542" s="2"/>
      <c r="AL542" s="2"/>
      <c r="AM542" s="2"/>
      <c r="AN542" s="3"/>
      <c r="AO542" s="2"/>
      <c r="AU542" s="5"/>
    </row>
    <row r="543" ht="15.75" customHeight="1" spans="1:47">
      <c r="A543" s="2"/>
      <c r="F543" s="2"/>
      <c r="G543" s="2"/>
      <c r="K543" s="2"/>
      <c r="O543" s="2"/>
      <c r="P543" s="2"/>
      <c r="R543" s="2"/>
      <c r="T543" s="2"/>
      <c r="X543" s="2"/>
      <c r="Y543" s="2"/>
      <c r="Z543" s="2"/>
      <c r="AA543" s="2"/>
      <c r="AB543" s="2"/>
      <c r="AC543" s="2"/>
      <c r="AG543" s="2"/>
      <c r="AK543" s="2"/>
      <c r="AL543" s="2"/>
      <c r="AM543" s="2"/>
      <c r="AN543" s="3"/>
      <c r="AO543" s="2"/>
      <c r="AU543" s="5"/>
    </row>
    <row r="544" ht="15.75" customHeight="1" spans="1:47">
      <c r="A544" s="2"/>
      <c r="F544" s="2"/>
      <c r="G544" s="2"/>
      <c r="K544" s="2"/>
      <c r="O544" s="2"/>
      <c r="P544" s="2"/>
      <c r="R544" s="2"/>
      <c r="T544" s="2"/>
      <c r="X544" s="2"/>
      <c r="Y544" s="2"/>
      <c r="Z544" s="2"/>
      <c r="AA544" s="2"/>
      <c r="AB544" s="2"/>
      <c r="AC544" s="2"/>
      <c r="AG544" s="2"/>
      <c r="AK544" s="2"/>
      <c r="AL544" s="2"/>
      <c r="AM544" s="2"/>
      <c r="AN544" s="3"/>
      <c r="AO544" s="2"/>
      <c r="AU544" s="5"/>
    </row>
    <row r="545" ht="15.75" customHeight="1" spans="1:47">
      <c r="A545" s="2"/>
      <c r="F545" s="2"/>
      <c r="G545" s="2"/>
      <c r="K545" s="2"/>
      <c r="O545" s="2"/>
      <c r="P545" s="2"/>
      <c r="R545" s="2"/>
      <c r="T545" s="2"/>
      <c r="X545" s="2"/>
      <c r="Y545" s="2"/>
      <c r="Z545" s="2"/>
      <c r="AA545" s="2"/>
      <c r="AB545" s="2"/>
      <c r="AC545" s="2"/>
      <c r="AG545" s="2"/>
      <c r="AK545" s="2"/>
      <c r="AL545" s="2"/>
      <c r="AM545" s="2"/>
      <c r="AN545" s="3"/>
      <c r="AO545" s="2"/>
      <c r="AU545" s="5"/>
    </row>
    <row r="546" ht="15.75" customHeight="1" spans="1:47">
      <c r="A546" s="2"/>
      <c r="F546" s="2"/>
      <c r="G546" s="2"/>
      <c r="K546" s="2"/>
      <c r="O546" s="2"/>
      <c r="P546" s="2"/>
      <c r="R546" s="2"/>
      <c r="T546" s="2"/>
      <c r="X546" s="2"/>
      <c r="Y546" s="2"/>
      <c r="Z546" s="2"/>
      <c r="AA546" s="2"/>
      <c r="AB546" s="2"/>
      <c r="AC546" s="2"/>
      <c r="AG546" s="2"/>
      <c r="AK546" s="2"/>
      <c r="AL546" s="2"/>
      <c r="AM546" s="2"/>
      <c r="AN546" s="3"/>
      <c r="AO546" s="2"/>
      <c r="AU546" s="5"/>
    </row>
    <row r="547" ht="15.75" customHeight="1" spans="1:47">
      <c r="A547" s="2"/>
      <c r="F547" s="2"/>
      <c r="G547" s="2"/>
      <c r="K547" s="2"/>
      <c r="O547" s="2"/>
      <c r="P547" s="2"/>
      <c r="R547" s="2"/>
      <c r="T547" s="2"/>
      <c r="X547" s="2"/>
      <c r="Y547" s="2"/>
      <c r="Z547" s="2"/>
      <c r="AA547" s="2"/>
      <c r="AB547" s="2"/>
      <c r="AC547" s="2"/>
      <c r="AG547" s="2"/>
      <c r="AK547" s="2"/>
      <c r="AL547" s="2"/>
      <c r="AM547" s="2"/>
      <c r="AN547" s="3"/>
      <c r="AO547" s="2"/>
      <c r="AU547" s="5"/>
    </row>
    <row r="548" ht="15.75" customHeight="1" spans="1:47">
      <c r="A548" s="2"/>
      <c r="F548" s="2"/>
      <c r="G548" s="2"/>
      <c r="K548" s="2"/>
      <c r="O548" s="2"/>
      <c r="P548" s="2"/>
      <c r="R548" s="2"/>
      <c r="T548" s="2"/>
      <c r="X548" s="2"/>
      <c r="Y548" s="2"/>
      <c r="Z548" s="2"/>
      <c r="AA548" s="2"/>
      <c r="AB548" s="2"/>
      <c r="AC548" s="2"/>
      <c r="AG548" s="2"/>
      <c r="AK548" s="2"/>
      <c r="AL548" s="2"/>
      <c r="AM548" s="2"/>
      <c r="AN548" s="3"/>
      <c r="AO548" s="2"/>
      <c r="AU548" s="5"/>
    </row>
    <row r="549" ht="15.75" customHeight="1" spans="1:47">
      <c r="A549" s="2"/>
      <c r="F549" s="2"/>
      <c r="G549" s="2"/>
      <c r="K549" s="2"/>
      <c r="O549" s="2"/>
      <c r="P549" s="2"/>
      <c r="R549" s="2"/>
      <c r="T549" s="2"/>
      <c r="X549" s="2"/>
      <c r="Y549" s="2"/>
      <c r="Z549" s="2"/>
      <c r="AA549" s="2"/>
      <c r="AB549" s="2"/>
      <c r="AC549" s="2"/>
      <c r="AG549" s="2"/>
      <c r="AK549" s="2"/>
      <c r="AL549" s="2"/>
      <c r="AM549" s="2"/>
      <c r="AN549" s="3"/>
      <c r="AO549" s="2"/>
      <c r="AU549" s="5"/>
    </row>
    <row r="550" ht="15.75" customHeight="1" spans="1:47">
      <c r="A550" s="2"/>
      <c r="F550" s="2"/>
      <c r="G550" s="2"/>
      <c r="K550" s="2"/>
      <c r="O550" s="2"/>
      <c r="P550" s="2"/>
      <c r="R550" s="2"/>
      <c r="T550" s="2"/>
      <c r="X550" s="2"/>
      <c r="Y550" s="2"/>
      <c r="Z550" s="2"/>
      <c r="AA550" s="2"/>
      <c r="AB550" s="2"/>
      <c r="AC550" s="2"/>
      <c r="AG550" s="2"/>
      <c r="AK550" s="2"/>
      <c r="AL550" s="2"/>
      <c r="AM550" s="2"/>
      <c r="AN550" s="3"/>
      <c r="AO550" s="2"/>
      <c r="AU550" s="5"/>
    </row>
    <row r="551" ht="15.75" customHeight="1" spans="1:47">
      <c r="A551" s="2"/>
      <c r="F551" s="2"/>
      <c r="G551" s="2"/>
      <c r="K551" s="2"/>
      <c r="O551" s="2"/>
      <c r="P551" s="2"/>
      <c r="R551" s="2"/>
      <c r="T551" s="2"/>
      <c r="X551" s="2"/>
      <c r="Y551" s="2"/>
      <c r="Z551" s="2"/>
      <c r="AA551" s="2"/>
      <c r="AB551" s="2"/>
      <c r="AC551" s="2"/>
      <c r="AG551" s="2"/>
      <c r="AK551" s="2"/>
      <c r="AL551" s="2"/>
      <c r="AM551" s="2"/>
      <c r="AN551" s="3"/>
      <c r="AO551" s="2"/>
      <c r="AU551" s="5"/>
    </row>
    <row r="552" ht="15.75" customHeight="1" spans="1:47">
      <c r="A552" s="2"/>
      <c r="F552" s="2"/>
      <c r="G552" s="2"/>
      <c r="K552" s="2"/>
      <c r="O552" s="2"/>
      <c r="P552" s="2"/>
      <c r="R552" s="2"/>
      <c r="T552" s="2"/>
      <c r="X552" s="2"/>
      <c r="Y552" s="2"/>
      <c r="Z552" s="2"/>
      <c r="AA552" s="2"/>
      <c r="AB552" s="2"/>
      <c r="AC552" s="2"/>
      <c r="AG552" s="2"/>
      <c r="AK552" s="2"/>
      <c r="AL552" s="2"/>
      <c r="AM552" s="2"/>
      <c r="AN552" s="3"/>
      <c r="AO552" s="2"/>
      <c r="AU552" s="5"/>
    </row>
    <row r="553" ht="15.75" customHeight="1" spans="1:47">
      <c r="A553" s="2"/>
      <c r="F553" s="2"/>
      <c r="G553" s="2"/>
      <c r="K553" s="2"/>
      <c r="O553" s="2"/>
      <c r="P553" s="2"/>
      <c r="R553" s="2"/>
      <c r="T553" s="2"/>
      <c r="X553" s="2"/>
      <c r="Y553" s="2"/>
      <c r="Z553" s="2"/>
      <c r="AA553" s="2"/>
      <c r="AB553" s="2"/>
      <c r="AC553" s="2"/>
      <c r="AG553" s="2"/>
      <c r="AK553" s="2"/>
      <c r="AL553" s="2"/>
      <c r="AM553" s="2"/>
      <c r="AN553" s="3"/>
      <c r="AO553" s="2"/>
      <c r="AU553" s="5"/>
    </row>
    <row r="554" ht="15.75" customHeight="1" spans="1:47">
      <c r="A554" s="2"/>
      <c r="F554" s="2"/>
      <c r="G554" s="2"/>
      <c r="K554" s="2"/>
      <c r="O554" s="2"/>
      <c r="P554" s="2"/>
      <c r="R554" s="2"/>
      <c r="T554" s="2"/>
      <c r="X554" s="2"/>
      <c r="Y554" s="2"/>
      <c r="Z554" s="2"/>
      <c r="AA554" s="2"/>
      <c r="AB554" s="2"/>
      <c r="AC554" s="2"/>
      <c r="AG554" s="2"/>
      <c r="AK554" s="2"/>
      <c r="AL554" s="2"/>
      <c r="AM554" s="2"/>
      <c r="AN554" s="3"/>
      <c r="AO554" s="2"/>
      <c r="AU554" s="5"/>
    </row>
    <row r="555" ht="15.75" customHeight="1" spans="1:47">
      <c r="A555" s="2"/>
      <c r="F555" s="2"/>
      <c r="G555" s="2"/>
      <c r="K555" s="2"/>
      <c r="O555" s="2"/>
      <c r="P555" s="2"/>
      <c r="R555" s="2"/>
      <c r="T555" s="2"/>
      <c r="X555" s="2"/>
      <c r="Y555" s="2"/>
      <c r="Z555" s="2"/>
      <c r="AA555" s="2"/>
      <c r="AB555" s="2"/>
      <c r="AC555" s="2"/>
      <c r="AG555" s="2"/>
      <c r="AK555" s="2"/>
      <c r="AL555" s="2"/>
      <c r="AM555" s="2"/>
      <c r="AN555" s="3"/>
      <c r="AO555" s="2"/>
      <c r="AU555" s="5"/>
    </row>
    <row r="556" ht="15.75" customHeight="1" spans="1:47">
      <c r="A556" s="2"/>
      <c r="F556" s="2"/>
      <c r="G556" s="2"/>
      <c r="K556" s="2"/>
      <c r="O556" s="2"/>
      <c r="P556" s="2"/>
      <c r="R556" s="2"/>
      <c r="T556" s="2"/>
      <c r="X556" s="2"/>
      <c r="Y556" s="2"/>
      <c r="Z556" s="2"/>
      <c r="AA556" s="2"/>
      <c r="AB556" s="2"/>
      <c r="AC556" s="2"/>
      <c r="AG556" s="2"/>
      <c r="AK556" s="2"/>
      <c r="AL556" s="2"/>
      <c r="AM556" s="2"/>
      <c r="AN556" s="3"/>
      <c r="AO556" s="2"/>
      <c r="AU556" s="5"/>
    </row>
    <row r="557" ht="15.75" customHeight="1" spans="1:47">
      <c r="A557" s="2"/>
      <c r="F557" s="2"/>
      <c r="G557" s="2"/>
      <c r="K557" s="2"/>
      <c r="O557" s="2"/>
      <c r="P557" s="2"/>
      <c r="R557" s="2"/>
      <c r="T557" s="2"/>
      <c r="X557" s="2"/>
      <c r="Y557" s="2"/>
      <c r="Z557" s="2"/>
      <c r="AA557" s="2"/>
      <c r="AB557" s="2"/>
      <c r="AC557" s="2"/>
      <c r="AG557" s="2"/>
      <c r="AK557" s="2"/>
      <c r="AL557" s="2"/>
      <c r="AM557" s="2"/>
      <c r="AN557" s="3"/>
      <c r="AO557" s="2"/>
      <c r="AU557" s="5"/>
    </row>
    <row r="558" ht="15.75" customHeight="1" spans="1:47">
      <c r="A558" s="2"/>
      <c r="F558" s="2"/>
      <c r="G558" s="2"/>
      <c r="K558" s="2"/>
      <c r="O558" s="2"/>
      <c r="P558" s="2"/>
      <c r="R558" s="2"/>
      <c r="T558" s="2"/>
      <c r="X558" s="2"/>
      <c r="Y558" s="2"/>
      <c r="Z558" s="2"/>
      <c r="AA558" s="2"/>
      <c r="AB558" s="2"/>
      <c r="AC558" s="2"/>
      <c r="AG558" s="2"/>
      <c r="AK558" s="2"/>
      <c r="AL558" s="2"/>
      <c r="AM558" s="2"/>
      <c r="AN558" s="3"/>
      <c r="AO558" s="2"/>
      <c r="AU558" s="5"/>
    </row>
    <row r="559" ht="15.75" customHeight="1" spans="1:47">
      <c r="A559" s="2"/>
      <c r="F559" s="2"/>
      <c r="G559" s="2"/>
      <c r="K559" s="2"/>
      <c r="O559" s="2"/>
      <c r="P559" s="2"/>
      <c r="R559" s="2"/>
      <c r="T559" s="2"/>
      <c r="X559" s="2"/>
      <c r="Y559" s="2"/>
      <c r="Z559" s="2"/>
      <c r="AA559" s="2"/>
      <c r="AB559" s="2"/>
      <c r="AC559" s="2"/>
      <c r="AG559" s="2"/>
      <c r="AK559" s="2"/>
      <c r="AL559" s="2"/>
      <c r="AM559" s="2"/>
      <c r="AN559" s="3"/>
      <c r="AO559" s="2"/>
      <c r="AU559" s="5"/>
    </row>
    <row r="560" ht="15.75" customHeight="1" spans="1:47">
      <c r="A560" s="2"/>
      <c r="F560" s="2"/>
      <c r="G560" s="2"/>
      <c r="K560" s="2"/>
      <c r="O560" s="2"/>
      <c r="P560" s="2"/>
      <c r="R560" s="2"/>
      <c r="T560" s="2"/>
      <c r="X560" s="2"/>
      <c r="Y560" s="2"/>
      <c r="Z560" s="2"/>
      <c r="AA560" s="2"/>
      <c r="AB560" s="2"/>
      <c r="AC560" s="2"/>
      <c r="AG560" s="2"/>
      <c r="AK560" s="2"/>
      <c r="AL560" s="2"/>
      <c r="AM560" s="2"/>
      <c r="AN560" s="3"/>
      <c r="AO560" s="2"/>
      <c r="AU560" s="5"/>
    </row>
    <row r="561" ht="15.75" customHeight="1" spans="1:47">
      <c r="A561" s="2"/>
      <c r="F561" s="2"/>
      <c r="G561" s="2"/>
      <c r="K561" s="2"/>
      <c r="O561" s="2"/>
      <c r="P561" s="2"/>
      <c r="R561" s="2"/>
      <c r="T561" s="2"/>
      <c r="X561" s="2"/>
      <c r="Y561" s="2"/>
      <c r="Z561" s="2"/>
      <c r="AA561" s="2"/>
      <c r="AB561" s="2"/>
      <c r="AC561" s="2"/>
      <c r="AG561" s="2"/>
      <c r="AK561" s="2"/>
      <c r="AL561" s="2"/>
      <c r="AM561" s="2"/>
      <c r="AN561" s="3"/>
      <c r="AO561" s="2"/>
      <c r="AU561" s="5"/>
    </row>
    <row r="562" ht="15.75" customHeight="1" spans="1:47">
      <c r="A562" s="2"/>
      <c r="F562" s="2"/>
      <c r="G562" s="2"/>
      <c r="K562" s="2"/>
      <c r="O562" s="2"/>
      <c r="P562" s="2"/>
      <c r="R562" s="2"/>
      <c r="T562" s="2"/>
      <c r="X562" s="2"/>
      <c r="Y562" s="2"/>
      <c r="Z562" s="2"/>
      <c r="AA562" s="2"/>
      <c r="AB562" s="2"/>
      <c r="AC562" s="2"/>
      <c r="AG562" s="2"/>
      <c r="AK562" s="2"/>
      <c r="AL562" s="2"/>
      <c r="AM562" s="2"/>
      <c r="AN562" s="3"/>
      <c r="AO562" s="2"/>
      <c r="AU562" s="5"/>
    </row>
    <row r="563" ht="15.75" customHeight="1" spans="1:47">
      <c r="A563" s="2"/>
      <c r="F563" s="2"/>
      <c r="G563" s="2"/>
      <c r="K563" s="2"/>
      <c r="O563" s="2"/>
      <c r="P563" s="2"/>
      <c r="R563" s="2"/>
      <c r="T563" s="2"/>
      <c r="X563" s="2"/>
      <c r="Y563" s="2"/>
      <c r="Z563" s="2"/>
      <c r="AA563" s="2"/>
      <c r="AB563" s="2"/>
      <c r="AC563" s="2"/>
      <c r="AG563" s="2"/>
      <c r="AK563" s="2"/>
      <c r="AL563" s="2"/>
      <c r="AM563" s="2"/>
      <c r="AN563" s="3"/>
      <c r="AO563" s="2"/>
      <c r="AU563" s="5"/>
    </row>
    <row r="564" ht="15.75" customHeight="1" spans="1:47">
      <c r="A564" s="2"/>
      <c r="F564" s="2"/>
      <c r="G564" s="2"/>
      <c r="K564" s="2"/>
      <c r="O564" s="2"/>
      <c r="P564" s="2"/>
      <c r="R564" s="2"/>
      <c r="T564" s="2"/>
      <c r="X564" s="2"/>
      <c r="Y564" s="2"/>
      <c r="Z564" s="2"/>
      <c r="AA564" s="2"/>
      <c r="AB564" s="2"/>
      <c r="AC564" s="2"/>
      <c r="AG564" s="2"/>
      <c r="AK564" s="2"/>
      <c r="AL564" s="2"/>
      <c r="AM564" s="2"/>
      <c r="AN564" s="3"/>
      <c r="AO564" s="2"/>
      <c r="AU564" s="5"/>
    </row>
    <row r="565" ht="15.75" customHeight="1" spans="1:47">
      <c r="A565" s="2"/>
      <c r="F565" s="2"/>
      <c r="G565" s="2"/>
      <c r="K565" s="2"/>
      <c r="O565" s="2"/>
      <c r="P565" s="2"/>
      <c r="R565" s="2"/>
      <c r="T565" s="2"/>
      <c r="X565" s="2"/>
      <c r="Y565" s="2"/>
      <c r="Z565" s="2"/>
      <c r="AA565" s="2"/>
      <c r="AB565" s="2"/>
      <c r="AC565" s="2"/>
      <c r="AG565" s="2"/>
      <c r="AK565" s="2"/>
      <c r="AL565" s="2"/>
      <c r="AM565" s="2"/>
      <c r="AN565" s="3"/>
      <c r="AO565" s="2"/>
      <c r="AU565" s="5"/>
    </row>
    <row r="566" ht="15.75" customHeight="1" spans="1:47">
      <c r="A566" s="2"/>
      <c r="F566" s="2"/>
      <c r="G566" s="2"/>
      <c r="K566" s="2"/>
      <c r="O566" s="2"/>
      <c r="P566" s="2"/>
      <c r="R566" s="2"/>
      <c r="T566" s="2"/>
      <c r="X566" s="2"/>
      <c r="Y566" s="2"/>
      <c r="Z566" s="2"/>
      <c r="AA566" s="2"/>
      <c r="AB566" s="2"/>
      <c r="AC566" s="2"/>
      <c r="AG566" s="2"/>
      <c r="AK566" s="2"/>
      <c r="AL566" s="2"/>
      <c r="AM566" s="2"/>
      <c r="AN566" s="3"/>
      <c r="AO566" s="2"/>
      <c r="AU566" s="5"/>
    </row>
    <row r="567" ht="15.75" customHeight="1" spans="1:47">
      <c r="A567" s="2"/>
      <c r="F567" s="2"/>
      <c r="G567" s="2"/>
      <c r="K567" s="2"/>
      <c r="O567" s="2"/>
      <c r="P567" s="2"/>
      <c r="R567" s="2"/>
      <c r="T567" s="2"/>
      <c r="X567" s="2"/>
      <c r="Y567" s="2"/>
      <c r="Z567" s="2"/>
      <c r="AA567" s="2"/>
      <c r="AB567" s="2"/>
      <c r="AC567" s="2"/>
      <c r="AG567" s="2"/>
      <c r="AK567" s="2"/>
      <c r="AL567" s="2"/>
      <c r="AM567" s="2"/>
      <c r="AN567" s="3"/>
      <c r="AO567" s="2"/>
      <c r="AU567" s="5"/>
    </row>
    <row r="568" ht="15.75" customHeight="1" spans="1:47">
      <c r="A568" s="2"/>
      <c r="F568" s="2"/>
      <c r="G568" s="2"/>
      <c r="K568" s="2"/>
      <c r="O568" s="2"/>
      <c r="P568" s="2"/>
      <c r="R568" s="2"/>
      <c r="T568" s="2"/>
      <c r="X568" s="2"/>
      <c r="Y568" s="2"/>
      <c r="Z568" s="2"/>
      <c r="AA568" s="2"/>
      <c r="AB568" s="2"/>
      <c r="AC568" s="2"/>
      <c r="AG568" s="2"/>
      <c r="AK568" s="2"/>
      <c r="AL568" s="2"/>
      <c r="AM568" s="2"/>
      <c r="AN568" s="3"/>
      <c r="AO568" s="2"/>
      <c r="AU568" s="5"/>
    </row>
    <row r="569" ht="15.75" customHeight="1" spans="1:47">
      <c r="A569" s="2"/>
      <c r="F569" s="2"/>
      <c r="G569" s="2"/>
      <c r="K569" s="2"/>
      <c r="O569" s="2"/>
      <c r="P569" s="2"/>
      <c r="R569" s="2"/>
      <c r="T569" s="2"/>
      <c r="X569" s="2"/>
      <c r="Y569" s="2"/>
      <c r="Z569" s="2"/>
      <c r="AA569" s="2"/>
      <c r="AB569" s="2"/>
      <c r="AC569" s="2"/>
      <c r="AG569" s="2"/>
      <c r="AK569" s="2"/>
      <c r="AL569" s="2"/>
      <c r="AM569" s="2"/>
      <c r="AN569" s="3"/>
      <c r="AO569" s="2"/>
      <c r="AU569" s="5"/>
    </row>
    <row r="570" ht="15.75" customHeight="1" spans="1:47">
      <c r="A570" s="2"/>
      <c r="F570" s="2"/>
      <c r="G570" s="2"/>
      <c r="K570" s="2"/>
      <c r="O570" s="2"/>
      <c r="P570" s="2"/>
      <c r="R570" s="2"/>
      <c r="T570" s="2"/>
      <c r="X570" s="2"/>
      <c r="Y570" s="2"/>
      <c r="Z570" s="2"/>
      <c r="AA570" s="2"/>
      <c r="AB570" s="2"/>
      <c r="AC570" s="2"/>
      <c r="AG570" s="2"/>
      <c r="AK570" s="2"/>
      <c r="AL570" s="2"/>
      <c r="AM570" s="2"/>
      <c r="AN570" s="3"/>
      <c r="AO570" s="2"/>
      <c r="AU570" s="5"/>
    </row>
    <row r="571" ht="15.75" customHeight="1" spans="1:47">
      <c r="A571" s="2"/>
      <c r="F571" s="2"/>
      <c r="G571" s="2"/>
      <c r="K571" s="2"/>
      <c r="O571" s="2"/>
      <c r="P571" s="2"/>
      <c r="R571" s="2"/>
      <c r="T571" s="2"/>
      <c r="X571" s="2"/>
      <c r="Y571" s="2"/>
      <c r="Z571" s="2"/>
      <c r="AA571" s="2"/>
      <c r="AB571" s="2"/>
      <c r="AC571" s="2"/>
      <c r="AG571" s="2"/>
      <c r="AK571" s="2"/>
      <c r="AL571" s="2"/>
      <c r="AM571" s="2"/>
      <c r="AN571" s="3"/>
      <c r="AO571" s="2"/>
      <c r="AU571" s="5"/>
    </row>
    <row r="572" ht="15.75" customHeight="1" spans="1:47">
      <c r="A572" s="2"/>
      <c r="F572" s="2"/>
      <c r="G572" s="2"/>
      <c r="K572" s="2"/>
      <c r="O572" s="2"/>
      <c r="P572" s="2"/>
      <c r="R572" s="2"/>
      <c r="T572" s="2"/>
      <c r="X572" s="2"/>
      <c r="Y572" s="2"/>
      <c r="Z572" s="2"/>
      <c r="AA572" s="2"/>
      <c r="AB572" s="2"/>
      <c r="AC572" s="2"/>
      <c r="AG572" s="2"/>
      <c r="AK572" s="2"/>
      <c r="AL572" s="2"/>
      <c r="AM572" s="2"/>
      <c r="AN572" s="3"/>
      <c r="AO572" s="2"/>
      <c r="AU572" s="5"/>
    </row>
    <row r="573" ht="15.75" customHeight="1" spans="1:47">
      <c r="A573" s="2"/>
      <c r="F573" s="2"/>
      <c r="G573" s="2"/>
      <c r="K573" s="2"/>
      <c r="O573" s="2"/>
      <c r="P573" s="2"/>
      <c r="R573" s="2"/>
      <c r="T573" s="2"/>
      <c r="X573" s="2"/>
      <c r="Y573" s="2"/>
      <c r="Z573" s="2"/>
      <c r="AA573" s="2"/>
      <c r="AB573" s="2"/>
      <c r="AC573" s="2"/>
      <c r="AG573" s="2"/>
      <c r="AK573" s="2"/>
      <c r="AL573" s="2"/>
      <c r="AM573" s="2"/>
      <c r="AN573" s="3"/>
      <c r="AO573" s="2"/>
      <c r="AU573" s="5"/>
    </row>
    <row r="574" ht="15.75" customHeight="1" spans="1:47">
      <c r="A574" s="2"/>
      <c r="F574" s="2"/>
      <c r="G574" s="2"/>
      <c r="K574" s="2"/>
      <c r="O574" s="2"/>
      <c r="P574" s="2"/>
      <c r="R574" s="2"/>
      <c r="T574" s="2"/>
      <c r="X574" s="2"/>
      <c r="Y574" s="2"/>
      <c r="Z574" s="2"/>
      <c r="AA574" s="2"/>
      <c r="AB574" s="2"/>
      <c r="AC574" s="2"/>
      <c r="AG574" s="2"/>
      <c r="AK574" s="2"/>
      <c r="AL574" s="2"/>
      <c r="AM574" s="2"/>
      <c r="AN574" s="3"/>
      <c r="AO574" s="2"/>
      <c r="AU574" s="5"/>
    </row>
    <row r="575" ht="15.75" customHeight="1" spans="1:47">
      <c r="A575" s="2"/>
      <c r="F575" s="2"/>
      <c r="G575" s="2"/>
      <c r="K575" s="2"/>
      <c r="O575" s="2"/>
      <c r="P575" s="2"/>
      <c r="R575" s="2"/>
      <c r="T575" s="2"/>
      <c r="X575" s="2"/>
      <c r="Y575" s="2"/>
      <c r="Z575" s="2"/>
      <c r="AA575" s="2"/>
      <c r="AB575" s="2"/>
      <c r="AC575" s="2"/>
      <c r="AG575" s="2"/>
      <c r="AK575" s="2"/>
      <c r="AL575" s="2"/>
      <c r="AM575" s="2"/>
      <c r="AN575" s="3"/>
      <c r="AO575" s="2"/>
      <c r="AU575" s="5"/>
    </row>
    <row r="576" ht="15.75" customHeight="1" spans="1:47">
      <c r="A576" s="2"/>
      <c r="F576" s="2"/>
      <c r="G576" s="2"/>
      <c r="K576" s="2"/>
      <c r="O576" s="2"/>
      <c r="P576" s="2"/>
      <c r="R576" s="2"/>
      <c r="T576" s="2"/>
      <c r="X576" s="2"/>
      <c r="Y576" s="2"/>
      <c r="Z576" s="2"/>
      <c r="AA576" s="2"/>
      <c r="AB576" s="2"/>
      <c r="AC576" s="2"/>
      <c r="AG576" s="2"/>
      <c r="AK576" s="2"/>
      <c r="AL576" s="2"/>
      <c r="AM576" s="2"/>
      <c r="AN576" s="3"/>
      <c r="AO576" s="2"/>
      <c r="AU576" s="5"/>
    </row>
    <row r="577" ht="15.75" customHeight="1" spans="1:47">
      <c r="A577" s="2"/>
      <c r="F577" s="2"/>
      <c r="G577" s="2"/>
      <c r="K577" s="2"/>
      <c r="O577" s="2"/>
      <c r="P577" s="2"/>
      <c r="R577" s="2"/>
      <c r="T577" s="2"/>
      <c r="X577" s="2"/>
      <c r="Y577" s="2"/>
      <c r="Z577" s="2"/>
      <c r="AA577" s="2"/>
      <c r="AB577" s="2"/>
      <c r="AC577" s="2"/>
      <c r="AG577" s="2"/>
      <c r="AK577" s="2"/>
      <c r="AL577" s="2"/>
      <c r="AM577" s="2"/>
      <c r="AN577" s="3"/>
      <c r="AO577" s="2"/>
      <c r="AU577" s="5"/>
    </row>
    <row r="578" ht="15.75" customHeight="1" spans="1:47">
      <c r="A578" s="2"/>
      <c r="F578" s="2"/>
      <c r="G578" s="2"/>
      <c r="K578" s="2"/>
      <c r="O578" s="2"/>
      <c r="P578" s="2"/>
      <c r="R578" s="2"/>
      <c r="T578" s="2"/>
      <c r="X578" s="2"/>
      <c r="Y578" s="2"/>
      <c r="Z578" s="2"/>
      <c r="AA578" s="2"/>
      <c r="AB578" s="2"/>
      <c r="AC578" s="2"/>
      <c r="AG578" s="2"/>
      <c r="AK578" s="2"/>
      <c r="AL578" s="2"/>
      <c r="AM578" s="2"/>
      <c r="AN578" s="3"/>
      <c r="AO578" s="2"/>
      <c r="AU578" s="5"/>
    </row>
    <row r="579" ht="15.75" customHeight="1" spans="1:47">
      <c r="A579" s="2"/>
      <c r="F579" s="2"/>
      <c r="G579" s="2"/>
      <c r="K579" s="2"/>
      <c r="O579" s="2"/>
      <c r="P579" s="2"/>
      <c r="R579" s="2"/>
      <c r="T579" s="2"/>
      <c r="X579" s="2"/>
      <c r="Y579" s="2"/>
      <c r="Z579" s="2"/>
      <c r="AA579" s="2"/>
      <c r="AB579" s="2"/>
      <c r="AC579" s="2"/>
      <c r="AG579" s="2"/>
      <c r="AK579" s="2"/>
      <c r="AL579" s="2"/>
      <c r="AM579" s="2"/>
      <c r="AN579" s="3"/>
      <c r="AO579" s="2"/>
      <c r="AU579" s="5"/>
    </row>
    <row r="580" ht="15.75" customHeight="1" spans="1:47">
      <c r="A580" s="2"/>
      <c r="F580" s="2"/>
      <c r="G580" s="2"/>
      <c r="K580" s="2"/>
      <c r="O580" s="2"/>
      <c r="P580" s="2"/>
      <c r="R580" s="2"/>
      <c r="T580" s="2"/>
      <c r="X580" s="2"/>
      <c r="Y580" s="2"/>
      <c r="Z580" s="2"/>
      <c r="AA580" s="2"/>
      <c r="AB580" s="2"/>
      <c r="AC580" s="2"/>
      <c r="AG580" s="2"/>
      <c r="AK580" s="2"/>
      <c r="AL580" s="2"/>
      <c r="AM580" s="2"/>
      <c r="AN580" s="3"/>
      <c r="AO580" s="2"/>
      <c r="AU580" s="5"/>
    </row>
    <row r="581" ht="15.75" customHeight="1" spans="1:47">
      <c r="A581" s="2"/>
      <c r="F581" s="2"/>
      <c r="G581" s="2"/>
      <c r="K581" s="2"/>
      <c r="O581" s="2"/>
      <c r="P581" s="2"/>
      <c r="R581" s="2"/>
      <c r="T581" s="2"/>
      <c r="X581" s="2"/>
      <c r="Y581" s="2"/>
      <c r="Z581" s="2"/>
      <c r="AA581" s="2"/>
      <c r="AB581" s="2"/>
      <c r="AC581" s="2"/>
      <c r="AG581" s="2"/>
      <c r="AK581" s="2"/>
      <c r="AL581" s="2"/>
      <c r="AM581" s="2"/>
      <c r="AN581" s="3"/>
      <c r="AO581" s="2"/>
      <c r="AU581" s="5"/>
    </row>
    <row r="582" ht="15.75" customHeight="1" spans="1:47">
      <c r="A582" s="2"/>
      <c r="F582" s="2"/>
      <c r="G582" s="2"/>
      <c r="K582" s="2"/>
      <c r="O582" s="2"/>
      <c r="P582" s="2"/>
      <c r="R582" s="2"/>
      <c r="T582" s="2"/>
      <c r="X582" s="2"/>
      <c r="Y582" s="2"/>
      <c r="Z582" s="2"/>
      <c r="AA582" s="2"/>
      <c r="AB582" s="2"/>
      <c r="AC582" s="2"/>
      <c r="AG582" s="2"/>
      <c r="AK582" s="2"/>
      <c r="AL582" s="2"/>
      <c r="AM582" s="2"/>
      <c r="AN582" s="3"/>
      <c r="AO582" s="2"/>
      <c r="AU582" s="5"/>
    </row>
    <row r="583" ht="15.75" customHeight="1" spans="1:47">
      <c r="A583" s="2"/>
      <c r="F583" s="2"/>
      <c r="G583" s="2"/>
      <c r="K583" s="2"/>
      <c r="O583" s="2"/>
      <c r="P583" s="2"/>
      <c r="R583" s="2"/>
      <c r="T583" s="2"/>
      <c r="X583" s="2"/>
      <c r="Y583" s="2"/>
      <c r="Z583" s="2"/>
      <c r="AA583" s="2"/>
      <c r="AB583" s="2"/>
      <c r="AC583" s="2"/>
      <c r="AG583" s="2"/>
      <c r="AK583" s="2"/>
      <c r="AL583" s="2"/>
      <c r="AM583" s="2"/>
      <c r="AN583" s="3"/>
      <c r="AO583" s="2"/>
      <c r="AU583" s="5"/>
    </row>
    <row r="584" ht="15.75" customHeight="1" spans="1:47">
      <c r="A584" s="2"/>
      <c r="F584" s="2"/>
      <c r="G584" s="2"/>
      <c r="K584" s="2"/>
      <c r="O584" s="2"/>
      <c r="P584" s="2"/>
      <c r="R584" s="2"/>
      <c r="T584" s="2"/>
      <c r="X584" s="2"/>
      <c r="Y584" s="2"/>
      <c r="Z584" s="2"/>
      <c r="AA584" s="2"/>
      <c r="AB584" s="2"/>
      <c r="AC584" s="2"/>
      <c r="AG584" s="2"/>
      <c r="AK584" s="2"/>
      <c r="AL584" s="2"/>
      <c r="AM584" s="2"/>
      <c r="AN584" s="3"/>
      <c r="AO584" s="2"/>
      <c r="AU584" s="5"/>
    </row>
    <row r="585" ht="15.75" customHeight="1" spans="1:47">
      <c r="A585" s="2"/>
      <c r="F585" s="2"/>
      <c r="G585" s="2"/>
      <c r="K585" s="2"/>
      <c r="O585" s="2"/>
      <c r="P585" s="2"/>
      <c r="R585" s="2"/>
      <c r="T585" s="2"/>
      <c r="X585" s="2"/>
      <c r="Y585" s="2"/>
      <c r="Z585" s="2"/>
      <c r="AA585" s="2"/>
      <c r="AB585" s="2"/>
      <c r="AC585" s="2"/>
      <c r="AG585" s="2"/>
      <c r="AK585" s="2"/>
      <c r="AL585" s="2"/>
      <c r="AM585" s="2"/>
      <c r="AN585" s="3"/>
      <c r="AO585" s="2"/>
      <c r="AU585" s="5"/>
    </row>
    <row r="586" ht="15.75" customHeight="1" spans="1:47">
      <c r="A586" s="2"/>
      <c r="F586" s="2"/>
      <c r="G586" s="2"/>
      <c r="K586" s="2"/>
      <c r="O586" s="2"/>
      <c r="P586" s="2"/>
      <c r="R586" s="2"/>
      <c r="T586" s="2"/>
      <c r="X586" s="2"/>
      <c r="Y586" s="2"/>
      <c r="Z586" s="2"/>
      <c r="AA586" s="2"/>
      <c r="AB586" s="2"/>
      <c r="AC586" s="2"/>
      <c r="AG586" s="2"/>
      <c r="AK586" s="2"/>
      <c r="AL586" s="2"/>
      <c r="AM586" s="2"/>
      <c r="AN586" s="3"/>
      <c r="AO586" s="2"/>
      <c r="AU586" s="5"/>
    </row>
    <row r="587" ht="15.75" customHeight="1" spans="1:47">
      <c r="A587" s="2"/>
      <c r="F587" s="2"/>
      <c r="G587" s="2"/>
      <c r="K587" s="2"/>
      <c r="O587" s="2"/>
      <c r="P587" s="2"/>
      <c r="R587" s="2"/>
      <c r="T587" s="2"/>
      <c r="X587" s="2"/>
      <c r="Y587" s="2"/>
      <c r="Z587" s="2"/>
      <c r="AA587" s="2"/>
      <c r="AB587" s="2"/>
      <c r="AC587" s="2"/>
      <c r="AG587" s="2"/>
      <c r="AK587" s="2"/>
      <c r="AL587" s="2"/>
      <c r="AM587" s="2"/>
      <c r="AN587" s="3"/>
      <c r="AO587" s="2"/>
      <c r="AU587" s="5"/>
    </row>
    <row r="588" ht="15.75" customHeight="1" spans="1:47">
      <c r="A588" s="2"/>
      <c r="F588" s="2"/>
      <c r="G588" s="2"/>
      <c r="K588" s="2"/>
      <c r="O588" s="2"/>
      <c r="P588" s="2"/>
      <c r="R588" s="2"/>
      <c r="T588" s="2"/>
      <c r="X588" s="2"/>
      <c r="Y588" s="2"/>
      <c r="Z588" s="2"/>
      <c r="AA588" s="2"/>
      <c r="AB588" s="2"/>
      <c r="AC588" s="2"/>
      <c r="AG588" s="2"/>
      <c r="AK588" s="2"/>
      <c r="AL588" s="2"/>
      <c r="AM588" s="2"/>
      <c r="AN588" s="3"/>
      <c r="AO588" s="2"/>
      <c r="AU588" s="5"/>
    </row>
    <row r="589" ht="15.75" customHeight="1" spans="1:47">
      <c r="A589" s="2"/>
      <c r="F589" s="2"/>
      <c r="G589" s="2"/>
      <c r="K589" s="2"/>
      <c r="O589" s="2"/>
      <c r="P589" s="2"/>
      <c r="R589" s="2"/>
      <c r="T589" s="2"/>
      <c r="X589" s="2"/>
      <c r="Y589" s="2"/>
      <c r="Z589" s="2"/>
      <c r="AA589" s="2"/>
      <c r="AB589" s="2"/>
      <c r="AC589" s="2"/>
      <c r="AG589" s="2"/>
      <c r="AK589" s="2"/>
      <c r="AL589" s="2"/>
      <c r="AM589" s="2"/>
      <c r="AN589" s="3"/>
      <c r="AO589" s="2"/>
      <c r="AU589" s="5"/>
    </row>
    <row r="590" ht="15.75" customHeight="1" spans="1:47">
      <c r="A590" s="2"/>
      <c r="F590" s="2"/>
      <c r="G590" s="2"/>
      <c r="K590" s="2"/>
      <c r="O590" s="2"/>
      <c r="P590" s="2"/>
      <c r="R590" s="2"/>
      <c r="T590" s="2"/>
      <c r="X590" s="2"/>
      <c r="Y590" s="2"/>
      <c r="Z590" s="2"/>
      <c r="AA590" s="2"/>
      <c r="AB590" s="2"/>
      <c r="AC590" s="2"/>
      <c r="AG590" s="2"/>
      <c r="AK590" s="2"/>
      <c r="AL590" s="2"/>
      <c r="AM590" s="2"/>
      <c r="AN590" s="3"/>
      <c r="AO590" s="2"/>
      <c r="AU590" s="5"/>
    </row>
    <row r="591" ht="15.75" customHeight="1" spans="1:47">
      <c r="A591" s="2"/>
      <c r="F591" s="2"/>
      <c r="G591" s="2"/>
      <c r="K591" s="2"/>
      <c r="O591" s="2"/>
      <c r="P591" s="2"/>
      <c r="R591" s="2"/>
      <c r="T591" s="2"/>
      <c r="X591" s="2"/>
      <c r="Y591" s="2"/>
      <c r="Z591" s="2"/>
      <c r="AA591" s="2"/>
      <c r="AB591" s="2"/>
      <c r="AC591" s="2"/>
      <c r="AG591" s="2"/>
      <c r="AK591" s="2"/>
      <c r="AL591" s="2"/>
      <c r="AM591" s="2"/>
      <c r="AN591" s="3"/>
      <c r="AO591" s="2"/>
      <c r="AU591" s="5"/>
    </row>
    <row r="592" ht="15.75" customHeight="1" spans="1:47">
      <c r="A592" s="2"/>
      <c r="F592" s="2"/>
      <c r="G592" s="2"/>
      <c r="K592" s="2"/>
      <c r="O592" s="2"/>
      <c r="P592" s="2"/>
      <c r="R592" s="2"/>
      <c r="T592" s="2"/>
      <c r="X592" s="2"/>
      <c r="Y592" s="2"/>
      <c r="Z592" s="2"/>
      <c r="AA592" s="2"/>
      <c r="AB592" s="2"/>
      <c r="AC592" s="2"/>
      <c r="AG592" s="2"/>
      <c r="AK592" s="2"/>
      <c r="AL592" s="2"/>
      <c r="AM592" s="2"/>
      <c r="AN592" s="3"/>
      <c r="AO592" s="2"/>
      <c r="AU592" s="5"/>
    </row>
    <row r="593" ht="15.75" customHeight="1" spans="1:47">
      <c r="A593" s="2"/>
      <c r="F593" s="2"/>
      <c r="G593" s="2"/>
      <c r="K593" s="2"/>
      <c r="O593" s="2"/>
      <c r="P593" s="2"/>
      <c r="R593" s="2"/>
      <c r="T593" s="2"/>
      <c r="X593" s="2"/>
      <c r="Y593" s="2"/>
      <c r="Z593" s="2"/>
      <c r="AA593" s="2"/>
      <c r="AB593" s="2"/>
      <c r="AC593" s="2"/>
      <c r="AG593" s="2"/>
      <c r="AK593" s="2"/>
      <c r="AL593" s="2"/>
      <c r="AM593" s="2"/>
      <c r="AN593" s="3"/>
      <c r="AO593" s="2"/>
      <c r="AU593" s="5"/>
    </row>
    <row r="594" ht="15.75" customHeight="1" spans="1:47">
      <c r="A594" s="2"/>
      <c r="F594" s="2"/>
      <c r="G594" s="2"/>
      <c r="K594" s="2"/>
      <c r="O594" s="2"/>
      <c r="P594" s="2"/>
      <c r="R594" s="2"/>
      <c r="T594" s="2"/>
      <c r="X594" s="2"/>
      <c r="Y594" s="2"/>
      <c r="Z594" s="2"/>
      <c r="AA594" s="2"/>
      <c r="AB594" s="2"/>
      <c r="AC594" s="2"/>
      <c r="AG594" s="2"/>
      <c r="AK594" s="2"/>
      <c r="AL594" s="2"/>
      <c r="AM594" s="2"/>
      <c r="AN594" s="3"/>
      <c r="AO594" s="2"/>
      <c r="AU594" s="5"/>
    </row>
    <row r="595" ht="15.75" customHeight="1" spans="1:47">
      <c r="A595" s="2"/>
      <c r="F595" s="2"/>
      <c r="G595" s="2"/>
      <c r="K595" s="2"/>
      <c r="O595" s="2"/>
      <c r="P595" s="2"/>
      <c r="R595" s="2"/>
      <c r="T595" s="2"/>
      <c r="X595" s="2"/>
      <c r="Y595" s="2"/>
      <c r="Z595" s="2"/>
      <c r="AA595" s="2"/>
      <c r="AB595" s="2"/>
      <c r="AC595" s="2"/>
      <c r="AG595" s="2"/>
      <c r="AK595" s="2"/>
      <c r="AL595" s="2"/>
      <c r="AM595" s="2"/>
      <c r="AN595" s="3"/>
      <c r="AO595" s="2"/>
      <c r="AU595" s="5"/>
    </row>
    <row r="596" ht="15.75" customHeight="1" spans="1:47">
      <c r="A596" s="2"/>
      <c r="F596" s="2"/>
      <c r="G596" s="2"/>
      <c r="K596" s="2"/>
      <c r="O596" s="2"/>
      <c r="P596" s="2"/>
      <c r="R596" s="2"/>
      <c r="T596" s="2"/>
      <c r="X596" s="2"/>
      <c r="Y596" s="2"/>
      <c r="Z596" s="2"/>
      <c r="AA596" s="2"/>
      <c r="AB596" s="2"/>
      <c r="AC596" s="2"/>
      <c r="AG596" s="2"/>
      <c r="AK596" s="2"/>
      <c r="AL596" s="2"/>
      <c r="AM596" s="2"/>
      <c r="AN596" s="3"/>
      <c r="AO596" s="2"/>
      <c r="AU596" s="5"/>
    </row>
    <row r="597" ht="15.75" customHeight="1" spans="1:47">
      <c r="A597" s="2"/>
      <c r="F597" s="2"/>
      <c r="G597" s="2"/>
      <c r="K597" s="2"/>
      <c r="O597" s="2"/>
      <c r="P597" s="2"/>
      <c r="R597" s="2"/>
      <c r="T597" s="2"/>
      <c r="X597" s="2"/>
      <c r="Y597" s="2"/>
      <c r="Z597" s="2"/>
      <c r="AA597" s="2"/>
      <c r="AB597" s="2"/>
      <c r="AC597" s="2"/>
      <c r="AG597" s="2"/>
      <c r="AK597" s="2"/>
      <c r="AL597" s="2"/>
      <c r="AM597" s="2"/>
      <c r="AN597" s="3"/>
      <c r="AO597" s="2"/>
      <c r="AU597" s="5"/>
    </row>
    <row r="598" ht="15.75" customHeight="1" spans="1:47">
      <c r="A598" s="2"/>
      <c r="F598" s="2"/>
      <c r="G598" s="2"/>
      <c r="K598" s="2"/>
      <c r="O598" s="2"/>
      <c r="P598" s="2"/>
      <c r="R598" s="2"/>
      <c r="T598" s="2"/>
      <c r="X598" s="2"/>
      <c r="Y598" s="2"/>
      <c r="Z598" s="2"/>
      <c r="AA598" s="2"/>
      <c r="AB598" s="2"/>
      <c r="AC598" s="2"/>
      <c r="AG598" s="2"/>
      <c r="AK598" s="2"/>
      <c r="AL598" s="2"/>
      <c r="AM598" s="2"/>
      <c r="AN598" s="3"/>
      <c r="AO598" s="2"/>
      <c r="AU598" s="5"/>
    </row>
    <row r="599" ht="15.75" customHeight="1" spans="1:47">
      <c r="A599" s="2"/>
      <c r="F599" s="2"/>
      <c r="G599" s="2"/>
      <c r="K599" s="2"/>
      <c r="O599" s="2"/>
      <c r="P599" s="2"/>
      <c r="R599" s="2"/>
      <c r="T599" s="2"/>
      <c r="X599" s="2"/>
      <c r="Y599" s="2"/>
      <c r="Z599" s="2"/>
      <c r="AA599" s="2"/>
      <c r="AB599" s="2"/>
      <c r="AC599" s="2"/>
      <c r="AG599" s="2"/>
      <c r="AK599" s="2"/>
      <c r="AL599" s="2"/>
      <c r="AM599" s="2"/>
      <c r="AN599" s="3"/>
      <c r="AO599" s="2"/>
      <c r="AU599" s="5"/>
    </row>
    <row r="600" ht="15.75" customHeight="1" spans="1:47">
      <c r="A600" s="2"/>
      <c r="F600" s="2"/>
      <c r="G600" s="2"/>
      <c r="K600" s="2"/>
      <c r="O600" s="2"/>
      <c r="P600" s="2"/>
      <c r="R600" s="2"/>
      <c r="T600" s="2"/>
      <c r="X600" s="2"/>
      <c r="Y600" s="2"/>
      <c r="Z600" s="2"/>
      <c r="AA600" s="2"/>
      <c r="AB600" s="2"/>
      <c r="AC600" s="2"/>
      <c r="AG600" s="2"/>
      <c r="AK600" s="2"/>
      <c r="AL600" s="2"/>
      <c r="AM600" s="2"/>
      <c r="AN600" s="3"/>
      <c r="AO600" s="2"/>
      <c r="AU600" s="5"/>
    </row>
    <row r="601" ht="15.75" customHeight="1" spans="1:47">
      <c r="A601" s="2"/>
      <c r="F601" s="2"/>
      <c r="G601" s="2"/>
      <c r="K601" s="2"/>
      <c r="O601" s="2"/>
      <c r="P601" s="2"/>
      <c r="R601" s="2"/>
      <c r="T601" s="2"/>
      <c r="X601" s="2"/>
      <c r="Y601" s="2"/>
      <c r="Z601" s="2"/>
      <c r="AA601" s="2"/>
      <c r="AB601" s="2"/>
      <c r="AC601" s="2"/>
      <c r="AG601" s="2"/>
      <c r="AK601" s="2"/>
      <c r="AL601" s="2"/>
      <c r="AM601" s="2"/>
      <c r="AN601" s="3"/>
      <c r="AO601" s="2"/>
      <c r="AU601" s="5"/>
    </row>
    <row r="602" ht="15.75" customHeight="1" spans="1:47">
      <c r="A602" s="2"/>
      <c r="F602" s="2"/>
      <c r="G602" s="2"/>
      <c r="K602" s="2"/>
      <c r="O602" s="2"/>
      <c r="P602" s="2"/>
      <c r="R602" s="2"/>
      <c r="T602" s="2"/>
      <c r="X602" s="2"/>
      <c r="Y602" s="2"/>
      <c r="Z602" s="2"/>
      <c r="AA602" s="2"/>
      <c r="AB602" s="2"/>
      <c r="AC602" s="2"/>
      <c r="AG602" s="2"/>
      <c r="AK602" s="2"/>
      <c r="AL602" s="2"/>
      <c r="AM602" s="2"/>
      <c r="AN602" s="3"/>
      <c r="AO602" s="2"/>
      <c r="AU602" s="5"/>
    </row>
    <row r="603" ht="15.75" customHeight="1" spans="1:47">
      <c r="A603" s="2"/>
      <c r="F603" s="2"/>
      <c r="G603" s="2"/>
      <c r="K603" s="2"/>
      <c r="O603" s="2"/>
      <c r="P603" s="2"/>
      <c r="R603" s="2"/>
      <c r="T603" s="2"/>
      <c r="X603" s="2"/>
      <c r="Y603" s="2"/>
      <c r="Z603" s="2"/>
      <c r="AA603" s="2"/>
      <c r="AB603" s="2"/>
      <c r="AC603" s="2"/>
      <c r="AG603" s="2"/>
      <c r="AK603" s="2"/>
      <c r="AL603" s="2"/>
      <c r="AM603" s="2"/>
      <c r="AN603" s="3"/>
      <c r="AO603" s="2"/>
      <c r="AU603" s="5"/>
    </row>
    <row r="604" ht="15.75" customHeight="1" spans="1:47">
      <c r="A604" s="2"/>
      <c r="F604" s="2"/>
      <c r="G604" s="2"/>
      <c r="K604" s="2"/>
      <c r="O604" s="2"/>
      <c r="P604" s="2"/>
      <c r="R604" s="2"/>
      <c r="T604" s="2"/>
      <c r="X604" s="2"/>
      <c r="Y604" s="2"/>
      <c r="Z604" s="2"/>
      <c r="AA604" s="2"/>
      <c r="AB604" s="2"/>
      <c r="AC604" s="2"/>
      <c r="AG604" s="2"/>
      <c r="AK604" s="2"/>
      <c r="AL604" s="2"/>
      <c r="AM604" s="2"/>
      <c r="AN604" s="3"/>
      <c r="AO604" s="2"/>
      <c r="AU604" s="5"/>
    </row>
    <row r="605" ht="15.75" customHeight="1" spans="1:47">
      <c r="A605" s="2"/>
      <c r="F605" s="2"/>
      <c r="G605" s="2"/>
      <c r="K605" s="2"/>
      <c r="O605" s="2"/>
      <c r="P605" s="2"/>
      <c r="R605" s="2"/>
      <c r="T605" s="2"/>
      <c r="X605" s="2"/>
      <c r="Y605" s="2"/>
      <c r="Z605" s="2"/>
      <c r="AA605" s="2"/>
      <c r="AB605" s="2"/>
      <c r="AC605" s="2"/>
      <c r="AG605" s="2"/>
      <c r="AK605" s="2"/>
      <c r="AL605" s="2"/>
      <c r="AM605" s="2"/>
      <c r="AN605" s="3"/>
      <c r="AO605" s="2"/>
      <c r="AU605" s="5"/>
    </row>
    <row r="606" ht="15.75" customHeight="1" spans="1:47">
      <c r="A606" s="2"/>
      <c r="F606" s="2"/>
      <c r="G606" s="2"/>
      <c r="K606" s="2"/>
      <c r="O606" s="2"/>
      <c r="P606" s="2"/>
      <c r="R606" s="2"/>
      <c r="T606" s="2"/>
      <c r="X606" s="2"/>
      <c r="Y606" s="2"/>
      <c r="Z606" s="2"/>
      <c r="AA606" s="2"/>
      <c r="AB606" s="2"/>
      <c r="AC606" s="2"/>
      <c r="AG606" s="2"/>
      <c r="AK606" s="2"/>
      <c r="AL606" s="2"/>
      <c r="AM606" s="2"/>
      <c r="AN606" s="3"/>
      <c r="AO606" s="2"/>
      <c r="AU606" s="5"/>
    </row>
    <row r="607" ht="15.75" customHeight="1" spans="1:47">
      <c r="A607" s="2"/>
      <c r="F607" s="2"/>
      <c r="G607" s="2"/>
      <c r="K607" s="2"/>
      <c r="O607" s="2"/>
      <c r="P607" s="2"/>
      <c r="R607" s="2"/>
      <c r="T607" s="2"/>
      <c r="X607" s="2"/>
      <c r="Y607" s="2"/>
      <c r="Z607" s="2"/>
      <c r="AA607" s="2"/>
      <c r="AB607" s="2"/>
      <c r="AC607" s="2"/>
      <c r="AG607" s="2"/>
      <c r="AK607" s="2"/>
      <c r="AL607" s="2"/>
      <c r="AM607" s="2"/>
      <c r="AN607" s="3"/>
      <c r="AO607" s="2"/>
      <c r="AU607" s="5"/>
    </row>
    <row r="608" ht="15.75" customHeight="1" spans="1:47">
      <c r="A608" s="2"/>
      <c r="F608" s="2"/>
      <c r="G608" s="2"/>
      <c r="K608" s="2"/>
      <c r="O608" s="2"/>
      <c r="P608" s="2"/>
      <c r="R608" s="2"/>
      <c r="T608" s="2"/>
      <c r="X608" s="2"/>
      <c r="Y608" s="2"/>
      <c r="Z608" s="2"/>
      <c r="AA608" s="2"/>
      <c r="AB608" s="2"/>
      <c r="AC608" s="2"/>
      <c r="AG608" s="2"/>
      <c r="AK608" s="2"/>
      <c r="AL608" s="2"/>
      <c r="AM608" s="2"/>
      <c r="AN608" s="3"/>
      <c r="AO608" s="2"/>
      <c r="AU608" s="5"/>
    </row>
    <row r="609" ht="15.75" customHeight="1" spans="1:47">
      <c r="A609" s="2"/>
      <c r="F609" s="2"/>
      <c r="G609" s="2"/>
      <c r="K609" s="2"/>
      <c r="O609" s="2"/>
      <c r="P609" s="2"/>
      <c r="R609" s="2"/>
      <c r="T609" s="2"/>
      <c r="X609" s="2"/>
      <c r="Y609" s="2"/>
      <c r="Z609" s="2"/>
      <c r="AA609" s="2"/>
      <c r="AB609" s="2"/>
      <c r="AC609" s="2"/>
      <c r="AG609" s="2"/>
      <c r="AK609" s="2"/>
      <c r="AL609" s="2"/>
      <c r="AM609" s="2"/>
      <c r="AN609" s="3"/>
      <c r="AO609" s="2"/>
      <c r="AU609" s="5"/>
    </row>
    <row r="610" ht="15.75" customHeight="1" spans="1:47">
      <c r="A610" s="2"/>
      <c r="F610" s="2"/>
      <c r="G610" s="2"/>
      <c r="K610" s="2"/>
      <c r="O610" s="2"/>
      <c r="P610" s="2"/>
      <c r="R610" s="2"/>
      <c r="T610" s="2"/>
      <c r="X610" s="2"/>
      <c r="Y610" s="2"/>
      <c r="Z610" s="2"/>
      <c r="AA610" s="2"/>
      <c r="AB610" s="2"/>
      <c r="AC610" s="2"/>
      <c r="AG610" s="2"/>
      <c r="AK610" s="2"/>
      <c r="AL610" s="2"/>
      <c r="AM610" s="2"/>
      <c r="AN610" s="3"/>
      <c r="AO610" s="2"/>
      <c r="AU610" s="5"/>
    </row>
    <row r="611" ht="15.75" customHeight="1" spans="1:47">
      <c r="A611" s="2"/>
      <c r="F611" s="2"/>
      <c r="G611" s="2"/>
      <c r="K611" s="2"/>
      <c r="O611" s="2"/>
      <c r="P611" s="2"/>
      <c r="R611" s="2"/>
      <c r="T611" s="2"/>
      <c r="X611" s="2"/>
      <c r="Y611" s="2"/>
      <c r="Z611" s="2"/>
      <c r="AA611" s="2"/>
      <c r="AB611" s="2"/>
      <c r="AC611" s="2"/>
      <c r="AG611" s="2"/>
      <c r="AK611" s="2"/>
      <c r="AL611" s="2"/>
      <c r="AM611" s="2"/>
      <c r="AN611" s="3"/>
      <c r="AO611" s="2"/>
      <c r="AU611" s="5"/>
    </row>
    <row r="612" ht="15.75" customHeight="1" spans="1:47">
      <c r="A612" s="2"/>
      <c r="F612" s="2"/>
      <c r="G612" s="2"/>
      <c r="K612" s="2"/>
      <c r="O612" s="2"/>
      <c r="P612" s="2"/>
      <c r="R612" s="2"/>
      <c r="T612" s="2"/>
      <c r="X612" s="2"/>
      <c r="Y612" s="2"/>
      <c r="Z612" s="2"/>
      <c r="AA612" s="2"/>
      <c r="AB612" s="2"/>
      <c r="AC612" s="2"/>
      <c r="AG612" s="2"/>
      <c r="AK612" s="2"/>
      <c r="AL612" s="2"/>
      <c r="AM612" s="2"/>
      <c r="AN612" s="3"/>
      <c r="AO612" s="2"/>
      <c r="AU612" s="5"/>
    </row>
    <row r="613" ht="15.75" customHeight="1" spans="1:47">
      <c r="A613" s="2"/>
      <c r="F613" s="2"/>
      <c r="G613" s="2"/>
      <c r="K613" s="2"/>
      <c r="O613" s="2"/>
      <c r="P613" s="2"/>
      <c r="R613" s="2"/>
      <c r="T613" s="2"/>
      <c r="X613" s="2"/>
      <c r="Y613" s="2"/>
      <c r="Z613" s="2"/>
      <c r="AA613" s="2"/>
      <c r="AB613" s="2"/>
      <c r="AC613" s="2"/>
      <c r="AG613" s="2"/>
      <c r="AK613" s="2"/>
      <c r="AL613" s="2"/>
      <c r="AM613" s="2"/>
      <c r="AN613" s="3"/>
      <c r="AO613" s="2"/>
      <c r="AU613" s="5"/>
    </row>
    <row r="614" ht="15.75" customHeight="1" spans="1:47">
      <c r="A614" s="2"/>
      <c r="F614" s="2"/>
      <c r="G614" s="2"/>
      <c r="K614" s="2"/>
      <c r="O614" s="2"/>
      <c r="P614" s="2"/>
      <c r="R614" s="2"/>
      <c r="T614" s="2"/>
      <c r="X614" s="2"/>
      <c r="Y614" s="2"/>
      <c r="Z614" s="2"/>
      <c r="AA614" s="2"/>
      <c r="AB614" s="2"/>
      <c r="AC614" s="2"/>
      <c r="AG614" s="2"/>
      <c r="AK614" s="2"/>
      <c r="AL614" s="2"/>
      <c r="AM614" s="2"/>
      <c r="AN614" s="3"/>
      <c r="AO614" s="2"/>
      <c r="AU614" s="5"/>
    </row>
    <row r="615" ht="15.75" customHeight="1" spans="1:47">
      <c r="A615" s="2"/>
      <c r="F615" s="2"/>
      <c r="G615" s="2"/>
      <c r="K615" s="2"/>
      <c r="O615" s="2"/>
      <c r="P615" s="2"/>
      <c r="R615" s="2"/>
      <c r="T615" s="2"/>
      <c r="X615" s="2"/>
      <c r="Y615" s="2"/>
      <c r="Z615" s="2"/>
      <c r="AA615" s="2"/>
      <c r="AB615" s="2"/>
      <c r="AC615" s="2"/>
      <c r="AG615" s="2"/>
      <c r="AK615" s="2"/>
      <c r="AL615" s="2"/>
      <c r="AM615" s="2"/>
      <c r="AN615" s="3"/>
      <c r="AO615" s="2"/>
      <c r="AU615" s="5"/>
    </row>
    <row r="616" ht="15.75" customHeight="1" spans="1:47">
      <c r="A616" s="2"/>
      <c r="F616" s="2"/>
      <c r="G616" s="2"/>
      <c r="K616" s="2"/>
      <c r="O616" s="2"/>
      <c r="P616" s="2"/>
      <c r="R616" s="2"/>
      <c r="T616" s="2"/>
      <c r="X616" s="2"/>
      <c r="Y616" s="2"/>
      <c r="Z616" s="2"/>
      <c r="AA616" s="2"/>
      <c r="AB616" s="2"/>
      <c r="AC616" s="2"/>
      <c r="AG616" s="2"/>
      <c r="AK616" s="2"/>
      <c r="AL616" s="2"/>
      <c r="AM616" s="2"/>
      <c r="AN616" s="3"/>
      <c r="AO616" s="2"/>
      <c r="AU616" s="5"/>
    </row>
    <row r="617" ht="15.75" customHeight="1" spans="1:47">
      <c r="A617" s="2"/>
      <c r="F617" s="2"/>
      <c r="G617" s="2"/>
      <c r="K617" s="2"/>
      <c r="O617" s="2"/>
      <c r="P617" s="2"/>
      <c r="R617" s="2"/>
      <c r="T617" s="2"/>
      <c r="X617" s="2"/>
      <c r="Y617" s="2"/>
      <c r="Z617" s="2"/>
      <c r="AA617" s="2"/>
      <c r="AB617" s="2"/>
      <c r="AC617" s="2"/>
      <c r="AG617" s="2"/>
      <c r="AK617" s="2"/>
      <c r="AL617" s="2"/>
      <c r="AM617" s="2"/>
      <c r="AN617" s="3"/>
      <c r="AO617" s="2"/>
      <c r="AU617" s="5"/>
    </row>
    <row r="618" ht="15.75" customHeight="1" spans="1:47">
      <c r="A618" s="2"/>
      <c r="F618" s="2"/>
      <c r="G618" s="2"/>
      <c r="K618" s="2"/>
      <c r="O618" s="2"/>
      <c r="P618" s="2"/>
      <c r="R618" s="2"/>
      <c r="T618" s="2"/>
      <c r="X618" s="2"/>
      <c r="Y618" s="2"/>
      <c r="Z618" s="2"/>
      <c r="AA618" s="2"/>
      <c r="AB618" s="2"/>
      <c r="AC618" s="2"/>
      <c r="AG618" s="2"/>
      <c r="AK618" s="2"/>
      <c r="AL618" s="2"/>
      <c r="AM618" s="2"/>
      <c r="AN618" s="3"/>
      <c r="AO618" s="2"/>
      <c r="AU618" s="5"/>
    </row>
    <row r="619" ht="15.75" customHeight="1" spans="1:47">
      <c r="A619" s="2"/>
      <c r="F619" s="2"/>
      <c r="G619" s="2"/>
      <c r="K619" s="2"/>
      <c r="O619" s="2"/>
      <c r="P619" s="2"/>
      <c r="R619" s="2"/>
      <c r="T619" s="2"/>
      <c r="X619" s="2"/>
      <c r="Y619" s="2"/>
      <c r="Z619" s="2"/>
      <c r="AA619" s="2"/>
      <c r="AB619" s="2"/>
      <c r="AC619" s="2"/>
      <c r="AG619" s="2"/>
      <c r="AK619" s="2"/>
      <c r="AL619" s="2"/>
      <c r="AM619" s="2"/>
      <c r="AN619" s="3"/>
      <c r="AO619" s="2"/>
      <c r="AU619" s="5"/>
    </row>
    <row r="620" ht="15.75" customHeight="1" spans="1:47">
      <c r="A620" s="2"/>
      <c r="F620" s="2"/>
      <c r="G620" s="2"/>
      <c r="K620" s="2"/>
      <c r="O620" s="2"/>
      <c r="P620" s="2"/>
      <c r="R620" s="2"/>
      <c r="T620" s="2"/>
      <c r="X620" s="2"/>
      <c r="Y620" s="2"/>
      <c r="Z620" s="2"/>
      <c r="AA620" s="2"/>
      <c r="AB620" s="2"/>
      <c r="AC620" s="2"/>
      <c r="AG620" s="2"/>
      <c r="AK620" s="2"/>
      <c r="AL620" s="2"/>
      <c r="AM620" s="2"/>
      <c r="AN620" s="3"/>
      <c r="AO620" s="2"/>
      <c r="AU620" s="5"/>
    </row>
    <row r="621" ht="15.75" customHeight="1" spans="1:47">
      <c r="A621" s="2"/>
      <c r="F621" s="2"/>
      <c r="G621" s="2"/>
      <c r="K621" s="2"/>
      <c r="O621" s="2"/>
      <c r="P621" s="2"/>
      <c r="R621" s="2"/>
      <c r="T621" s="2"/>
      <c r="X621" s="2"/>
      <c r="Y621" s="2"/>
      <c r="Z621" s="2"/>
      <c r="AA621" s="2"/>
      <c r="AB621" s="2"/>
      <c r="AC621" s="2"/>
      <c r="AG621" s="2"/>
      <c r="AK621" s="2"/>
      <c r="AL621" s="2"/>
      <c r="AM621" s="2"/>
      <c r="AN621" s="3"/>
      <c r="AO621" s="2"/>
      <c r="AU621" s="5"/>
    </row>
    <row r="622" ht="15.75" customHeight="1" spans="1:47">
      <c r="A622" s="2"/>
      <c r="F622" s="2"/>
      <c r="G622" s="2"/>
      <c r="K622" s="2"/>
      <c r="O622" s="2"/>
      <c r="P622" s="2"/>
      <c r="R622" s="2"/>
      <c r="T622" s="2"/>
      <c r="X622" s="2"/>
      <c r="Y622" s="2"/>
      <c r="Z622" s="2"/>
      <c r="AA622" s="2"/>
      <c r="AB622" s="2"/>
      <c r="AC622" s="2"/>
      <c r="AG622" s="2"/>
      <c r="AK622" s="2"/>
      <c r="AL622" s="2"/>
      <c r="AM622" s="2"/>
      <c r="AN622" s="3"/>
      <c r="AO622" s="2"/>
      <c r="AU622" s="5"/>
    </row>
    <row r="623" ht="15.75" customHeight="1" spans="1:47">
      <c r="A623" s="2"/>
      <c r="F623" s="2"/>
      <c r="G623" s="2"/>
      <c r="K623" s="2"/>
      <c r="O623" s="2"/>
      <c r="P623" s="2"/>
      <c r="R623" s="2"/>
      <c r="T623" s="2"/>
      <c r="X623" s="2"/>
      <c r="Y623" s="2"/>
      <c r="Z623" s="2"/>
      <c r="AA623" s="2"/>
      <c r="AB623" s="2"/>
      <c r="AC623" s="2"/>
      <c r="AG623" s="2"/>
      <c r="AK623" s="2"/>
      <c r="AL623" s="2"/>
      <c r="AM623" s="2"/>
      <c r="AN623" s="3"/>
      <c r="AO623" s="2"/>
      <c r="AU623" s="5"/>
    </row>
    <row r="624" ht="15.75" customHeight="1" spans="1:47">
      <c r="A624" s="2"/>
      <c r="F624" s="2"/>
      <c r="G624" s="2"/>
      <c r="K624" s="2"/>
      <c r="O624" s="2"/>
      <c r="P624" s="2"/>
      <c r="R624" s="2"/>
      <c r="T624" s="2"/>
      <c r="X624" s="2"/>
      <c r="Y624" s="2"/>
      <c r="Z624" s="2"/>
      <c r="AA624" s="2"/>
      <c r="AB624" s="2"/>
      <c r="AC624" s="2"/>
      <c r="AG624" s="2"/>
      <c r="AK624" s="2"/>
      <c r="AL624" s="2"/>
      <c r="AM624" s="2"/>
      <c r="AN624" s="3"/>
      <c r="AO624" s="2"/>
      <c r="AU624" s="5"/>
    </row>
    <row r="625" ht="15.75" customHeight="1" spans="1:47">
      <c r="A625" s="2"/>
      <c r="F625" s="2"/>
      <c r="G625" s="2"/>
      <c r="K625" s="2"/>
      <c r="O625" s="2"/>
      <c r="P625" s="2"/>
      <c r="R625" s="2"/>
      <c r="T625" s="2"/>
      <c r="X625" s="2"/>
      <c r="Y625" s="2"/>
      <c r="Z625" s="2"/>
      <c r="AA625" s="2"/>
      <c r="AB625" s="2"/>
      <c r="AC625" s="2"/>
      <c r="AG625" s="2"/>
      <c r="AK625" s="2"/>
      <c r="AL625" s="2"/>
      <c r="AM625" s="2"/>
      <c r="AN625" s="3"/>
      <c r="AO625" s="2"/>
      <c r="AU625" s="5"/>
    </row>
    <row r="626" ht="15.75" customHeight="1" spans="1:47">
      <c r="A626" s="2"/>
      <c r="F626" s="2"/>
      <c r="G626" s="2"/>
      <c r="K626" s="2"/>
      <c r="O626" s="2"/>
      <c r="P626" s="2"/>
      <c r="R626" s="2"/>
      <c r="T626" s="2"/>
      <c r="X626" s="2"/>
      <c r="Y626" s="2"/>
      <c r="Z626" s="2"/>
      <c r="AA626" s="2"/>
      <c r="AB626" s="2"/>
      <c r="AC626" s="2"/>
      <c r="AG626" s="2"/>
      <c r="AK626" s="2"/>
      <c r="AL626" s="2"/>
      <c r="AM626" s="2"/>
      <c r="AN626" s="3"/>
      <c r="AO626" s="2"/>
      <c r="AU626" s="5"/>
    </row>
    <row r="627" ht="15.75" customHeight="1" spans="1:47">
      <c r="A627" s="2"/>
      <c r="F627" s="2"/>
      <c r="G627" s="2"/>
      <c r="K627" s="2"/>
      <c r="O627" s="2"/>
      <c r="P627" s="2"/>
      <c r="R627" s="2"/>
      <c r="T627" s="2"/>
      <c r="X627" s="2"/>
      <c r="Y627" s="2"/>
      <c r="Z627" s="2"/>
      <c r="AA627" s="2"/>
      <c r="AB627" s="2"/>
      <c r="AC627" s="2"/>
      <c r="AG627" s="2"/>
      <c r="AK627" s="2"/>
      <c r="AL627" s="2"/>
      <c r="AM627" s="2"/>
      <c r="AN627" s="3"/>
      <c r="AO627" s="2"/>
      <c r="AU627" s="5"/>
    </row>
    <row r="628" ht="15.75" customHeight="1" spans="1:47">
      <c r="A628" s="2"/>
      <c r="F628" s="2"/>
      <c r="G628" s="2"/>
      <c r="K628" s="2"/>
      <c r="O628" s="2"/>
      <c r="P628" s="2"/>
      <c r="R628" s="2"/>
      <c r="T628" s="2"/>
      <c r="X628" s="2"/>
      <c r="Y628" s="2"/>
      <c r="Z628" s="2"/>
      <c r="AA628" s="2"/>
      <c r="AB628" s="2"/>
      <c r="AC628" s="2"/>
      <c r="AG628" s="2"/>
      <c r="AK628" s="2"/>
      <c r="AL628" s="2"/>
      <c r="AM628" s="2"/>
      <c r="AN628" s="3"/>
      <c r="AO628" s="2"/>
      <c r="AU628" s="5"/>
    </row>
    <row r="629" ht="15.75" customHeight="1" spans="1:47">
      <c r="A629" s="2"/>
      <c r="F629" s="2"/>
      <c r="G629" s="2"/>
      <c r="K629" s="2"/>
      <c r="O629" s="2"/>
      <c r="P629" s="2"/>
      <c r="R629" s="2"/>
      <c r="T629" s="2"/>
      <c r="X629" s="2"/>
      <c r="Y629" s="2"/>
      <c r="Z629" s="2"/>
      <c r="AA629" s="2"/>
      <c r="AB629" s="2"/>
      <c r="AC629" s="2"/>
      <c r="AG629" s="2"/>
      <c r="AK629" s="2"/>
      <c r="AL629" s="2"/>
      <c r="AM629" s="2"/>
      <c r="AN629" s="3"/>
      <c r="AO629" s="2"/>
      <c r="AU629" s="5"/>
    </row>
    <row r="630" ht="15.75" customHeight="1" spans="1:47">
      <c r="A630" s="2"/>
      <c r="F630" s="2"/>
      <c r="G630" s="2"/>
      <c r="K630" s="2"/>
      <c r="O630" s="2"/>
      <c r="P630" s="2"/>
      <c r="R630" s="2"/>
      <c r="T630" s="2"/>
      <c r="X630" s="2"/>
      <c r="Y630" s="2"/>
      <c r="Z630" s="2"/>
      <c r="AA630" s="2"/>
      <c r="AB630" s="2"/>
      <c r="AC630" s="2"/>
      <c r="AG630" s="2"/>
      <c r="AK630" s="2"/>
      <c r="AL630" s="2"/>
      <c r="AM630" s="2"/>
      <c r="AN630" s="3"/>
      <c r="AO630" s="2"/>
      <c r="AU630" s="5"/>
    </row>
    <row r="631" ht="15.75" customHeight="1" spans="1:47">
      <c r="A631" s="2"/>
      <c r="F631" s="2"/>
      <c r="G631" s="2"/>
      <c r="K631" s="2"/>
      <c r="O631" s="2"/>
      <c r="P631" s="2"/>
      <c r="R631" s="2"/>
      <c r="T631" s="2"/>
      <c r="X631" s="2"/>
      <c r="Y631" s="2"/>
      <c r="Z631" s="2"/>
      <c r="AA631" s="2"/>
      <c r="AB631" s="2"/>
      <c r="AC631" s="2"/>
      <c r="AG631" s="2"/>
      <c r="AK631" s="2"/>
      <c r="AL631" s="2"/>
      <c r="AM631" s="2"/>
      <c r="AN631" s="3"/>
      <c r="AO631" s="2"/>
      <c r="AU631" s="5"/>
    </row>
    <row r="632" ht="15.75" customHeight="1" spans="1:47">
      <c r="A632" s="2"/>
      <c r="F632" s="2"/>
      <c r="G632" s="2"/>
      <c r="K632" s="2"/>
      <c r="O632" s="2"/>
      <c r="P632" s="2"/>
      <c r="R632" s="2"/>
      <c r="T632" s="2"/>
      <c r="X632" s="2"/>
      <c r="Y632" s="2"/>
      <c r="Z632" s="2"/>
      <c r="AA632" s="2"/>
      <c r="AB632" s="2"/>
      <c r="AC632" s="2"/>
      <c r="AG632" s="2"/>
      <c r="AK632" s="2"/>
      <c r="AL632" s="2"/>
      <c r="AM632" s="2"/>
      <c r="AN632" s="3"/>
      <c r="AO632" s="2"/>
      <c r="AU632" s="5"/>
    </row>
    <row r="633" ht="15.75" customHeight="1" spans="1:47">
      <c r="A633" s="2"/>
      <c r="F633" s="2"/>
      <c r="G633" s="2"/>
      <c r="K633" s="2"/>
      <c r="O633" s="2"/>
      <c r="P633" s="2"/>
      <c r="R633" s="2"/>
      <c r="T633" s="2"/>
      <c r="X633" s="2"/>
      <c r="Y633" s="2"/>
      <c r="Z633" s="2"/>
      <c r="AA633" s="2"/>
      <c r="AB633" s="2"/>
      <c r="AC633" s="2"/>
      <c r="AG633" s="2"/>
      <c r="AK633" s="2"/>
      <c r="AL633" s="2"/>
      <c r="AM633" s="2"/>
      <c r="AN633" s="3"/>
      <c r="AO633" s="2"/>
      <c r="AU633" s="5"/>
    </row>
    <row r="634" ht="15.75" customHeight="1" spans="1:47">
      <c r="A634" s="2"/>
      <c r="F634" s="2"/>
      <c r="G634" s="2"/>
      <c r="K634" s="2"/>
      <c r="O634" s="2"/>
      <c r="P634" s="2"/>
      <c r="R634" s="2"/>
      <c r="T634" s="2"/>
      <c r="X634" s="2"/>
      <c r="Y634" s="2"/>
      <c r="Z634" s="2"/>
      <c r="AA634" s="2"/>
      <c r="AB634" s="2"/>
      <c r="AC634" s="2"/>
      <c r="AG634" s="2"/>
      <c r="AK634" s="2"/>
      <c r="AL634" s="2"/>
      <c r="AM634" s="2"/>
      <c r="AN634" s="3"/>
      <c r="AO634" s="2"/>
      <c r="AU634" s="5"/>
    </row>
    <row r="635" ht="15.75" customHeight="1" spans="1:47">
      <c r="A635" s="2"/>
      <c r="F635" s="2"/>
      <c r="G635" s="2"/>
      <c r="K635" s="2"/>
      <c r="O635" s="2"/>
      <c r="P635" s="2"/>
      <c r="R635" s="2"/>
      <c r="T635" s="2"/>
      <c r="X635" s="2"/>
      <c r="Y635" s="2"/>
      <c r="Z635" s="2"/>
      <c r="AA635" s="2"/>
      <c r="AB635" s="2"/>
      <c r="AC635" s="2"/>
      <c r="AG635" s="2"/>
      <c r="AK635" s="2"/>
      <c r="AL635" s="2"/>
      <c r="AM635" s="2"/>
      <c r="AN635" s="3"/>
      <c r="AO635" s="2"/>
      <c r="AU635" s="5"/>
    </row>
    <row r="636" ht="15.75" customHeight="1" spans="1:47">
      <c r="A636" s="2"/>
      <c r="F636" s="2"/>
      <c r="G636" s="2"/>
      <c r="K636" s="2"/>
      <c r="O636" s="2"/>
      <c r="P636" s="2"/>
      <c r="R636" s="2"/>
      <c r="T636" s="2"/>
      <c r="X636" s="2"/>
      <c r="Y636" s="2"/>
      <c r="Z636" s="2"/>
      <c r="AA636" s="2"/>
      <c r="AB636" s="2"/>
      <c r="AC636" s="2"/>
      <c r="AG636" s="2"/>
      <c r="AK636" s="2"/>
      <c r="AL636" s="2"/>
      <c r="AM636" s="2"/>
      <c r="AN636" s="3"/>
      <c r="AO636" s="2"/>
      <c r="AU636" s="5"/>
    </row>
    <row r="637" ht="15.75" customHeight="1" spans="1:47">
      <c r="A637" s="2"/>
      <c r="F637" s="2"/>
      <c r="G637" s="2"/>
      <c r="K637" s="2"/>
      <c r="O637" s="2"/>
      <c r="P637" s="2"/>
      <c r="R637" s="2"/>
      <c r="T637" s="2"/>
      <c r="X637" s="2"/>
      <c r="Y637" s="2"/>
      <c r="Z637" s="2"/>
      <c r="AA637" s="2"/>
      <c r="AB637" s="2"/>
      <c r="AC637" s="2"/>
      <c r="AG637" s="2"/>
      <c r="AK637" s="2"/>
      <c r="AL637" s="2"/>
      <c r="AM637" s="2"/>
      <c r="AN637" s="3"/>
      <c r="AO637" s="2"/>
      <c r="AU637" s="5"/>
    </row>
    <row r="638" ht="15.75" customHeight="1" spans="1:47">
      <c r="A638" s="2"/>
      <c r="F638" s="2"/>
      <c r="G638" s="2"/>
      <c r="K638" s="2"/>
      <c r="O638" s="2"/>
      <c r="P638" s="2"/>
      <c r="R638" s="2"/>
      <c r="T638" s="2"/>
      <c r="X638" s="2"/>
      <c r="Y638" s="2"/>
      <c r="Z638" s="2"/>
      <c r="AA638" s="2"/>
      <c r="AB638" s="2"/>
      <c r="AC638" s="2"/>
      <c r="AG638" s="2"/>
      <c r="AK638" s="2"/>
      <c r="AL638" s="2"/>
      <c r="AM638" s="2"/>
      <c r="AN638" s="3"/>
      <c r="AO638" s="2"/>
      <c r="AU638" s="5"/>
    </row>
    <row r="639" ht="15.75" customHeight="1" spans="1:47">
      <c r="A639" s="2"/>
      <c r="F639" s="2"/>
      <c r="G639" s="2"/>
      <c r="K639" s="2"/>
      <c r="O639" s="2"/>
      <c r="P639" s="2"/>
      <c r="R639" s="2"/>
      <c r="T639" s="2"/>
      <c r="X639" s="2"/>
      <c r="Y639" s="2"/>
      <c r="Z639" s="2"/>
      <c r="AA639" s="2"/>
      <c r="AB639" s="2"/>
      <c r="AC639" s="2"/>
      <c r="AG639" s="2"/>
      <c r="AK639" s="2"/>
      <c r="AL639" s="2"/>
      <c r="AM639" s="2"/>
      <c r="AN639" s="3"/>
      <c r="AO639" s="2"/>
      <c r="AU639" s="5"/>
    </row>
    <row r="640" ht="15.75" customHeight="1" spans="1:47">
      <c r="A640" s="2"/>
      <c r="F640" s="2"/>
      <c r="G640" s="2"/>
      <c r="K640" s="2"/>
      <c r="O640" s="2"/>
      <c r="P640" s="2"/>
      <c r="R640" s="2"/>
      <c r="T640" s="2"/>
      <c r="X640" s="2"/>
      <c r="Y640" s="2"/>
      <c r="Z640" s="2"/>
      <c r="AA640" s="2"/>
      <c r="AB640" s="2"/>
      <c r="AC640" s="2"/>
      <c r="AG640" s="2"/>
      <c r="AK640" s="2"/>
      <c r="AL640" s="2"/>
      <c r="AM640" s="2"/>
      <c r="AN640" s="3"/>
      <c r="AO640" s="2"/>
      <c r="AU640" s="5"/>
    </row>
    <row r="641" ht="15.75" customHeight="1" spans="1:47">
      <c r="A641" s="2"/>
      <c r="F641" s="2"/>
      <c r="G641" s="2"/>
      <c r="K641" s="2"/>
      <c r="O641" s="2"/>
      <c r="P641" s="2"/>
      <c r="R641" s="2"/>
      <c r="T641" s="2"/>
      <c r="X641" s="2"/>
      <c r="Y641" s="2"/>
      <c r="Z641" s="2"/>
      <c r="AA641" s="2"/>
      <c r="AB641" s="2"/>
      <c r="AC641" s="2"/>
      <c r="AG641" s="2"/>
      <c r="AK641" s="2"/>
      <c r="AL641" s="2"/>
      <c r="AM641" s="2"/>
      <c r="AN641" s="3"/>
      <c r="AO641" s="2"/>
      <c r="AU641" s="5"/>
    </row>
    <row r="642" ht="15.75" customHeight="1" spans="1:47">
      <c r="A642" s="2"/>
      <c r="F642" s="2"/>
      <c r="G642" s="2"/>
      <c r="K642" s="2"/>
      <c r="O642" s="2"/>
      <c r="P642" s="2"/>
      <c r="R642" s="2"/>
      <c r="T642" s="2"/>
      <c r="X642" s="2"/>
      <c r="Y642" s="2"/>
      <c r="Z642" s="2"/>
      <c r="AA642" s="2"/>
      <c r="AB642" s="2"/>
      <c r="AC642" s="2"/>
      <c r="AG642" s="2"/>
      <c r="AK642" s="2"/>
      <c r="AL642" s="2"/>
      <c r="AM642" s="2"/>
      <c r="AN642" s="3"/>
      <c r="AO642" s="2"/>
      <c r="AU642" s="5"/>
    </row>
    <row r="643" ht="15.75" customHeight="1" spans="1:47">
      <c r="A643" s="2"/>
      <c r="F643" s="2"/>
      <c r="G643" s="2"/>
      <c r="K643" s="2"/>
      <c r="O643" s="2"/>
      <c r="P643" s="2"/>
      <c r="R643" s="2"/>
      <c r="T643" s="2"/>
      <c r="X643" s="2"/>
      <c r="Y643" s="2"/>
      <c r="Z643" s="2"/>
      <c r="AA643" s="2"/>
      <c r="AB643" s="2"/>
      <c r="AC643" s="2"/>
      <c r="AG643" s="2"/>
      <c r="AK643" s="2"/>
      <c r="AL643" s="2"/>
      <c r="AM643" s="2"/>
      <c r="AN643" s="3"/>
      <c r="AO643" s="2"/>
      <c r="AU643" s="5"/>
    </row>
    <row r="644" ht="15.75" customHeight="1" spans="1:47">
      <c r="A644" s="2"/>
      <c r="F644" s="2"/>
      <c r="G644" s="2"/>
      <c r="K644" s="2"/>
      <c r="O644" s="2"/>
      <c r="P644" s="2"/>
      <c r="R644" s="2"/>
      <c r="T644" s="2"/>
      <c r="X644" s="2"/>
      <c r="Y644" s="2"/>
      <c r="Z644" s="2"/>
      <c r="AA644" s="2"/>
      <c r="AB644" s="2"/>
      <c r="AC644" s="2"/>
      <c r="AG644" s="2"/>
      <c r="AK644" s="2"/>
      <c r="AL644" s="2"/>
      <c r="AM644" s="2"/>
      <c r="AN644" s="3"/>
      <c r="AO644" s="2"/>
      <c r="AU644" s="5"/>
    </row>
    <row r="645" ht="15.75" customHeight="1" spans="1:47">
      <c r="A645" s="2"/>
      <c r="F645" s="2"/>
      <c r="G645" s="2"/>
      <c r="K645" s="2"/>
      <c r="O645" s="2"/>
      <c r="P645" s="2"/>
      <c r="R645" s="2"/>
      <c r="T645" s="2"/>
      <c r="X645" s="2"/>
      <c r="Y645" s="2"/>
      <c r="Z645" s="2"/>
      <c r="AA645" s="2"/>
      <c r="AB645" s="2"/>
      <c r="AC645" s="2"/>
      <c r="AG645" s="2"/>
      <c r="AK645" s="2"/>
      <c r="AL645" s="2"/>
      <c r="AM645" s="2"/>
      <c r="AN645" s="3"/>
      <c r="AO645" s="2"/>
      <c r="AU645" s="5"/>
    </row>
    <row r="646" ht="15.75" customHeight="1" spans="1:47">
      <c r="A646" s="2"/>
      <c r="F646" s="2"/>
      <c r="G646" s="2"/>
      <c r="K646" s="2"/>
      <c r="O646" s="2"/>
      <c r="P646" s="2"/>
      <c r="R646" s="2"/>
      <c r="T646" s="2"/>
      <c r="X646" s="2"/>
      <c r="Y646" s="2"/>
      <c r="Z646" s="2"/>
      <c r="AA646" s="2"/>
      <c r="AB646" s="2"/>
      <c r="AC646" s="2"/>
      <c r="AG646" s="2"/>
      <c r="AK646" s="2"/>
      <c r="AL646" s="2"/>
      <c r="AM646" s="2"/>
      <c r="AN646" s="3"/>
      <c r="AO646" s="2"/>
      <c r="AU646" s="5"/>
    </row>
    <row r="647" ht="15.75" customHeight="1" spans="1:47">
      <c r="A647" s="2"/>
      <c r="F647" s="2"/>
      <c r="G647" s="2"/>
      <c r="K647" s="2"/>
      <c r="O647" s="2"/>
      <c r="P647" s="2"/>
      <c r="R647" s="2"/>
      <c r="T647" s="2"/>
      <c r="X647" s="2"/>
      <c r="Y647" s="2"/>
      <c r="Z647" s="2"/>
      <c r="AA647" s="2"/>
      <c r="AB647" s="2"/>
      <c r="AC647" s="2"/>
      <c r="AG647" s="2"/>
      <c r="AK647" s="2"/>
      <c r="AL647" s="2"/>
      <c r="AM647" s="2"/>
      <c r="AN647" s="3"/>
      <c r="AO647" s="2"/>
      <c r="AU647" s="5"/>
    </row>
    <row r="648" ht="15.75" customHeight="1" spans="1:47">
      <c r="A648" s="2"/>
      <c r="F648" s="2"/>
      <c r="G648" s="2"/>
      <c r="K648" s="2"/>
      <c r="O648" s="2"/>
      <c r="P648" s="2"/>
      <c r="R648" s="2"/>
      <c r="T648" s="2"/>
      <c r="X648" s="2"/>
      <c r="Y648" s="2"/>
      <c r="Z648" s="2"/>
      <c r="AA648" s="2"/>
      <c r="AB648" s="2"/>
      <c r="AC648" s="2"/>
      <c r="AG648" s="2"/>
      <c r="AK648" s="2"/>
      <c r="AL648" s="2"/>
      <c r="AM648" s="2"/>
      <c r="AN648" s="3"/>
      <c r="AO648" s="2"/>
      <c r="AU648" s="5"/>
    </row>
    <row r="649" ht="15.75" customHeight="1" spans="1:47">
      <c r="A649" s="2"/>
      <c r="F649" s="2"/>
      <c r="G649" s="2"/>
      <c r="K649" s="2"/>
      <c r="O649" s="2"/>
      <c r="P649" s="2"/>
      <c r="R649" s="2"/>
      <c r="T649" s="2"/>
      <c r="X649" s="2"/>
      <c r="Y649" s="2"/>
      <c r="Z649" s="2"/>
      <c r="AA649" s="2"/>
      <c r="AB649" s="2"/>
      <c r="AC649" s="2"/>
      <c r="AG649" s="2"/>
      <c r="AK649" s="2"/>
      <c r="AL649" s="2"/>
      <c r="AM649" s="2"/>
      <c r="AN649" s="3"/>
      <c r="AO649" s="2"/>
      <c r="AU649" s="5"/>
    </row>
    <row r="650" ht="15.75" customHeight="1" spans="1:47">
      <c r="A650" s="2"/>
      <c r="F650" s="2"/>
      <c r="G650" s="2"/>
      <c r="K650" s="2"/>
      <c r="O650" s="2"/>
      <c r="P650" s="2"/>
      <c r="R650" s="2"/>
      <c r="T650" s="2"/>
      <c r="X650" s="2"/>
      <c r="Y650" s="2"/>
      <c r="Z650" s="2"/>
      <c r="AA650" s="2"/>
      <c r="AB650" s="2"/>
      <c r="AC650" s="2"/>
      <c r="AG650" s="2"/>
      <c r="AK650" s="2"/>
      <c r="AL650" s="2"/>
      <c r="AM650" s="2"/>
      <c r="AN650" s="3"/>
      <c r="AO650" s="2"/>
      <c r="AU650" s="5"/>
    </row>
    <row r="651" ht="15.75" customHeight="1" spans="1:47">
      <c r="A651" s="2"/>
      <c r="F651" s="2"/>
      <c r="G651" s="2"/>
      <c r="K651" s="2"/>
      <c r="O651" s="2"/>
      <c r="P651" s="2"/>
      <c r="R651" s="2"/>
      <c r="T651" s="2"/>
      <c r="X651" s="2"/>
      <c r="Y651" s="2"/>
      <c r="Z651" s="2"/>
      <c r="AA651" s="2"/>
      <c r="AB651" s="2"/>
      <c r="AC651" s="2"/>
      <c r="AG651" s="2"/>
      <c r="AK651" s="2"/>
      <c r="AL651" s="2"/>
      <c r="AM651" s="2"/>
      <c r="AN651" s="3"/>
      <c r="AO651" s="2"/>
      <c r="AU651" s="5"/>
    </row>
    <row r="652" ht="15.75" customHeight="1" spans="1:47">
      <c r="A652" s="2"/>
      <c r="F652" s="2"/>
      <c r="G652" s="2"/>
      <c r="K652" s="2"/>
      <c r="O652" s="2"/>
      <c r="P652" s="2"/>
      <c r="R652" s="2"/>
      <c r="T652" s="2"/>
      <c r="X652" s="2"/>
      <c r="Y652" s="2"/>
      <c r="Z652" s="2"/>
      <c r="AA652" s="2"/>
      <c r="AB652" s="2"/>
      <c r="AC652" s="2"/>
      <c r="AG652" s="2"/>
      <c r="AK652" s="2"/>
      <c r="AL652" s="2"/>
      <c r="AM652" s="2"/>
      <c r="AN652" s="3"/>
      <c r="AO652" s="2"/>
      <c r="AU652" s="5"/>
    </row>
    <row r="653" ht="15.75" customHeight="1" spans="1:47">
      <c r="A653" s="2"/>
      <c r="F653" s="2"/>
      <c r="G653" s="2"/>
      <c r="K653" s="2"/>
      <c r="O653" s="2"/>
      <c r="P653" s="2"/>
      <c r="R653" s="2"/>
      <c r="T653" s="2"/>
      <c r="X653" s="2"/>
      <c r="Y653" s="2"/>
      <c r="Z653" s="2"/>
      <c r="AA653" s="2"/>
      <c r="AB653" s="2"/>
      <c r="AC653" s="2"/>
      <c r="AG653" s="2"/>
      <c r="AK653" s="2"/>
      <c r="AL653" s="2"/>
      <c r="AM653" s="2"/>
      <c r="AN653" s="3"/>
      <c r="AO653" s="2"/>
      <c r="AU653" s="5"/>
    </row>
    <row r="654" ht="15.75" customHeight="1" spans="1:47">
      <c r="A654" s="2"/>
      <c r="F654" s="2"/>
      <c r="G654" s="2"/>
      <c r="K654" s="2"/>
      <c r="O654" s="2"/>
      <c r="P654" s="2"/>
      <c r="R654" s="2"/>
      <c r="T654" s="2"/>
      <c r="X654" s="2"/>
      <c r="Y654" s="2"/>
      <c r="Z654" s="2"/>
      <c r="AA654" s="2"/>
      <c r="AB654" s="2"/>
      <c r="AC654" s="2"/>
      <c r="AG654" s="2"/>
      <c r="AK654" s="2"/>
      <c r="AL654" s="2"/>
      <c r="AM654" s="2"/>
      <c r="AN654" s="3"/>
      <c r="AO654" s="2"/>
      <c r="AU654" s="5"/>
    </row>
    <row r="655" ht="15.75" customHeight="1" spans="1:47">
      <c r="A655" s="2"/>
      <c r="F655" s="2"/>
      <c r="G655" s="2"/>
      <c r="K655" s="2"/>
      <c r="O655" s="2"/>
      <c r="P655" s="2"/>
      <c r="R655" s="2"/>
      <c r="T655" s="2"/>
      <c r="X655" s="2"/>
      <c r="Y655" s="2"/>
      <c r="Z655" s="2"/>
      <c r="AA655" s="2"/>
      <c r="AB655" s="2"/>
      <c r="AC655" s="2"/>
      <c r="AG655" s="2"/>
      <c r="AK655" s="2"/>
      <c r="AL655" s="2"/>
      <c r="AM655" s="2"/>
      <c r="AN655" s="3"/>
      <c r="AO655" s="2"/>
      <c r="AU655" s="5"/>
    </row>
    <row r="656" ht="15.75" customHeight="1" spans="1:47">
      <c r="A656" s="2"/>
      <c r="F656" s="2"/>
      <c r="G656" s="2"/>
      <c r="K656" s="2"/>
      <c r="O656" s="2"/>
      <c r="P656" s="2"/>
      <c r="R656" s="2"/>
      <c r="T656" s="2"/>
      <c r="X656" s="2"/>
      <c r="Y656" s="2"/>
      <c r="Z656" s="2"/>
      <c r="AA656" s="2"/>
      <c r="AB656" s="2"/>
      <c r="AC656" s="2"/>
      <c r="AG656" s="2"/>
      <c r="AK656" s="2"/>
      <c r="AL656" s="2"/>
      <c r="AM656" s="2"/>
      <c r="AN656" s="3"/>
      <c r="AO656" s="2"/>
      <c r="AU656" s="5"/>
    </row>
    <row r="657" ht="15.75" customHeight="1" spans="1:47">
      <c r="A657" s="2"/>
      <c r="F657" s="2"/>
      <c r="G657" s="2"/>
      <c r="K657" s="2"/>
      <c r="O657" s="2"/>
      <c r="P657" s="2"/>
      <c r="R657" s="2"/>
      <c r="T657" s="2"/>
      <c r="X657" s="2"/>
      <c r="Y657" s="2"/>
      <c r="Z657" s="2"/>
      <c r="AA657" s="2"/>
      <c r="AB657" s="2"/>
      <c r="AC657" s="2"/>
      <c r="AG657" s="2"/>
      <c r="AK657" s="2"/>
      <c r="AL657" s="2"/>
      <c r="AM657" s="2"/>
      <c r="AN657" s="3"/>
      <c r="AO657" s="2"/>
      <c r="AU657" s="5"/>
    </row>
    <row r="658" ht="15.75" customHeight="1" spans="1:47">
      <c r="A658" s="2"/>
      <c r="F658" s="2"/>
      <c r="G658" s="2"/>
      <c r="K658" s="2"/>
      <c r="O658" s="2"/>
      <c r="P658" s="2"/>
      <c r="R658" s="2"/>
      <c r="T658" s="2"/>
      <c r="X658" s="2"/>
      <c r="Y658" s="2"/>
      <c r="Z658" s="2"/>
      <c r="AA658" s="2"/>
      <c r="AB658" s="2"/>
      <c r="AC658" s="2"/>
      <c r="AG658" s="2"/>
      <c r="AK658" s="2"/>
      <c r="AL658" s="2"/>
      <c r="AM658" s="2"/>
      <c r="AN658" s="3"/>
      <c r="AO658" s="2"/>
      <c r="AU658" s="5"/>
    </row>
    <row r="659" ht="15.75" customHeight="1" spans="1:47">
      <c r="A659" s="2"/>
      <c r="F659" s="2"/>
      <c r="G659" s="2"/>
      <c r="K659" s="2"/>
      <c r="O659" s="2"/>
      <c r="P659" s="2"/>
      <c r="R659" s="2"/>
      <c r="T659" s="2"/>
      <c r="X659" s="2"/>
      <c r="Y659" s="2"/>
      <c r="Z659" s="2"/>
      <c r="AA659" s="2"/>
      <c r="AB659" s="2"/>
      <c r="AC659" s="2"/>
      <c r="AG659" s="2"/>
      <c r="AK659" s="2"/>
      <c r="AL659" s="2"/>
      <c r="AM659" s="2"/>
      <c r="AN659" s="3"/>
      <c r="AO659" s="2"/>
      <c r="AU659" s="5"/>
    </row>
    <row r="660" ht="15.75" customHeight="1" spans="1:47">
      <c r="A660" s="2"/>
      <c r="F660" s="2"/>
      <c r="G660" s="2"/>
      <c r="K660" s="2"/>
      <c r="O660" s="2"/>
      <c r="P660" s="2"/>
      <c r="R660" s="2"/>
      <c r="T660" s="2"/>
      <c r="X660" s="2"/>
      <c r="Y660" s="2"/>
      <c r="Z660" s="2"/>
      <c r="AA660" s="2"/>
      <c r="AB660" s="2"/>
      <c r="AC660" s="2"/>
      <c r="AG660" s="2"/>
      <c r="AK660" s="2"/>
      <c r="AL660" s="2"/>
      <c r="AM660" s="2"/>
      <c r="AN660" s="3"/>
      <c r="AO660" s="2"/>
      <c r="AU660" s="5"/>
    </row>
    <row r="661" ht="15.75" customHeight="1" spans="1:47">
      <c r="A661" s="2"/>
      <c r="F661" s="2"/>
      <c r="G661" s="2"/>
      <c r="K661" s="2"/>
      <c r="O661" s="2"/>
      <c r="P661" s="2"/>
      <c r="R661" s="2"/>
      <c r="T661" s="2"/>
      <c r="X661" s="2"/>
      <c r="Y661" s="2"/>
      <c r="Z661" s="2"/>
      <c r="AA661" s="2"/>
      <c r="AB661" s="2"/>
      <c r="AC661" s="2"/>
      <c r="AG661" s="2"/>
      <c r="AK661" s="2"/>
      <c r="AL661" s="2"/>
      <c r="AM661" s="2"/>
      <c r="AN661" s="3"/>
      <c r="AO661" s="2"/>
      <c r="AU661" s="5"/>
    </row>
    <row r="662" ht="15.75" customHeight="1" spans="1:47">
      <c r="A662" s="2"/>
      <c r="F662" s="2"/>
      <c r="G662" s="2"/>
      <c r="K662" s="2"/>
      <c r="O662" s="2"/>
      <c r="P662" s="2"/>
      <c r="R662" s="2"/>
      <c r="T662" s="2"/>
      <c r="X662" s="2"/>
      <c r="Y662" s="2"/>
      <c r="Z662" s="2"/>
      <c r="AA662" s="2"/>
      <c r="AB662" s="2"/>
      <c r="AC662" s="2"/>
      <c r="AG662" s="2"/>
      <c r="AK662" s="2"/>
      <c r="AL662" s="2"/>
      <c r="AM662" s="2"/>
      <c r="AN662" s="3"/>
      <c r="AO662" s="2"/>
      <c r="AU662" s="5"/>
    </row>
    <row r="663" ht="15.75" customHeight="1" spans="1:47">
      <c r="A663" s="2"/>
      <c r="F663" s="2"/>
      <c r="G663" s="2"/>
      <c r="K663" s="2"/>
      <c r="O663" s="2"/>
      <c r="P663" s="2"/>
      <c r="R663" s="2"/>
      <c r="T663" s="2"/>
      <c r="X663" s="2"/>
      <c r="Y663" s="2"/>
      <c r="Z663" s="2"/>
      <c r="AA663" s="2"/>
      <c r="AB663" s="2"/>
      <c r="AC663" s="2"/>
      <c r="AG663" s="2"/>
      <c r="AK663" s="2"/>
      <c r="AL663" s="2"/>
      <c r="AM663" s="2"/>
      <c r="AN663" s="3"/>
      <c r="AO663" s="2"/>
      <c r="AU663" s="5"/>
    </row>
    <row r="664" ht="15.75" customHeight="1" spans="1:47">
      <c r="A664" s="2"/>
      <c r="F664" s="2"/>
      <c r="G664" s="2"/>
      <c r="K664" s="2"/>
      <c r="O664" s="2"/>
      <c r="P664" s="2"/>
      <c r="R664" s="2"/>
      <c r="T664" s="2"/>
      <c r="X664" s="2"/>
      <c r="Y664" s="2"/>
      <c r="Z664" s="2"/>
      <c r="AA664" s="2"/>
      <c r="AB664" s="2"/>
      <c r="AC664" s="2"/>
      <c r="AG664" s="2"/>
      <c r="AK664" s="2"/>
      <c r="AL664" s="2"/>
      <c r="AM664" s="2"/>
      <c r="AN664" s="3"/>
      <c r="AO664" s="2"/>
      <c r="AU664" s="5"/>
    </row>
    <row r="665" ht="15.75" customHeight="1" spans="1:47">
      <c r="A665" s="2"/>
      <c r="F665" s="2"/>
      <c r="G665" s="2"/>
      <c r="K665" s="2"/>
      <c r="O665" s="2"/>
      <c r="P665" s="2"/>
      <c r="R665" s="2"/>
      <c r="T665" s="2"/>
      <c r="X665" s="2"/>
      <c r="Y665" s="2"/>
      <c r="Z665" s="2"/>
      <c r="AA665" s="2"/>
      <c r="AB665" s="2"/>
      <c r="AC665" s="2"/>
      <c r="AG665" s="2"/>
      <c r="AK665" s="2"/>
      <c r="AL665" s="2"/>
      <c r="AM665" s="2"/>
      <c r="AN665" s="3"/>
      <c r="AO665" s="2"/>
      <c r="AU665" s="5"/>
    </row>
    <row r="666" ht="15.75" customHeight="1" spans="1:47">
      <c r="A666" s="2"/>
      <c r="F666" s="2"/>
      <c r="G666" s="2"/>
      <c r="K666" s="2"/>
      <c r="O666" s="2"/>
      <c r="P666" s="2"/>
      <c r="R666" s="2"/>
      <c r="T666" s="2"/>
      <c r="X666" s="2"/>
      <c r="Y666" s="2"/>
      <c r="Z666" s="2"/>
      <c r="AA666" s="2"/>
      <c r="AB666" s="2"/>
      <c r="AC666" s="2"/>
      <c r="AG666" s="2"/>
      <c r="AK666" s="2"/>
      <c r="AL666" s="2"/>
      <c r="AM666" s="2"/>
      <c r="AN666" s="3"/>
      <c r="AO666" s="2"/>
      <c r="AU666" s="5"/>
    </row>
    <row r="667" ht="15.75" customHeight="1" spans="1:47">
      <c r="A667" s="2"/>
      <c r="F667" s="2"/>
      <c r="G667" s="2"/>
      <c r="K667" s="2"/>
      <c r="O667" s="2"/>
      <c r="P667" s="2"/>
      <c r="R667" s="2"/>
      <c r="T667" s="2"/>
      <c r="X667" s="2"/>
      <c r="Y667" s="2"/>
      <c r="Z667" s="2"/>
      <c r="AA667" s="2"/>
      <c r="AB667" s="2"/>
      <c r="AC667" s="2"/>
      <c r="AG667" s="2"/>
      <c r="AK667" s="2"/>
      <c r="AL667" s="2"/>
      <c r="AM667" s="2"/>
      <c r="AN667" s="3"/>
      <c r="AO667" s="2"/>
      <c r="AU667" s="5"/>
    </row>
    <row r="668" ht="15.75" customHeight="1" spans="1:47">
      <c r="A668" s="2"/>
      <c r="F668" s="2"/>
      <c r="G668" s="2"/>
      <c r="K668" s="2"/>
      <c r="O668" s="2"/>
      <c r="P668" s="2"/>
      <c r="R668" s="2"/>
      <c r="T668" s="2"/>
      <c r="X668" s="2"/>
      <c r="Y668" s="2"/>
      <c r="Z668" s="2"/>
      <c r="AA668" s="2"/>
      <c r="AB668" s="2"/>
      <c r="AC668" s="2"/>
      <c r="AG668" s="2"/>
      <c r="AK668" s="2"/>
      <c r="AL668" s="2"/>
      <c r="AM668" s="2"/>
      <c r="AN668" s="3"/>
      <c r="AO668" s="2"/>
      <c r="AU668" s="5"/>
    </row>
    <row r="669" ht="15.75" customHeight="1" spans="1:47">
      <c r="A669" s="2"/>
      <c r="F669" s="2"/>
      <c r="G669" s="2"/>
      <c r="K669" s="2"/>
      <c r="O669" s="2"/>
      <c r="P669" s="2"/>
      <c r="R669" s="2"/>
      <c r="T669" s="2"/>
      <c r="X669" s="2"/>
      <c r="Y669" s="2"/>
      <c r="Z669" s="2"/>
      <c r="AA669" s="2"/>
      <c r="AB669" s="2"/>
      <c r="AC669" s="2"/>
      <c r="AG669" s="2"/>
      <c r="AK669" s="2"/>
      <c r="AL669" s="2"/>
      <c r="AM669" s="2"/>
      <c r="AN669" s="3"/>
      <c r="AO669" s="2"/>
      <c r="AU669" s="5"/>
    </row>
    <row r="670" ht="15.75" customHeight="1" spans="1:47">
      <c r="A670" s="2"/>
      <c r="F670" s="2"/>
      <c r="G670" s="2"/>
      <c r="K670" s="2"/>
      <c r="O670" s="2"/>
      <c r="P670" s="2"/>
      <c r="R670" s="2"/>
      <c r="T670" s="2"/>
      <c r="X670" s="2"/>
      <c r="Y670" s="2"/>
      <c r="Z670" s="2"/>
      <c r="AA670" s="2"/>
      <c r="AB670" s="2"/>
      <c r="AC670" s="2"/>
      <c r="AG670" s="2"/>
      <c r="AK670" s="2"/>
      <c r="AL670" s="2"/>
      <c r="AM670" s="2"/>
      <c r="AN670" s="3"/>
      <c r="AO670" s="2"/>
      <c r="AU670" s="5"/>
    </row>
    <row r="671" ht="15.75" customHeight="1" spans="1:47">
      <c r="A671" s="2"/>
      <c r="F671" s="2"/>
      <c r="G671" s="2"/>
      <c r="K671" s="2"/>
      <c r="O671" s="2"/>
      <c r="P671" s="2"/>
      <c r="R671" s="2"/>
      <c r="T671" s="2"/>
      <c r="X671" s="2"/>
      <c r="Y671" s="2"/>
      <c r="Z671" s="2"/>
      <c r="AA671" s="2"/>
      <c r="AB671" s="2"/>
      <c r="AC671" s="2"/>
      <c r="AG671" s="2"/>
      <c r="AK671" s="2"/>
      <c r="AL671" s="2"/>
      <c r="AM671" s="2"/>
      <c r="AN671" s="3"/>
      <c r="AO671" s="2"/>
      <c r="AU671" s="5"/>
    </row>
    <row r="672" ht="15.75" customHeight="1" spans="1:47">
      <c r="A672" s="2"/>
      <c r="F672" s="2"/>
      <c r="G672" s="2"/>
      <c r="K672" s="2"/>
      <c r="O672" s="2"/>
      <c r="P672" s="2"/>
      <c r="R672" s="2"/>
      <c r="T672" s="2"/>
      <c r="X672" s="2"/>
      <c r="Y672" s="2"/>
      <c r="Z672" s="2"/>
      <c r="AA672" s="2"/>
      <c r="AB672" s="2"/>
      <c r="AC672" s="2"/>
      <c r="AG672" s="2"/>
      <c r="AK672" s="2"/>
      <c r="AL672" s="2"/>
      <c r="AM672" s="2"/>
      <c r="AN672" s="3"/>
      <c r="AO672" s="2"/>
      <c r="AU672" s="5"/>
    </row>
    <row r="673" ht="15.75" customHeight="1" spans="1:47">
      <c r="A673" s="2"/>
      <c r="F673" s="2"/>
      <c r="G673" s="2"/>
      <c r="K673" s="2"/>
      <c r="O673" s="2"/>
      <c r="P673" s="2"/>
      <c r="R673" s="2"/>
      <c r="T673" s="2"/>
      <c r="X673" s="2"/>
      <c r="Y673" s="2"/>
      <c r="Z673" s="2"/>
      <c r="AA673" s="2"/>
      <c r="AB673" s="2"/>
      <c r="AC673" s="2"/>
      <c r="AG673" s="2"/>
      <c r="AK673" s="2"/>
      <c r="AL673" s="2"/>
      <c r="AM673" s="2"/>
      <c r="AN673" s="3"/>
      <c r="AO673" s="2"/>
      <c r="AU673" s="5"/>
    </row>
    <row r="674" ht="15.75" customHeight="1" spans="1:47">
      <c r="A674" s="2"/>
      <c r="F674" s="2"/>
      <c r="G674" s="2"/>
      <c r="K674" s="2"/>
      <c r="O674" s="2"/>
      <c r="P674" s="2"/>
      <c r="R674" s="2"/>
      <c r="T674" s="2"/>
      <c r="X674" s="2"/>
      <c r="Y674" s="2"/>
      <c r="Z674" s="2"/>
      <c r="AA674" s="2"/>
      <c r="AB674" s="2"/>
      <c r="AC674" s="2"/>
      <c r="AG674" s="2"/>
      <c r="AK674" s="2"/>
      <c r="AL674" s="2"/>
      <c r="AM674" s="2"/>
      <c r="AN674" s="3"/>
      <c r="AO674" s="2"/>
      <c r="AU674" s="5"/>
    </row>
    <row r="675" ht="15.75" customHeight="1" spans="1:47">
      <c r="A675" s="2"/>
      <c r="F675" s="2"/>
      <c r="G675" s="2"/>
      <c r="K675" s="2"/>
      <c r="O675" s="2"/>
      <c r="P675" s="2"/>
      <c r="R675" s="2"/>
      <c r="T675" s="2"/>
      <c r="X675" s="2"/>
      <c r="Y675" s="2"/>
      <c r="Z675" s="2"/>
      <c r="AA675" s="2"/>
      <c r="AB675" s="2"/>
      <c r="AC675" s="2"/>
      <c r="AG675" s="2"/>
      <c r="AK675" s="2"/>
      <c r="AL675" s="2"/>
      <c r="AM675" s="2"/>
      <c r="AN675" s="3"/>
      <c r="AO675" s="2"/>
      <c r="AU675" s="5"/>
    </row>
    <row r="676" ht="15.75" customHeight="1" spans="1:47">
      <c r="A676" s="2"/>
      <c r="F676" s="2"/>
      <c r="G676" s="2"/>
      <c r="K676" s="2"/>
      <c r="O676" s="2"/>
      <c r="P676" s="2"/>
      <c r="R676" s="2"/>
      <c r="T676" s="2"/>
      <c r="X676" s="2"/>
      <c r="Y676" s="2"/>
      <c r="Z676" s="2"/>
      <c r="AA676" s="2"/>
      <c r="AB676" s="2"/>
      <c r="AC676" s="2"/>
      <c r="AG676" s="2"/>
      <c r="AK676" s="2"/>
      <c r="AL676" s="2"/>
      <c r="AM676" s="2"/>
      <c r="AN676" s="3"/>
      <c r="AO676" s="2"/>
      <c r="AU676" s="5"/>
    </row>
    <row r="677" ht="15.75" customHeight="1" spans="1:47">
      <c r="A677" s="2"/>
      <c r="F677" s="2"/>
      <c r="G677" s="2"/>
      <c r="K677" s="2"/>
      <c r="O677" s="2"/>
      <c r="P677" s="2"/>
      <c r="R677" s="2"/>
      <c r="T677" s="2"/>
      <c r="X677" s="2"/>
      <c r="Y677" s="2"/>
      <c r="Z677" s="2"/>
      <c r="AA677" s="2"/>
      <c r="AB677" s="2"/>
      <c r="AC677" s="2"/>
      <c r="AG677" s="2"/>
      <c r="AK677" s="2"/>
      <c r="AL677" s="2"/>
      <c r="AM677" s="2"/>
      <c r="AN677" s="3"/>
      <c r="AO677" s="2"/>
      <c r="AU677" s="5"/>
    </row>
    <row r="678" ht="15.75" customHeight="1" spans="1:47">
      <c r="A678" s="2"/>
      <c r="F678" s="2"/>
      <c r="G678" s="2"/>
      <c r="K678" s="2"/>
      <c r="O678" s="2"/>
      <c r="P678" s="2"/>
      <c r="R678" s="2"/>
      <c r="T678" s="2"/>
      <c r="X678" s="2"/>
      <c r="Y678" s="2"/>
      <c r="Z678" s="2"/>
      <c r="AA678" s="2"/>
      <c r="AB678" s="2"/>
      <c r="AC678" s="2"/>
      <c r="AG678" s="2"/>
      <c r="AK678" s="2"/>
      <c r="AL678" s="2"/>
      <c r="AM678" s="2"/>
      <c r="AN678" s="3"/>
      <c r="AO678" s="2"/>
      <c r="AU678" s="5"/>
    </row>
    <row r="679" ht="15.75" customHeight="1" spans="1:47">
      <c r="A679" s="2"/>
      <c r="F679" s="2"/>
      <c r="G679" s="2"/>
      <c r="K679" s="2"/>
      <c r="O679" s="2"/>
      <c r="P679" s="2"/>
      <c r="R679" s="2"/>
      <c r="T679" s="2"/>
      <c r="X679" s="2"/>
      <c r="Y679" s="2"/>
      <c r="Z679" s="2"/>
      <c r="AA679" s="2"/>
      <c r="AB679" s="2"/>
      <c r="AC679" s="2"/>
      <c r="AG679" s="2"/>
      <c r="AK679" s="2"/>
      <c r="AL679" s="2"/>
      <c r="AM679" s="2"/>
      <c r="AN679" s="3"/>
      <c r="AO679" s="2"/>
      <c r="AU679" s="5"/>
    </row>
    <row r="680" ht="15.75" customHeight="1" spans="1:47">
      <c r="A680" s="2"/>
      <c r="F680" s="2"/>
      <c r="G680" s="2"/>
      <c r="K680" s="2"/>
      <c r="O680" s="2"/>
      <c r="P680" s="2"/>
      <c r="R680" s="2"/>
      <c r="T680" s="2"/>
      <c r="X680" s="2"/>
      <c r="Y680" s="2"/>
      <c r="Z680" s="2"/>
      <c r="AA680" s="2"/>
      <c r="AB680" s="2"/>
      <c r="AC680" s="2"/>
      <c r="AG680" s="2"/>
      <c r="AK680" s="2"/>
      <c r="AL680" s="2"/>
      <c r="AM680" s="2"/>
      <c r="AN680" s="3"/>
      <c r="AO680" s="2"/>
      <c r="AU680" s="5"/>
    </row>
    <row r="681" ht="15.75" customHeight="1" spans="1:47">
      <c r="A681" s="2"/>
      <c r="F681" s="2"/>
      <c r="G681" s="2"/>
      <c r="K681" s="2"/>
      <c r="O681" s="2"/>
      <c r="P681" s="2"/>
      <c r="R681" s="2"/>
      <c r="T681" s="2"/>
      <c r="X681" s="2"/>
      <c r="Y681" s="2"/>
      <c r="Z681" s="2"/>
      <c r="AA681" s="2"/>
      <c r="AB681" s="2"/>
      <c r="AC681" s="2"/>
      <c r="AG681" s="2"/>
      <c r="AK681" s="2"/>
      <c r="AL681" s="2"/>
      <c r="AM681" s="2"/>
      <c r="AN681" s="3"/>
      <c r="AO681" s="2"/>
      <c r="AU681" s="5"/>
    </row>
    <row r="682" ht="15.75" customHeight="1" spans="1:47">
      <c r="A682" s="2"/>
      <c r="F682" s="2"/>
      <c r="G682" s="2"/>
      <c r="K682" s="2"/>
      <c r="O682" s="2"/>
      <c r="P682" s="2"/>
      <c r="R682" s="2"/>
      <c r="T682" s="2"/>
      <c r="X682" s="2"/>
      <c r="Y682" s="2"/>
      <c r="Z682" s="2"/>
      <c r="AA682" s="2"/>
      <c r="AB682" s="2"/>
      <c r="AC682" s="2"/>
      <c r="AG682" s="2"/>
      <c r="AK682" s="2"/>
      <c r="AL682" s="2"/>
      <c r="AM682" s="2"/>
      <c r="AN682" s="3"/>
      <c r="AO682" s="2"/>
      <c r="AU682" s="5"/>
    </row>
    <row r="683" ht="15.75" customHeight="1" spans="1:47">
      <c r="A683" s="2"/>
      <c r="F683" s="2"/>
      <c r="G683" s="2"/>
      <c r="K683" s="2"/>
      <c r="O683" s="2"/>
      <c r="P683" s="2"/>
      <c r="R683" s="2"/>
      <c r="T683" s="2"/>
      <c r="X683" s="2"/>
      <c r="Y683" s="2"/>
      <c r="Z683" s="2"/>
      <c r="AA683" s="2"/>
      <c r="AB683" s="2"/>
      <c r="AC683" s="2"/>
      <c r="AG683" s="2"/>
      <c r="AK683" s="2"/>
      <c r="AL683" s="2"/>
      <c r="AM683" s="2"/>
      <c r="AN683" s="3"/>
      <c r="AO683" s="2"/>
      <c r="AU683" s="5"/>
    </row>
    <row r="684" ht="15.75" customHeight="1" spans="1:47">
      <c r="A684" s="2"/>
      <c r="F684" s="2"/>
      <c r="G684" s="2"/>
      <c r="K684" s="2"/>
      <c r="O684" s="2"/>
      <c r="P684" s="2"/>
      <c r="R684" s="2"/>
      <c r="T684" s="2"/>
      <c r="X684" s="2"/>
      <c r="Y684" s="2"/>
      <c r="Z684" s="2"/>
      <c r="AA684" s="2"/>
      <c r="AB684" s="2"/>
      <c r="AC684" s="2"/>
      <c r="AG684" s="2"/>
      <c r="AK684" s="2"/>
      <c r="AL684" s="2"/>
      <c r="AM684" s="2"/>
      <c r="AN684" s="3"/>
      <c r="AO684" s="2"/>
      <c r="AU684" s="5"/>
    </row>
    <row r="685" ht="15.75" customHeight="1" spans="1:47">
      <c r="A685" s="2"/>
      <c r="F685" s="2"/>
      <c r="G685" s="2"/>
      <c r="K685" s="2"/>
      <c r="O685" s="2"/>
      <c r="P685" s="2"/>
      <c r="R685" s="2"/>
      <c r="T685" s="2"/>
      <c r="X685" s="2"/>
      <c r="Y685" s="2"/>
      <c r="Z685" s="2"/>
      <c r="AA685" s="2"/>
      <c r="AB685" s="2"/>
      <c r="AC685" s="2"/>
      <c r="AG685" s="2"/>
      <c r="AK685" s="2"/>
      <c r="AL685" s="2"/>
      <c r="AM685" s="2"/>
      <c r="AN685" s="3"/>
      <c r="AO685" s="2"/>
      <c r="AU685" s="5"/>
    </row>
    <row r="686" ht="15.75" customHeight="1" spans="1:47">
      <c r="A686" s="2"/>
      <c r="F686" s="2"/>
      <c r="G686" s="2"/>
      <c r="K686" s="2"/>
      <c r="O686" s="2"/>
      <c r="P686" s="2"/>
      <c r="R686" s="2"/>
      <c r="T686" s="2"/>
      <c r="X686" s="2"/>
      <c r="Y686" s="2"/>
      <c r="Z686" s="2"/>
      <c r="AA686" s="2"/>
      <c r="AB686" s="2"/>
      <c r="AC686" s="2"/>
      <c r="AG686" s="2"/>
      <c r="AK686" s="2"/>
      <c r="AL686" s="2"/>
      <c r="AM686" s="2"/>
      <c r="AN686" s="3"/>
      <c r="AO686" s="2"/>
      <c r="AU686" s="5"/>
    </row>
    <row r="687" ht="15.75" customHeight="1" spans="1:47">
      <c r="A687" s="2"/>
      <c r="F687" s="2"/>
      <c r="G687" s="2"/>
      <c r="K687" s="2"/>
      <c r="O687" s="2"/>
      <c r="P687" s="2"/>
      <c r="R687" s="2"/>
      <c r="T687" s="2"/>
      <c r="X687" s="2"/>
      <c r="Y687" s="2"/>
      <c r="Z687" s="2"/>
      <c r="AA687" s="2"/>
      <c r="AB687" s="2"/>
      <c r="AC687" s="2"/>
      <c r="AG687" s="2"/>
      <c r="AK687" s="2"/>
      <c r="AL687" s="2"/>
      <c r="AM687" s="2"/>
      <c r="AN687" s="3"/>
      <c r="AO687" s="2"/>
      <c r="AU687" s="5"/>
    </row>
    <row r="688" ht="15.75" customHeight="1" spans="1:47">
      <c r="A688" s="2"/>
      <c r="F688" s="2"/>
      <c r="G688" s="2"/>
      <c r="K688" s="2"/>
      <c r="O688" s="2"/>
      <c r="P688" s="2"/>
      <c r="R688" s="2"/>
      <c r="T688" s="2"/>
      <c r="X688" s="2"/>
      <c r="Y688" s="2"/>
      <c r="Z688" s="2"/>
      <c r="AA688" s="2"/>
      <c r="AB688" s="2"/>
      <c r="AC688" s="2"/>
      <c r="AG688" s="2"/>
      <c r="AK688" s="2"/>
      <c r="AL688" s="2"/>
      <c r="AM688" s="2"/>
      <c r="AN688" s="3"/>
      <c r="AO688" s="2"/>
      <c r="AU688" s="5"/>
    </row>
    <row r="689" ht="15.75" customHeight="1" spans="1:47">
      <c r="A689" s="2"/>
      <c r="F689" s="2"/>
      <c r="G689" s="2"/>
      <c r="K689" s="2"/>
      <c r="O689" s="2"/>
      <c r="P689" s="2"/>
      <c r="R689" s="2"/>
      <c r="T689" s="2"/>
      <c r="X689" s="2"/>
      <c r="Y689" s="2"/>
      <c r="Z689" s="2"/>
      <c r="AA689" s="2"/>
      <c r="AB689" s="2"/>
      <c r="AC689" s="2"/>
      <c r="AG689" s="2"/>
      <c r="AK689" s="2"/>
      <c r="AL689" s="2"/>
      <c r="AM689" s="2"/>
      <c r="AN689" s="3"/>
      <c r="AO689" s="2"/>
      <c r="AU689" s="5"/>
    </row>
    <row r="690" ht="15.75" customHeight="1" spans="1:47">
      <c r="A690" s="2"/>
      <c r="F690" s="2"/>
      <c r="G690" s="2"/>
      <c r="K690" s="2"/>
      <c r="O690" s="2"/>
      <c r="P690" s="2"/>
      <c r="R690" s="2"/>
      <c r="T690" s="2"/>
      <c r="X690" s="2"/>
      <c r="Y690" s="2"/>
      <c r="Z690" s="2"/>
      <c r="AA690" s="2"/>
      <c r="AB690" s="2"/>
      <c r="AC690" s="2"/>
      <c r="AG690" s="2"/>
      <c r="AK690" s="2"/>
      <c r="AL690" s="2"/>
      <c r="AM690" s="2"/>
      <c r="AN690" s="3"/>
      <c r="AO690" s="2"/>
      <c r="AU690" s="5"/>
    </row>
    <row r="691" ht="15.75" customHeight="1" spans="1:47">
      <c r="A691" s="2"/>
      <c r="F691" s="2"/>
      <c r="G691" s="2"/>
      <c r="K691" s="2"/>
      <c r="O691" s="2"/>
      <c r="P691" s="2"/>
      <c r="R691" s="2"/>
      <c r="T691" s="2"/>
      <c r="X691" s="2"/>
      <c r="Y691" s="2"/>
      <c r="Z691" s="2"/>
      <c r="AA691" s="2"/>
      <c r="AB691" s="2"/>
      <c r="AC691" s="2"/>
      <c r="AG691" s="2"/>
      <c r="AK691" s="2"/>
      <c r="AL691" s="2"/>
      <c r="AM691" s="2"/>
      <c r="AN691" s="3"/>
      <c r="AO691" s="2"/>
      <c r="AU691" s="5"/>
    </row>
    <row r="692" ht="15.75" customHeight="1" spans="1:47">
      <c r="A692" s="2"/>
      <c r="F692" s="2"/>
      <c r="G692" s="2"/>
      <c r="K692" s="2"/>
      <c r="O692" s="2"/>
      <c r="P692" s="2"/>
      <c r="R692" s="2"/>
      <c r="T692" s="2"/>
      <c r="X692" s="2"/>
      <c r="Y692" s="2"/>
      <c r="Z692" s="2"/>
      <c r="AA692" s="2"/>
      <c r="AB692" s="2"/>
      <c r="AC692" s="2"/>
      <c r="AG692" s="2"/>
      <c r="AK692" s="2"/>
      <c r="AL692" s="2"/>
      <c r="AM692" s="2"/>
      <c r="AN692" s="3"/>
      <c r="AO692" s="2"/>
      <c r="AU692" s="5"/>
    </row>
    <row r="693" ht="15.75" customHeight="1" spans="1:47">
      <c r="A693" s="2"/>
      <c r="F693" s="2"/>
      <c r="G693" s="2"/>
      <c r="K693" s="2"/>
      <c r="O693" s="2"/>
      <c r="P693" s="2"/>
      <c r="R693" s="2"/>
      <c r="T693" s="2"/>
      <c r="X693" s="2"/>
      <c r="Y693" s="2"/>
      <c r="Z693" s="2"/>
      <c r="AA693" s="2"/>
      <c r="AB693" s="2"/>
      <c r="AC693" s="2"/>
      <c r="AG693" s="2"/>
      <c r="AK693" s="2"/>
      <c r="AL693" s="2"/>
      <c r="AM693" s="2"/>
      <c r="AN693" s="3"/>
      <c r="AO693" s="2"/>
      <c r="AU693" s="5"/>
    </row>
    <row r="694" ht="15.75" customHeight="1" spans="1:47">
      <c r="A694" s="2"/>
      <c r="F694" s="2"/>
      <c r="G694" s="2"/>
      <c r="K694" s="2"/>
      <c r="O694" s="2"/>
      <c r="P694" s="2"/>
      <c r="R694" s="2"/>
      <c r="T694" s="2"/>
      <c r="X694" s="2"/>
      <c r="Y694" s="2"/>
      <c r="Z694" s="2"/>
      <c r="AA694" s="2"/>
      <c r="AB694" s="2"/>
      <c r="AC694" s="2"/>
      <c r="AG694" s="2"/>
      <c r="AK694" s="2"/>
      <c r="AL694" s="2"/>
      <c r="AM694" s="2"/>
      <c r="AN694" s="3"/>
      <c r="AO694" s="2"/>
      <c r="AU694" s="5"/>
    </row>
    <row r="695" ht="15.75" customHeight="1" spans="1:47">
      <c r="A695" s="2"/>
      <c r="F695" s="2"/>
      <c r="G695" s="2"/>
      <c r="K695" s="2"/>
      <c r="O695" s="2"/>
      <c r="P695" s="2"/>
      <c r="R695" s="2"/>
      <c r="T695" s="2"/>
      <c r="X695" s="2"/>
      <c r="Y695" s="2"/>
      <c r="Z695" s="2"/>
      <c r="AA695" s="2"/>
      <c r="AB695" s="2"/>
      <c r="AC695" s="2"/>
      <c r="AG695" s="2"/>
      <c r="AK695" s="2"/>
      <c r="AL695" s="2"/>
      <c r="AM695" s="2"/>
      <c r="AN695" s="3"/>
      <c r="AO695" s="2"/>
      <c r="AU695" s="5"/>
    </row>
    <row r="696" ht="15.75" customHeight="1" spans="1:47">
      <c r="A696" s="2"/>
      <c r="F696" s="2"/>
      <c r="G696" s="2"/>
      <c r="K696" s="2"/>
      <c r="O696" s="2"/>
      <c r="P696" s="2"/>
      <c r="R696" s="2"/>
      <c r="T696" s="2"/>
      <c r="X696" s="2"/>
      <c r="Y696" s="2"/>
      <c r="Z696" s="2"/>
      <c r="AA696" s="2"/>
      <c r="AB696" s="2"/>
      <c r="AC696" s="2"/>
      <c r="AG696" s="2"/>
      <c r="AK696" s="2"/>
      <c r="AL696" s="2"/>
      <c r="AM696" s="2"/>
      <c r="AN696" s="3"/>
      <c r="AO696" s="2"/>
      <c r="AU696" s="5"/>
    </row>
    <row r="697" ht="15.75" customHeight="1" spans="1:47">
      <c r="A697" s="2"/>
      <c r="F697" s="2"/>
      <c r="G697" s="2"/>
      <c r="K697" s="2"/>
      <c r="O697" s="2"/>
      <c r="P697" s="2"/>
      <c r="R697" s="2"/>
      <c r="T697" s="2"/>
      <c r="X697" s="2"/>
      <c r="Y697" s="2"/>
      <c r="Z697" s="2"/>
      <c r="AA697" s="2"/>
      <c r="AB697" s="2"/>
      <c r="AC697" s="2"/>
      <c r="AG697" s="2"/>
      <c r="AK697" s="2"/>
      <c r="AL697" s="2"/>
      <c r="AM697" s="2"/>
      <c r="AN697" s="3"/>
      <c r="AO697" s="2"/>
      <c r="AU697" s="5"/>
    </row>
    <row r="698" ht="15.75" customHeight="1" spans="1:47">
      <c r="A698" s="2"/>
      <c r="F698" s="2"/>
      <c r="G698" s="2"/>
      <c r="K698" s="2"/>
      <c r="O698" s="2"/>
      <c r="P698" s="2"/>
      <c r="R698" s="2"/>
      <c r="T698" s="2"/>
      <c r="X698" s="2"/>
      <c r="Y698" s="2"/>
      <c r="Z698" s="2"/>
      <c r="AA698" s="2"/>
      <c r="AB698" s="2"/>
      <c r="AC698" s="2"/>
      <c r="AG698" s="2"/>
      <c r="AK698" s="2"/>
      <c r="AL698" s="2"/>
      <c r="AM698" s="2"/>
      <c r="AN698" s="3"/>
      <c r="AO698" s="2"/>
      <c r="AU698" s="5"/>
    </row>
    <row r="699" ht="15.75" customHeight="1" spans="1:47">
      <c r="A699" s="2"/>
      <c r="F699" s="2"/>
      <c r="G699" s="2"/>
      <c r="K699" s="2"/>
      <c r="O699" s="2"/>
      <c r="P699" s="2"/>
      <c r="R699" s="2"/>
      <c r="T699" s="2"/>
      <c r="X699" s="2"/>
      <c r="Y699" s="2"/>
      <c r="Z699" s="2"/>
      <c r="AA699" s="2"/>
      <c r="AB699" s="2"/>
      <c r="AC699" s="2"/>
      <c r="AG699" s="2"/>
      <c r="AK699" s="2"/>
      <c r="AL699" s="2"/>
      <c r="AM699" s="2"/>
      <c r="AN699" s="3"/>
      <c r="AO699" s="2"/>
      <c r="AU699" s="5"/>
    </row>
    <row r="700" ht="15.75" customHeight="1" spans="1:47">
      <c r="A700" s="2"/>
      <c r="F700" s="2"/>
      <c r="G700" s="2"/>
      <c r="K700" s="2"/>
      <c r="O700" s="2"/>
      <c r="P700" s="2"/>
      <c r="R700" s="2"/>
      <c r="T700" s="2"/>
      <c r="X700" s="2"/>
      <c r="Y700" s="2"/>
      <c r="Z700" s="2"/>
      <c r="AA700" s="2"/>
      <c r="AB700" s="2"/>
      <c r="AC700" s="2"/>
      <c r="AG700" s="2"/>
      <c r="AK700" s="2"/>
      <c r="AL700" s="2"/>
      <c r="AM700" s="2"/>
      <c r="AN700" s="3"/>
      <c r="AO700" s="2"/>
      <c r="AU700" s="5"/>
    </row>
    <row r="701" ht="15.75" customHeight="1" spans="1:47">
      <c r="A701" s="2"/>
      <c r="F701" s="2"/>
      <c r="G701" s="2"/>
      <c r="K701" s="2"/>
      <c r="O701" s="2"/>
      <c r="P701" s="2"/>
      <c r="R701" s="2"/>
      <c r="T701" s="2"/>
      <c r="X701" s="2"/>
      <c r="Y701" s="2"/>
      <c r="Z701" s="2"/>
      <c r="AA701" s="2"/>
      <c r="AB701" s="2"/>
      <c r="AC701" s="2"/>
      <c r="AG701" s="2"/>
      <c r="AK701" s="2"/>
      <c r="AL701" s="2"/>
      <c r="AM701" s="2"/>
      <c r="AN701" s="3"/>
      <c r="AO701" s="2"/>
      <c r="AU701" s="5"/>
    </row>
    <row r="702" ht="15.75" customHeight="1" spans="1:47">
      <c r="A702" s="2"/>
      <c r="F702" s="2"/>
      <c r="G702" s="2"/>
      <c r="K702" s="2"/>
      <c r="O702" s="2"/>
      <c r="P702" s="2"/>
      <c r="R702" s="2"/>
      <c r="T702" s="2"/>
      <c r="X702" s="2"/>
      <c r="Y702" s="2"/>
      <c r="Z702" s="2"/>
      <c r="AA702" s="2"/>
      <c r="AB702" s="2"/>
      <c r="AC702" s="2"/>
      <c r="AG702" s="2"/>
      <c r="AK702" s="2"/>
      <c r="AL702" s="2"/>
      <c r="AM702" s="2"/>
      <c r="AN702" s="3"/>
      <c r="AO702" s="2"/>
      <c r="AU702" s="5"/>
    </row>
    <row r="703" ht="15.75" customHeight="1" spans="1:47">
      <c r="A703" s="2"/>
      <c r="F703" s="2"/>
      <c r="G703" s="2"/>
      <c r="K703" s="2"/>
      <c r="O703" s="2"/>
      <c r="P703" s="2"/>
      <c r="R703" s="2"/>
      <c r="T703" s="2"/>
      <c r="X703" s="2"/>
      <c r="Y703" s="2"/>
      <c r="Z703" s="2"/>
      <c r="AA703" s="2"/>
      <c r="AB703" s="2"/>
      <c r="AC703" s="2"/>
      <c r="AG703" s="2"/>
      <c r="AK703" s="2"/>
      <c r="AL703" s="2"/>
      <c r="AM703" s="2"/>
      <c r="AN703" s="3"/>
      <c r="AO703" s="2"/>
      <c r="AU703" s="5"/>
    </row>
    <row r="704" ht="15.75" customHeight="1" spans="1:47">
      <c r="A704" s="2"/>
      <c r="F704" s="2"/>
      <c r="G704" s="2"/>
      <c r="K704" s="2"/>
      <c r="O704" s="2"/>
      <c r="P704" s="2"/>
      <c r="R704" s="2"/>
      <c r="T704" s="2"/>
      <c r="X704" s="2"/>
      <c r="Y704" s="2"/>
      <c r="Z704" s="2"/>
      <c r="AA704" s="2"/>
      <c r="AB704" s="2"/>
      <c r="AC704" s="2"/>
      <c r="AG704" s="2"/>
      <c r="AK704" s="2"/>
      <c r="AL704" s="2"/>
      <c r="AM704" s="2"/>
      <c r="AN704" s="3"/>
      <c r="AO704" s="2"/>
      <c r="AU704" s="5"/>
    </row>
    <row r="705" ht="15.75" customHeight="1" spans="1:47">
      <c r="A705" s="2"/>
      <c r="F705" s="2"/>
      <c r="G705" s="2"/>
      <c r="K705" s="2"/>
      <c r="O705" s="2"/>
      <c r="P705" s="2"/>
      <c r="R705" s="2"/>
      <c r="T705" s="2"/>
      <c r="X705" s="2"/>
      <c r="Y705" s="2"/>
      <c r="Z705" s="2"/>
      <c r="AA705" s="2"/>
      <c r="AB705" s="2"/>
      <c r="AC705" s="2"/>
      <c r="AG705" s="2"/>
      <c r="AK705" s="2"/>
      <c r="AL705" s="2"/>
      <c r="AM705" s="2"/>
      <c r="AN705" s="3"/>
      <c r="AO705" s="2"/>
      <c r="AU705" s="5"/>
    </row>
    <row r="706" ht="15.75" customHeight="1" spans="1:47">
      <c r="A706" s="2"/>
      <c r="F706" s="2"/>
      <c r="G706" s="2"/>
      <c r="K706" s="2"/>
      <c r="O706" s="2"/>
      <c r="P706" s="2"/>
      <c r="R706" s="2"/>
      <c r="T706" s="2"/>
      <c r="X706" s="2"/>
      <c r="Y706" s="2"/>
      <c r="Z706" s="2"/>
      <c r="AA706" s="2"/>
      <c r="AB706" s="2"/>
      <c r="AC706" s="2"/>
      <c r="AG706" s="2"/>
      <c r="AK706" s="2"/>
      <c r="AL706" s="2"/>
      <c r="AM706" s="2"/>
      <c r="AN706" s="3"/>
      <c r="AO706" s="2"/>
      <c r="AU706" s="5"/>
    </row>
    <row r="707" ht="15.75" customHeight="1" spans="1:47">
      <c r="A707" s="2"/>
      <c r="F707" s="2"/>
      <c r="G707" s="2"/>
      <c r="K707" s="2"/>
      <c r="O707" s="2"/>
      <c r="P707" s="2"/>
      <c r="R707" s="2"/>
      <c r="T707" s="2"/>
      <c r="X707" s="2"/>
      <c r="Y707" s="2"/>
      <c r="Z707" s="2"/>
      <c r="AA707" s="2"/>
      <c r="AB707" s="2"/>
      <c r="AC707" s="2"/>
      <c r="AG707" s="2"/>
      <c r="AK707" s="2"/>
      <c r="AL707" s="2"/>
      <c r="AM707" s="2"/>
      <c r="AN707" s="3"/>
      <c r="AO707" s="2"/>
      <c r="AU707" s="5"/>
    </row>
    <row r="708" ht="15.75" customHeight="1" spans="1:47">
      <c r="A708" s="2"/>
      <c r="F708" s="2"/>
      <c r="G708" s="2"/>
      <c r="K708" s="2"/>
      <c r="O708" s="2"/>
      <c r="P708" s="2"/>
      <c r="R708" s="2"/>
      <c r="T708" s="2"/>
      <c r="X708" s="2"/>
      <c r="Y708" s="2"/>
      <c r="Z708" s="2"/>
      <c r="AA708" s="2"/>
      <c r="AB708" s="2"/>
      <c r="AC708" s="2"/>
      <c r="AG708" s="2"/>
      <c r="AK708" s="2"/>
      <c r="AL708" s="2"/>
      <c r="AM708" s="2"/>
      <c r="AN708" s="3"/>
      <c r="AO708" s="2"/>
      <c r="AU708" s="5"/>
    </row>
    <row r="709" ht="15.75" customHeight="1" spans="1:47">
      <c r="A709" s="2"/>
      <c r="F709" s="2"/>
      <c r="G709" s="2"/>
      <c r="K709" s="2"/>
      <c r="O709" s="2"/>
      <c r="P709" s="2"/>
      <c r="R709" s="2"/>
      <c r="T709" s="2"/>
      <c r="X709" s="2"/>
      <c r="Y709" s="2"/>
      <c r="Z709" s="2"/>
      <c r="AA709" s="2"/>
      <c r="AB709" s="2"/>
      <c r="AC709" s="2"/>
      <c r="AG709" s="2"/>
      <c r="AK709" s="2"/>
      <c r="AL709" s="2"/>
      <c r="AM709" s="2"/>
      <c r="AN709" s="3"/>
      <c r="AO709" s="2"/>
      <c r="AU709" s="5"/>
    </row>
    <row r="710" ht="15.75" customHeight="1" spans="1:47">
      <c r="A710" s="2"/>
      <c r="F710" s="2"/>
      <c r="G710" s="2"/>
      <c r="K710" s="2"/>
      <c r="O710" s="2"/>
      <c r="P710" s="2"/>
      <c r="R710" s="2"/>
      <c r="T710" s="2"/>
      <c r="X710" s="2"/>
      <c r="Y710" s="2"/>
      <c r="Z710" s="2"/>
      <c r="AA710" s="2"/>
      <c r="AB710" s="2"/>
      <c r="AC710" s="2"/>
      <c r="AG710" s="2"/>
      <c r="AK710" s="2"/>
      <c r="AL710" s="2"/>
      <c r="AM710" s="2"/>
      <c r="AN710" s="3"/>
      <c r="AO710" s="2"/>
      <c r="AU710" s="5"/>
    </row>
    <row r="711" ht="15.75" customHeight="1" spans="1:47">
      <c r="A711" s="2"/>
      <c r="F711" s="2"/>
      <c r="G711" s="2"/>
      <c r="K711" s="2"/>
      <c r="O711" s="2"/>
      <c r="P711" s="2"/>
      <c r="R711" s="2"/>
      <c r="T711" s="2"/>
      <c r="X711" s="2"/>
      <c r="Y711" s="2"/>
      <c r="Z711" s="2"/>
      <c r="AA711" s="2"/>
      <c r="AB711" s="2"/>
      <c r="AC711" s="2"/>
      <c r="AG711" s="2"/>
      <c r="AK711" s="2"/>
      <c r="AL711" s="2"/>
      <c r="AM711" s="2"/>
      <c r="AN711" s="3"/>
      <c r="AO711" s="2"/>
      <c r="AU711" s="5"/>
    </row>
    <row r="712" ht="15.75" customHeight="1" spans="1:47">
      <c r="A712" s="2"/>
      <c r="F712" s="2"/>
      <c r="G712" s="2"/>
      <c r="K712" s="2"/>
      <c r="O712" s="2"/>
      <c r="P712" s="2"/>
      <c r="R712" s="2"/>
      <c r="T712" s="2"/>
      <c r="X712" s="2"/>
      <c r="Y712" s="2"/>
      <c r="Z712" s="2"/>
      <c r="AA712" s="2"/>
      <c r="AB712" s="2"/>
      <c r="AC712" s="2"/>
      <c r="AG712" s="2"/>
      <c r="AK712" s="2"/>
      <c r="AL712" s="2"/>
      <c r="AM712" s="2"/>
      <c r="AN712" s="3"/>
      <c r="AO712" s="2"/>
      <c r="AU712" s="5"/>
    </row>
    <row r="713" ht="15.75" customHeight="1" spans="1:47">
      <c r="A713" s="2"/>
      <c r="F713" s="2"/>
      <c r="G713" s="2"/>
      <c r="K713" s="2"/>
      <c r="O713" s="2"/>
      <c r="P713" s="2"/>
      <c r="R713" s="2"/>
      <c r="T713" s="2"/>
      <c r="X713" s="2"/>
      <c r="Y713" s="2"/>
      <c r="Z713" s="2"/>
      <c r="AA713" s="2"/>
      <c r="AB713" s="2"/>
      <c r="AC713" s="2"/>
      <c r="AG713" s="2"/>
      <c r="AK713" s="2"/>
      <c r="AL713" s="2"/>
      <c r="AM713" s="2"/>
      <c r="AN713" s="3"/>
      <c r="AO713" s="2"/>
      <c r="AU713" s="5"/>
    </row>
    <row r="714" ht="15.75" customHeight="1" spans="1:47">
      <c r="A714" s="2"/>
      <c r="F714" s="2"/>
      <c r="G714" s="2"/>
      <c r="K714" s="2"/>
      <c r="O714" s="2"/>
      <c r="P714" s="2"/>
      <c r="R714" s="2"/>
      <c r="T714" s="2"/>
      <c r="X714" s="2"/>
      <c r="Y714" s="2"/>
      <c r="Z714" s="2"/>
      <c r="AA714" s="2"/>
      <c r="AB714" s="2"/>
      <c r="AC714" s="2"/>
      <c r="AG714" s="2"/>
      <c r="AK714" s="2"/>
      <c r="AL714" s="2"/>
      <c r="AM714" s="2"/>
      <c r="AN714" s="3"/>
      <c r="AO714" s="2"/>
      <c r="AU714" s="5"/>
    </row>
    <row r="715" ht="15.75" customHeight="1" spans="1:47">
      <c r="A715" s="2"/>
      <c r="F715" s="2"/>
      <c r="G715" s="2"/>
      <c r="K715" s="2"/>
      <c r="O715" s="2"/>
      <c r="P715" s="2"/>
      <c r="R715" s="2"/>
      <c r="T715" s="2"/>
      <c r="X715" s="2"/>
      <c r="Y715" s="2"/>
      <c r="Z715" s="2"/>
      <c r="AA715" s="2"/>
      <c r="AB715" s="2"/>
      <c r="AC715" s="2"/>
      <c r="AG715" s="2"/>
      <c r="AK715" s="2"/>
      <c r="AL715" s="2"/>
      <c r="AM715" s="2"/>
      <c r="AN715" s="3"/>
      <c r="AO715" s="2"/>
      <c r="AU715" s="5"/>
    </row>
    <row r="716" ht="15.75" customHeight="1" spans="1:47">
      <c r="A716" s="2"/>
      <c r="F716" s="2"/>
      <c r="G716" s="2"/>
      <c r="K716" s="2"/>
      <c r="O716" s="2"/>
      <c r="P716" s="2"/>
      <c r="R716" s="2"/>
      <c r="T716" s="2"/>
      <c r="X716" s="2"/>
      <c r="Y716" s="2"/>
      <c r="Z716" s="2"/>
      <c r="AA716" s="2"/>
      <c r="AB716" s="2"/>
      <c r="AC716" s="2"/>
      <c r="AG716" s="2"/>
      <c r="AK716" s="2"/>
      <c r="AL716" s="2"/>
      <c r="AM716" s="2"/>
      <c r="AN716" s="3"/>
      <c r="AO716" s="2"/>
      <c r="AU716" s="5"/>
    </row>
    <row r="717" ht="15.75" customHeight="1" spans="1:47">
      <c r="A717" s="2"/>
      <c r="F717" s="2"/>
      <c r="G717" s="2"/>
      <c r="K717" s="2"/>
      <c r="O717" s="2"/>
      <c r="P717" s="2"/>
      <c r="R717" s="2"/>
      <c r="T717" s="2"/>
      <c r="X717" s="2"/>
      <c r="Y717" s="2"/>
      <c r="Z717" s="2"/>
      <c r="AA717" s="2"/>
      <c r="AB717" s="2"/>
      <c r="AC717" s="2"/>
      <c r="AG717" s="2"/>
      <c r="AK717" s="2"/>
      <c r="AL717" s="2"/>
      <c r="AM717" s="2"/>
      <c r="AN717" s="3"/>
      <c r="AO717" s="2"/>
      <c r="AU717" s="5"/>
    </row>
    <row r="718" ht="15.75" customHeight="1" spans="1:47">
      <c r="A718" s="2"/>
      <c r="F718" s="2"/>
      <c r="G718" s="2"/>
      <c r="K718" s="2"/>
      <c r="O718" s="2"/>
      <c r="P718" s="2"/>
      <c r="R718" s="2"/>
      <c r="T718" s="2"/>
      <c r="X718" s="2"/>
      <c r="Y718" s="2"/>
      <c r="Z718" s="2"/>
      <c r="AA718" s="2"/>
      <c r="AB718" s="2"/>
      <c r="AC718" s="2"/>
      <c r="AG718" s="2"/>
      <c r="AK718" s="2"/>
      <c r="AL718" s="2"/>
      <c r="AM718" s="2"/>
      <c r="AN718" s="3"/>
      <c r="AO718" s="2"/>
      <c r="AU718" s="5"/>
    </row>
    <row r="719" ht="15.75" customHeight="1" spans="1:47">
      <c r="A719" s="2"/>
      <c r="F719" s="2"/>
      <c r="G719" s="2"/>
      <c r="K719" s="2"/>
      <c r="O719" s="2"/>
      <c r="P719" s="2"/>
      <c r="R719" s="2"/>
      <c r="T719" s="2"/>
      <c r="X719" s="2"/>
      <c r="Y719" s="2"/>
      <c r="Z719" s="2"/>
      <c r="AA719" s="2"/>
      <c r="AB719" s="2"/>
      <c r="AC719" s="2"/>
      <c r="AG719" s="2"/>
      <c r="AK719" s="2"/>
      <c r="AL719" s="2"/>
      <c r="AM719" s="2"/>
      <c r="AN719" s="3"/>
      <c r="AO719" s="2"/>
      <c r="AU719" s="5"/>
    </row>
    <row r="720" ht="15.75" customHeight="1" spans="1:47">
      <c r="A720" s="2"/>
      <c r="F720" s="2"/>
      <c r="G720" s="2"/>
      <c r="K720" s="2"/>
      <c r="O720" s="2"/>
      <c r="P720" s="2"/>
      <c r="R720" s="2"/>
      <c r="T720" s="2"/>
      <c r="X720" s="2"/>
      <c r="Y720" s="2"/>
      <c r="Z720" s="2"/>
      <c r="AA720" s="2"/>
      <c r="AB720" s="2"/>
      <c r="AC720" s="2"/>
      <c r="AG720" s="2"/>
      <c r="AK720" s="2"/>
      <c r="AL720" s="2"/>
      <c r="AM720" s="2"/>
      <c r="AN720" s="3"/>
      <c r="AO720" s="2"/>
      <c r="AU720" s="5"/>
    </row>
    <row r="721" ht="15.75" customHeight="1" spans="1:47">
      <c r="A721" s="2"/>
      <c r="F721" s="2"/>
      <c r="G721" s="2"/>
      <c r="K721" s="2"/>
      <c r="O721" s="2"/>
      <c r="P721" s="2"/>
      <c r="R721" s="2"/>
      <c r="T721" s="2"/>
      <c r="X721" s="2"/>
      <c r="Y721" s="2"/>
      <c r="Z721" s="2"/>
      <c r="AA721" s="2"/>
      <c r="AB721" s="2"/>
      <c r="AC721" s="2"/>
      <c r="AG721" s="2"/>
      <c r="AK721" s="2"/>
      <c r="AL721" s="2"/>
      <c r="AM721" s="2"/>
      <c r="AN721" s="3"/>
      <c r="AO721" s="2"/>
      <c r="AU721" s="5"/>
    </row>
    <row r="722" ht="15.75" customHeight="1" spans="1:47">
      <c r="A722" s="2"/>
      <c r="F722" s="2"/>
      <c r="G722" s="2"/>
      <c r="K722" s="2"/>
      <c r="O722" s="2"/>
      <c r="P722" s="2"/>
      <c r="R722" s="2"/>
      <c r="T722" s="2"/>
      <c r="X722" s="2"/>
      <c r="Y722" s="2"/>
      <c r="Z722" s="2"/>
      <c r="AA722" s="2"/>
      <c r="AB722" s="2"/>
      <c r="AC722" s="2"/>
      <c r="AG722" s="2"/>
      <c r="AK722" s="2"/>
      <c r="AL722" s="2"/>
      <c r="AM722" s="2"/>
      <c r="AN722" s="3"/>
      <c r="AO722" s="2"/>
      <c r="AU722" s="5"/>
    </row>
    <row r="723" ht="15.75" customHeight="1" spans="1:47">
      <c r="A723" s="2"/>
      <c r="F723" s="2"/>
      <c r="G723" s="2"/>
      <c r="K723" s="2"/>
      <c r="O723" s="2"/>
      <c r="P723" s="2"/>
      <c r="R723" s="2"/>
      <c r="T723" s="2"/>
      <c r="X723" s="2"/>
      <c r="Y723" s="2"/>
      <c r="Z723" s="2"/>
      <c r="AA723" s="2"/>
      <c r="AB723" s="2"/>
      <c r="AC723" s="2"/>
      <c r="AG723" s="2"/>
      <c r="AK723" s="2"/>
      <c r="AL723" s="2"/>
      <c r="AM723" s="2"/>
      <c r="AN723" s="3"/>
      <c r="AO723" s="2"/>
      <c r="AU723" s="5"/>
    </row>
    <row r="724" ht="15.75" customHeight="1" spans="1:47">
      <c r="A724" s="2"/>
      <c r="F724" s="2"/>
      <c r="G724" s="2"/>
      <c r="K724" s="2"/>
      <c r="O724" s="2"/>
      <c r="P724" s="2"/>
      <c r="R724" s="2"/>
      <c r="T724" s="2"/>
      <c r="X724" s="2"/>
      <c r="Y724" s="2"/>
      <c r="Z724" s="2"/>
      <c r="AA724" s="2"/>
      <c r="AB724" s="2"/>
      <c r="AC724" s="2"/>
      <c r="AG724" s="2"/>
      <c r="AK724" s="2"/>
      <c r="AL724" s="2"/>
      <c r="AM724" s="2"/>
      <c r="AN724" s="3"/>
      <c r="AO724" s="2"/>
      <c r="AU724" s="5"/>
    </row>
    <row r="725" ht="15.75" customHeight="1" spans="1:47">
      <c r="A725" s="2"/>
      <c r="F725" s="2"/>
      <c r="G725" s="2"/>
      <c r="K725" s="2"/>
      <c r="O725" s="2"/>
      <c r="P725" s="2"/>
      <c r="R725" s="2"/>
      <c r="T725" s="2"/>
      <c r="X725" s="2"/>
      <c r="Y725" s="2"/>
      <c r="Z725" s="2"/>
      <c r="AA725" s="2"/>
      <c r="AB725" s="2"/>
      <c r="AC725" s="2"/>
      <c r="AG725" s="2"/>
      <c r="AK725" s="2"/>
      <c r="AL725" s="2"/>
      <c r="AM725" s="2"/>
      <c r="AN725" s="3"/>
      <c r="AO725" s="2"/>
      <c r="AU725" s="5"/>
    </row>
    <row r="726" ht="15.75" customHeight="1" spans="1:47">
      <c r="A726" s="2"/>
      <c r="F726" s="2"/>
      <c r="G726" s="2"/>
      <c r="K726" s="2"/>
      <c r="O726" s="2"/>
      <c r="P726" s="2"/>
      <c r="R726" s="2"/>
      <c r="T726" s="2"/>
      <c r="X726" s="2"/>
      <c r="Y726" s="2"/>
      <c r="Z726" s="2"/>
      <c r="AA726" s="2"/>
      <c r="AB726" s="2"/>
      <c r="AC726" s="2"/>
      <c r="AG726" s="2"/>
      <c r="AK726" s="2"/>
      <c r="AL726" s="2"/>
      <c r="AM726" s="2"/>
      <c r="AN726" s="3"/>
      <c r="AO726" s="2"/>
      <c r="AU726" s="5"/>
    </row>
    <row r="727" ht="15.75" customHeight="1" spans="1:47">
      <c r="A727" s="2"/>
      <c r="F727" s="2"/>
      <c r="G727" s="2"/>
      <c r="K727" s="2"/>
      <c r="O727" s="2"/>
      <c r="P727" s="2"/>
      <c r="R727" s="2"/>
      <c r="T727" s="2"/>
      <c r="X727" s="2"/>
      <c r="Y727" s="2"/>
      <c r="Z727" s="2"/>
      <c r="AA727" s="2"/>
      <c r="AB727" s="2"/>
      <c r="AC727" s="2"/>
      <c r="AG727" s="2"/>
      <c r="AK727" s="2"/>
      <c r="AL727" s="2"/>
      <c r="AM727" s="2"/>
      <c r="AN727" s="3"/>
      <c r="AO727" s="2"/>
      <c r="AU727" s="5"/>
    </row>
    <row r="728" ht="15.75" customHeight="1" spans="1:47">
      <c r="A728" s="2"/>
      <c r="F728" s="2"/>
      <c r="G728" s="2"/>
      <c r="K728" s="2"/>
      <c r="O728" s="2"/>
      <c r="P728" s="2"/>
      <c r="R728" s="2"/>
      <c r="T728" s="2"/>
      <c r="X728" s="2"/>
      <c r="Y728" s="2"/>
      <c r="Z728" s="2"/>
      <c r="AA728" s="2"/>
      <c r="AB728" s="2"/>
      <c r="AC728" s="2"/>
      <c r="AG728" s="2"/>
      <c r="AK728" s="2"/>
      <c r="AL728" s="2"/>
      <c r="AM728" s="2"/>
      <c r="AN728" s="3"/>
      <c r="AO728" s="2"/>
      <c r="AU728" s="5"/>
    </row>
    <row r="729" ht="15.75" customHeight="1" spans="1:47">
      <c r="A729" s="2"/>
      <c r="F729" s="2"/>
      <c r="G729" s="2"/>
      <c r="K729" s="2"/>
      <c r="O729" s="2"/>
      <c r="P729" s="2"/>
      <c r="R729" s="2"/>
      <c r="T729" s="2"/>
      <c r="X729" s="2"/>
      <c r="Y729" s="2"/>
      <c r="Z729" s="2"/>
      <c r="AA729" s="2"/>
      <c r="AB729" s="2"/>
      <c r="AC729" s="2"/>
      <c r="AG729" s="2"/>
      <c r="AK729" s="2"/>
      <c r="AL729" s="2"/>
      <c r="AM729" s="2"/>
      <c r="AN729" s="3"/>
      <c r="AO729" s="2"/>
      <c r="AU729" s="5"/>
    </row>
    <row r="730" ht="15.75" customHeight="1" spans="1:47">
      <c r="A730" s="2"/>
      <c r="F730" s="2"/>
      <c r="G730" s="2"/>
      <c r="K730" s="2"/>
      <c r="O730" s="2"/>
      <c r="P730" s="2"/>
      <c r="R730" s="2"/>
      <c r="T730" s="2"/>
      <c r="X730" s="2"/>
      <c r="Y730" s="2"/>
      <c r="Z730" s="2"/>
      <c r="AA730" s="2"/>
      <c r="AB730" s="2"/>
      <c r="AC730" s="2"/>
      <c r="AG730" s="2"/>
      <c r="AK730" s="2"/>
      <c r="AL730" s="2"/>
      <c r="AM730" s="2"/>
      <c r="AN730" s="3"/>
      <c r="AO730" s="2"/>
      <c r="AU730" s="5"/>
    </row>
    <row r="731" ht="15.75" customHeight="1" spans="1:47">
      <c r="A731" s="2"/>
      <c r="F731" s="2"/>
      <c r="G731" s="2"/>
      <c r="K731" s="2"/>
      <c r="O731" s="2"/>
      <c r="P731" s="2"/>
      <c r="R731" s="2"/>
      <c r="T731" s="2"/>
      <c r="X731" s="2"/>
      <c r="Y731" s="2"/>
      <c r="Z731" s="2"/>
      <c r="AA731" s="2"/>
      <c r="AB731" s="2"/>
      <c r="AC731" s="2"/>
      <c r="AG731" s="2"/>
      <c r="AK731" s="2"/>
      <c r="AL731" s="2"/>
      <c r="AM731" s="2"/>
      <c r="AN731" s="3"/>
      <c r="AO731" s="2"/>
      <c r="AU731" s="5"/>
    </row>
    <row r="732" ht="15.75" customHeight="1" spans="1:47">
      <c r="A732" s="2"/>
      <c r="F732" s="2"/>
      <c r="G732" s="2"/>
      <c r="K732" s="2"/>
      <c r="O732" s="2"/>
      <c r="P732" s="2"/>
      <c r="R732" s="2"/>
      <c r="T732" s="2"/>
      <c r="X732" s="2"/>
      <c r="Y732" s="2"/>
      <c r="Z732" s="2"/>
      <c r="AA732" s="2"/>
      <c r="AB732" s="2"/>
      <c r="AC732" s="2"/>
      <c r="AG732" s="2"/>
      <c r="AK732" s="2"/>
      <c r="AL732" s="2"/>
      <c r="AM732" s="2"/>
      <c r="AN732" s="3"/>
      <c r="AO732" s="2"/>
      <c r="AU732" s="5"/>
    </row>
    <row r="733" ht="15.75" customHeight="1" spans="1:47">
      <c r="A733" s="2"/>
      <c r="F733" s="2"/>
      <c r="G733" s="2"/>
      <c r="K733" s="2"/>
      <c r="O733" s="2"/>
      <c r="P733" s="2"/>
      <c r="R733" s="2"/>
      <c r="T733" s="2"/>
      <c r="X733" s="2"/>
      <c r="Y733" s="2"/>
      <c r="Z733" s="2"/>
      <c r="AA733" s="2"/>
      <c r="AB733" s="2"/>
      <c r="AC733" s="2"/>
      <c r="AG733" s="2"/>
      <c r="AK733" s="2"/>
      <c r="AL733" s="2"/>
      <c r="AM733" s="2"/>
      <c r="AN733" s="3"/>
      <c r="AO733" s="2"/>
      <c r="AU733" s="5"/>
    </row>
    <row r="734" ht="15.75" customHeight="1" spans="1:47">
      <c r="A734" s="2"/>
      <c r="F734" s="2"/>
      <c r="G734" s="2"/>
      <c r="K734" s="2"/>
      <c r="O734" s="2"/>
      <c r="P734" s="2"/>
      <c r="R734" s="2"/>
      <c r="T734" s="2"/>
      <c r="X734" s="2"/>
      <c r="Y734" s="2"/>
      <c r="Z734" s="2"/>
      <c r="AA734" s="2"/>
      <c r="AB734" s="2"/>
      <c r="AC734" s="2"/>
      <c r="AG734" s="2"/>
      <c r="AK734" s="2"/>
      <c r="AL734" s="2"/>
      <c r="AM734" s="2"/>
      <c r="AN734" s="3"/>
      <c r="AO734" s="2"/>
      <c r="AU734" s="5"/>
    </row>
    <row r="735" ht="15.75" customHeight="1" spans="1:47">
      <c r="A735" s="2"/>
      <c r="F735" s="2"/>
      <c r="G735" s="2"/>
      <c r="K735" s="2"/>
      <c r="O735" s="2"/>
      <c r="P735" s="2"/>
      <c r="R735" s="2"/>
      <c r="T735" s="2"/>
      <c r="X735" s="2"/>
      <c r="Y735" s="2"/>
      <c r="Z735" s="2"/>
      <c r="AA735" s="2"/>
      <c r="AB735" s="2"/>
      <c r="AC735" s="2"/>
      <c r="AG735" s="2"/>
      <c r="AK735" s="2"/>
      <c r="AL735" s="2"/>
      <c r="AM735" s="2"/>
      <c r="AN735" s="3"/>
      <c r="AO735" s="2"/>
      <c r="AU735" s="5"/>
    </row>
    <row r="736" ht="15.75" customHeight="1" spans="1:47">
      <c r="A736" s="2"/>
      <c r="F736" s="2"/>
      <c r="G736" s="2"/>
      <c r="K736" s="2"/>
      <c r="O736" s="2"/>
      <c r="P736" s="2"/>
      <c r="R736" s="2"/>
      <c r="T736" s="2"/>
      <c r="X736" s="2"/>
      <c r="Y736" s="2"/>
      <c r="Z736" s="2"/>
      <c r="AA736" s="2"/>
      <c r="AB736" s="2"/>
      <c r="AC736" s="2"/>
      <c r="AG736" s="2"/>
      <c r="AK736" s="2"/>
      <c r="AL736" s="2"/>
      <c r="AM736" s="2"/>
      <c r="AN736" s="3"/>
      <c r="AO736" s="2"/>
      <c r="AU736" s="5"/>
    </row>
    <row r="737" ht="15.75" customHeight="1" spans="1:47">
      <c r="A737" s="2"/>
      <c r="F737" s="2"/>
      <c r="G737" s="2"/>
      <c r="K737" s="2"/>
      <c r="O737" s="2"/>
      <c r="P737" s="2"/>
      <c r="R737" s="2"/>
      <c r="T737" s="2"/>
      <c r="X737" s="2"/>
      <c r="Y737" s="2"/>
      <c r="Z737" s="2"/>
      <c r="AA737" s="2"/>
      <c r="AB737" s="2"/>
      <c r="AC737" s="2"/>
      <c r="AG737" s="2"/>
      <c r="AK737" s="2"/>
      <c r="AL737" s="2"/>
      <c r="AM737" s="2"/>
      <c r="AN737" s="3"/>
      <c r="AO737" s="2"/>
      <c r="AU737" s="5"/>
    </row>
    <row r="738" ht="15.75" customHeight="1" spans="1:47">
      <c r="A738" s="2"/>
      <c r="F738" s="2"/>
      <c r="G738" s="2"/>
      <c r="K738" s="2"/>
      <c r="O738" s="2"/>
      <c r="P738" s="2"/>
      <c r="R738" s="2"/>
      <c r="T738" s="2"/>
      <c r="X738" s="2"/>
      <c r="Y738" s="2"/>
      <c r="Z738" s="2"/>
      <c r="AA738" s="2"/>
      <c r="AB738" s="2"/>
      <c r="AC738" s="2"/>
      <c r="AG738" s="2"/>
      <c r="AK738" s="2"/>
      <c r="AL738" s="2"/>
      <c r="AM738" s="2"/>
      <c r="AN738" s="3"/>
      <c r="AO738" s="2"/>
      <c r="AU738" s="5"/>
    </row>
    <row r="739" ht="15.75" customHeight="1" spans="1:47">
      <c r="A739" s="2"/>
      <c r="F739" s="2"/>
      <c r="G739" s="2"/>
      <c r="K739" s="2"/>
      <c r="O739" s="2"/>
      <c r="P739" s="2"/>
      <c r="R739" s="2"/>
      <c r="T739" s="2"/>
      <c r="X739" s="2"/>
      <c r="Y739" s="2"/>
      <c r="Z739" s="2"/>
      <c r="AA739" s="2"/>
      <c r="AB739" s="2"/>
      <c r="AC739" s="2"/>
      <c r="AG739" s="2"/>
      <c r="AK739" s="2"/>
      <c r="AL739" s="2"/>
      <c r="AM739" s="2"/>
      <c r="AN739" s="3"/>
      <c r="AO739" s="2"/>
      <c r="AU739" s="5"/>
    </row>
    <row r="740" ht="15.75" customHeight="1" spans="1:47">
      <c r="A740" s="2"/>
      <c r="F740" s="2"/>
      <c r="G740" s="2"/>
      <c r="K740" s="2"/>
      <c r="O740" s="2"/>
      <c r="P740" s="2"/>
      <c r="R740" s="2"/>
      <c r="T740" s="2"/>
      <c r="X740" s="2"/>
      <c r="Y740" s="2"/>
      <c r="Z740" s="2"/>
      <c r="AA740" s="2"/>
      <c r="AB740" s="2"/>
      <c r="AC740" s="2"/>
      <c r="AG740" s="2"/>
      <c r="AK740" s="2"/>
      <c r="AL740" s="2"/>
      <c r="AM740" s="2"/>
      <c r="AN740" s="3"/>
      <c r="AO740" s="2"/>
      <c r="AU740" s="5"/>
    </row>
    <row r="741" ht="15.75" customHeight="1" spans="1:47">
      <c r="A741" s="2"/>
      <c r="F741" s="2"/>
      <c r="G741" s="2"/>
      <c r="K741" s="2"/>
      <c r="O741" s="2"/>
      <c r="P741" s="2"/>
      <c r="R741" s="2"/>
      <c r="T741" s="2"/>
      <c r="X741" s="2"/>
      <c r="Y741" s="2"/>
      <c r="Z741" s="2"/>
      <c r="AA741" s="2"/>
      <c r="AB741" s="2"/>
      <c r="AC741" s="2"/>
      <c r="AG741" s="2"/>
      <c r="AK741" s="2"/>
      <c r="AL741" s="2"/>
      <c r="AM741" s="2"/>
      <c r="AN741" s="3"/>
      <c r="AO741" s="2"/>
      <c r="AU741" s="5"/>
    </row>
    <row r="742" ht="15.75" customHeight="1" spans="1:47">
      <c r="A742" s="2"/>
      <c r="F742" s="2"/>
      <c r="G742" s="2"/>
      <c r="K742" s="2"/>
      <c r="O742" s="2"/>
      <c r="P742" s="2"/>
      <c r="R742" s="2"/>
      <c r="T742" s="2"/>
      <c r="X742" s="2"/>
      <c r="Y742" s="2"/>
      <c r="Z742" s="2"/>
      <c r="AA742" s="2"/>
      <c r="AB742" s="2"/>
      <c r="AC742" s="2"/>
      <c r="AG742" s="2"/>
      <c r="AK742" s="2"/>
      <c r="AL742" s="2"/>
      <c r="AM742" s="2"/>
      <c r="AN742" s="3"/>
      <c r="AO742" s="2"/>
      <c r="AU742" s="5"/>
    </row>
    <row r="743" ht="15.75" customHeight="1" spans="1:47">
      <c r="A743" s="2"/>
      <c r="F743" s="2"/>
      <c r="G743" s="2"/>
      <c r="K743" s="2"/>
      <c r="O743" s="2"/>
      <c r="P743" s="2"/>
      <c r="R743" s="2"/>
      <c r="T743" s="2"/>
      <c r="X743" s="2"/>
      <c r="Y743" s="2"/>
      <c r="Z743" s="2"/>
      <c r="AA743" s="2"/>
      <c r="AB743" s="2"/>
      <c r="AC743" s="2"/>
      <c r="AG743" s="2"/>
      <c r="AK743" s="2"/>
      <c r="AL743" s="2"/>
      <c r="AM743" s="2"/>
      <c r="AN743" s="3"/>
      <c r="AO743" s="2"/>
      <c r="AU743" s="5"/>
    </row>
    <row r="744" ht="15.75" customHeight="1" spans="1:47">
      <c r="A744" s="2"/>
      <c r="F744" s="2"/>
      <c r="G744" s="2"/>
      <c r="K744" s="2"/>
      <c r="O744" s="2"/>
      <c r="P744" s="2"/>
      <c r="R744" s="2"/>
      <c r="T744" s="2"/>
      <c r="X744" s="2"/>
      <c r="Y744" s="2"/>
      <c r="Z744" s="2"/>
      <c r="AA744" s="2"/>
      <c r="AB744" s="2"/>
      <c r="AC744" s="2"/>
      <c r="AG744" s="2"/>
      <c r="AK744" s="2"/>
      <c r="AL744" s="2"/>
      <c r="AM744" s="2"/>
      <c r="AN744" s="3"/>
      <c r="AO744" s="2"/>
      <c r="AU744" s="5"/>
    </row>
    <row r="745" ht="15.75" customHeight="1" spans="1:47">
      <c r="A745" s="2"/>
      <c r="F745" s="2"/>
      <c r="G745" s="2"/>
      <c r="K745" s="2"/>
      <c r="O745" s="2"/>
      <c r="P745" s="2"/>
      <c r="R745" s="2"/>
      <c r="T745" s="2"/>
      <c r="X745" s="2"/>
      <c r="Y745" s="2"/>
      <c r="Z745" s="2"/>
      <c r="AA745" s="2"/>
      <c r="AB745" s="2"/>
      <c r="AC745" s="2"/>
      <c r="AG745" s="2"/>
      <c r="AK745" s="2"/>
      <c r="AL745" s="2"/>
      <c r="AM745" s="2"/>
      <c r="AN745" s="3"/>
      <c r="AO745" s="2"/>
      <c r="AU745" s="5"/>
    </row>
    <row r="746" ht="15.75" customHeight="1" spans="1:47">
      <c r="A746" s="2"/>
      <c r="F746" s="2"/>
      <c r="G746" s="2"/>
      <c r="K746" s="2"/>
      <c r="O746" s="2"/>
      <c r="P746" s="2"/>
      <c r="R746" s="2"/>
      <c r="T746" s="2"/>
      <c r="X746" s="2"/>
      <c r="Y746" s="2"/>
      <c r="Z746" s="2"/>
      <c r="AA746" s="2"/>
      <c r="AB746" s="2"/>
      <c r="AC746" s="2"/>
      <c r="AG746" s="2"/>
      <c r="AK746" s="2"/>
      <c r="AL746" s="2"/>
      <c r="AM746" s="2"/>
      <c r="AN746" s="3"/>
      <c r="AO746" s="2"/>
      <c r="AU746" s="5"/>
    </row>
    <row r="747" ht="15.75" customHeight="1" spans="1:47">
      <c r="A747" s="2"/>
      <c r="F747" s="2"/>
      <c r="G747" s="2"/>
      <c r="K747" s="2"/>
      <c r="O747" s="2"/>
      <c r="P747" s="2"/>
      <c r="R747" s="2"/>
      <c r="T747" s="2"/>
      <c r="X747" s="2"/>
      <c r="Y747" s="2"/>
      <c r="Z747" s="2"/>
      <c r="AA747" s="2"/>
      <c r="AB747" s="2"/>
      <c r="AC747" s="2"/>
      <c r="AG747" s="2"/>
      <c r="AK747" s="2"/>
      <c r="AL747" s="2"/>
      <c r="AM747" s="2"/>
      <c r="AN747" s="3"/>
      <c r="AO747" s="2"/>
      <c r="AU747" s="5"/>
    </row>
    <row r="748" ht="15.75" customHeight="1" spans="1:47">
      <c r="A748" s="2"/>
      <c r="F748" s="2"/>
      <c r="G748" s="2"/>
      <c r="K748" s="2"/>
      <c r="O748" s="2"/>
      <c r="P748" s="2"/>
      <c r="R748" s="2"/>
      <c r="T748" s="2"/>
      <c r="X748" s="2"/>
      <c r="Y748" s="2"/>
      <c r="Z748" s="2"/>
      <c r="AA748" s="2"/>
      <c r="AB748" s="2"/>
      <c r="AC748" s="2"/>
      <c r="AG748" s="2"/>
      <c r="AK748" s="2"/>
      <c r="AL748" s="2"/>
      <c r="AM748" s="2"/>
      <c r="AN748" s="3"/>
      <c r="AO748" s="2"/>
      <c r="AU748" s="5"/>
    </row>
    <row r="749" ht="15.75" customHeight="1" spans="1:47">
      <c r="A749" s="2"/>
      <c r="F749" s="2"/>
      <c r="G749" s="2"/>
      <c r="K749" s="2"/>
      <c r="O749" s="2"/>
      <c r="P749" s="2"/>
      <c r="R749" s="2"/>
      <c r="T749" s="2"/>
      <c r="X749" s="2"/>
      <c r="Y749" s="2"/>
      <c r="Z749" s="2"/>
      <c r="AA749" s="2"/>
      <c r="AB749" s="2"/>
      <c r="AC749" s="2"/>
      <c r="AG749" s="2"/>
      <c r="AK749" s="2"/>
      <c r="AL749" s="2"/>
      <c r="AM749" s="2"/>
      <c r="AN749" s="3"/>
      <c r="AO749" s="2"/>
      <c r="AU749" s="5"/>
    </row>
    <row r="750" ht="15.75" customHeight="1" spans="1:47">
      <c r="A750" s="2"/>
      <c r="F750" s="2"/>
      <c r="G750" s="2"/>
      <c r="K750" s="2"/>
      <c r="O750" s="2"/>
      <c r="P750" s="2"/>
      <c r="R750" s="2"/>
      <c r="T750" s="2"/>
      <c r="X750" s="2"/>
      <c r="Y750" s="2"/>
      <c r="Z750" s="2"/>
      <c r="AA750" s="2"/>
      <c r="AB750" s="2"/>
      <c r="AC750" s="2"/>
      <c r="AG750" s="2"/>
      <c r="AK750" s="2"/>
      <c r="AL750" s="2"/>
      <c r="AM750" s="2"/>
      <c r="AN750" s="3"/>
      <c r="AO750" s="2"/>
      <c r="AU750" s="5"/>
    </row>
    <row r="751" ht="15.75" customHeight="1" spans="1:47">
      <c r="A751" s="2"/>
      <c r="F751" s="2"/>
      <c r="G751" s="2"/>
      <c r="K751" s="2"/>
      <c r="O751" s="2"/>
      <c r="P751" s="2"/>
      <c r="R751" s="2"/>
      <c r="T751" s="2"/>
      <c r="X751" s="2"/>
      <c r="Y751" s="2"/>
      <c r="Z751" s="2"/>
      <c r="AA751" s="2"/>
      <c r="AB751" s="2"/>
      <c r="AC751" s="2"/>
      <c r="AG751" s="2"/>
      <c r="AK751" s="2"/>
      <c r="AL751" s="2"/>
      <c r="AM751" s="2"/>
      <c r="AN751" s="3"/>
      <c r="AO751" s="2"/>
      <c r="AU751" s="5"/>
    </row>
    <row r="752" ht="15.75" customHeight="1" spans="1:47">
      <c r="A752" s="2"/>
      <c r="F752" s="2"/>
      <c r="G752" s="2"/>
      <c r="K752" s="2"/>
      <c r="O752" s="2"/>
      <c r="P752" s="2"/>
      <c r="R752" s="2"/>
      <c r="T752" s="2"/>
      <c r="X752" s="2"/>
      <c r="Y752" s="2"/>
      <c r="Z752" s="2"/>
      <c r="AA752" s="2"/>
      <c r="AB752" s="2"/>
      <c r="AC752" s="2"/>
      <c r="AG752" s="2"/>
      <c r="AK752" s="2"/>
      <c r="AL752" s="2"/>
      <c r="AM752" s="2"/>
      <c r="AN752" s="3"/>
      <c r="AO752" s="2"/>
      <c r="AU752" s="5"/>
    </row>
    <row r="753" ht="15.75" customHeight="1" spans="1:47">
      <c r="A753" s="2"/>
      <c r="F753" s="2"/>
      <c r="G753" s="2"/>
      <c r="K753" s="2"/>
      <c r="O753" s="2"/>
      <c r="P753" s="2"/>
      <c r="R753" s="2"/>
      <c r="T753" s="2"/>
      <c r="X753" s="2"/>
      <c r="Y753" s="2"/>
      <c r="Z753" s="2"/>
      <c r="AA753" s="2"/>
      <c r="AB753" s="2"/>
      <c r="AC753" s="2"/>
      <c r="AG753" s="2"/>
      <c r="AK753" s="2"/>
      <c r="AL753" s="2"/>
      <c r="AM753" s="2"/>
      <c r="AN753" s="3"/>
      <c r="AO753" s="2"/>
      <c r="AU753" s="5"/>
    </row>
    <row r="754" ht="15.75" customHeight="1" spans="1:47">
      <c r="A754" s="2"/>
      <c r="F754" s="2"/>
      <c r="G754" s="2"/>
      <c r="K754" s="2"/>
      <c r="O754" s="2"/>
      <c r="P754" s="2"/>
      <c r="R754" s="2"/>
      <c r="T754" s="2"/>
      <c r="X754" s="2"/>
      <c r="Y754" s="2"/>
      <c r="Z754" s="2"/>
      <c r="AA754" s="2"/>
      <c r="AB754" s="2"/>
      <c r="AC754" s="2"/>
      <c r="AG754" s="2"/>
      <c r="AK754" s="2"/>
      <c r="AL754" s="2"/>
      <c r="AM754" s="2"/>
      <c r="AN754" s="3"/>
      <c r="AO754" s="2"/>
      <c r="AU754" s="5"/>
    </row>
    <row r="755" ht="15.75" customHeight="1" spans="1:47">
      <c r="A755" s="2"/>
      <c r="F755" s="2"/>
      <c r="G755" s="2"/>
      <c r="K755" s="2"/>
      <c r="O755" s="2"/>
      <c r="P755" s="2"/>
      <c r="R755" s="2"/>
      <c r="T755" s="2"/>
      <c r="X755" s="2"/>
      <c r="Y755" s="2"/>
      <c r="Z755" s="2"/>
      <c r="AA755" s="2"/>
      <c r="AB755" s="2"/>
      <c r="AC755" s="2"/>
      <c r="AG755" s="2"/>
      <c r="AK755" s="2"/>
      <c r="AL755" s="2"/>
      <c r="AM755" s="2"/>
      <c r="AN755" s="3"/>
      <c r="AO755" s="2"/>
      <c r="AU755" s="5"/>
    </row>
    <row r="756" ht="15.75" customHeight="1" spans="1:47">
      <c r="A756" s="2"/>
      <c r="F756" s="2"/>
      <c r="G756" s="2"/>
      <c r="K756" s="2"/>
      <c r="O756" s="2"/>
      <c r="P756" s="2"/>
      <c r="R756" s="2"/>
      <c r="T756" s="2"/>
      <c r="X756" s="2"/>
      <c r="Y756" s="2"/>
      <c r="Z756" s="2"/>
      <c r="AA756" s="2"/>
      <c r="AB756" s="2"/>
      <c r="AC756" s="2"/>
      <c r="AG756" s="2"/>
      <c r="AK756" s="2"/>
      <c r="AL756" s="2"/>
      <c r="AM756" s="2"/>
      <c r="AN756" s="3"/>
      <c r="AO756" s="2"/>
      <c r="AU756" s="5"/>
    </row>
    <row r="757" ht="15.75" customHeight="1" spans="1:47">
      <c r="A757" s="2"/>
      <c r="F757" s="2"/>
      <c r="G757" s="2"/>
      <c r="K757" s="2"/>
      <c r="O757" s="2"/>
      <c r="P757" s="2"/>
      <c r="R757" s="2"/>
      <c r="T757" s="2"/>
      <c r="X757" s="2"/>
      <c r="Y757" s="2"/>
      <c r="Z757" s="2"/>
      <c r="AA757" s="2"/>
      <c r="AB757" s="2"/>
      <c r="AC757" s="2"/>
      <c r="AG757" s="2"/>
      <c r="AK757" s="2"/>
      <c r="AL757" s="2"/>
      <c r="AM757" s="2"/>
      <c r="AN757" s="3"/>
      <c r="AO757" s="2"/>
      <c r="AU757" s="5"/>
    </row>
    <row r="758" ht="15.75" customHeight="1" spans="1:47">
      <c r="A758" s="2"/>
      <c r="F758" s="2"/>
      <c r="G758" s="2"/>
      <c r="K758" s="2"/>
      <c r="O758" s="2"/>
      <c r="P758" s="2"/>
      <c r="R758" s="2"/>
      <c r="T758" s="2"/>
      <c r="X758" s="2"/>
      <c r="Y758" s="2"/>
      <c r="Z758" s="2"/>
      <c r="AA758" s="2"/>
      <c r="AB758" s="2"/>
      <c r="AC758" s="2"/>
      <c r="AG758" s="2"/>
      <c r="AK758" s="2"/>
      <c r="AL758" s="2"/>
      <c r="AM758" s="2"/>
      <c r="AN758" s="3"/>
      <c r="AO758" s="2"/>
      <c r="AU758" s="5"/>
    </row>
    <row r="759" ht="15.75" customHeight="1" spans="1:47">
      <c r="A759" s="2"/>
      <c r="F759" s="2"/>
      <c r="G759" s="2"/>
      <c r="K759" s="2"/>
      <c r="O759" s="2"/>
      <c r="P759" s="2"/>
      <c r="R759" s="2"/>
      <c r="T759" s="2"/>
      <c r="X759" s="2"/>
      <c r="Y759" s="2"/>
      <c r="Z759" s="2"/>
      <c r="AA759" s="2"/>
      <c r="AB759" s="2"/>
      <c r="AC759" s="2"/>
      <c r="AG759" s="2"/>
      <c r="AK759" s="2"/>
      <c r="AL759" s="2"/>
      <c r="AM759" s="2"/>
      <c r="AN759" s="3"/>
      <c r="AO759" s="2"/>
      <c r="AU759" s="5"/>
    </row>
    <row r="760" ht="15.75" customHeight="1" spans="1:47">
      <c r="A760" s="2"/>
      <c r="F760" s="2"/>
      <c r="G760" s="2"/>
      <c r="K760" s="2"/>
      <c r="O760" s="2"/>
      <c r="P760" s="2"/>
      <c r="R760" s="2"/>
      <c r="T760" s="2"/>
      <c r="X760" s="2"/>
      <c r="Y760" s="2"/>
      <c r="Z760" s="2"/>
      <c r="AA760" s="2"/>
      <c r="AB760" s="2"/>
      <c r="AC760" s="2"/>
      <c r="AG760" s="2"/>
      <c r="AK760" s="2"/>
      <c r="AL760" s="2"/>
      <c r="AM760" s="2"/>
      <c r="AN760" s="3"/>
      <c r="AO760" s="2"/>
      <c r="AU760" s="5"/>
    </row>
    <row r="761" ht="15.75" customHeight="1" spans="1:47">
      <c r="A761" s="2"/>
      <c r="F761" s="2"/>
      <c r="G761" s="2"/>
      <c r="K761" s="2"/>
      <c r="O761" s="2"/>
      <c r="P761" s="2"/>
      <c r="R761" s="2"/>
      <c r="T761" s="2"/>
      <c r="X761" s="2"/>
      <c r="Y761" s="2"/>
      <c r="Z761" s="2"/>
      <c r="AA761" s="2"/>
      <c r="AB761" s="2"/>
      <c r="AC761" s="2"/>
      <c r="AG761" s="2"/>
      <c r="AK761" s="2"/>
      <c r="AL761" s="2"/>
      <c r="AM761" s="2"/>
      <c r="AN761" s="3"/>
      <c r="AO761" s="2"/>
      <c r="AU761" s="5"/>
    </row>
    <row r="762" ht="15.75" customHeight="1" spans="1:47">
      <c r="A762" s="2"/>
      <c r="F762" s="2"/>
      <c r="G762" s="2"/>
      <c r="K762" s="2"/>
      <c r="O762" s="2"/>
      <c r="P762" s="2"/>
      <c r="R762" s="2"/>
      <c r="T762" s="2"/>
      <c r="X762" s="2"/>
      <c r="Y762" s="2"/>
      <c r="Z762" s="2"/>
      <c r="AA762" s="2"/>
      <c r="AB762" s="2"/>
      <c r="AC762" s="2"/>
      <c r="AG762" s="2"/>
      <c r="AK762" s="2"/>
      <c r="AL762" s="2"/>
      <c r="AM762" s="2"/>
      <c r="AN762" s="3"/>
      <c r="AO762" s="2"/>
      <c r="AU762" s="5"/>
    </row>
    <row r="763" ht="15.75" customHeight="1" spans="1:47">
      <c r="A763" s="2"/>
      <c r="F763" s="2"/>
      <c r="G763" s="2"/>
      <c r="K763" s="2"/>
      <c r="O763" s="2"/>
      <c r="P763" s="2"/>
      <c r="R763" s="2"/>
      <c r="T763" s="2"/>
      <c r="X763" s="2"/>
      <c r="Y763" s="2"/>
      <c r="Z763" s="2"/>
      <c r="AA763" s="2"/>
      <c r="AB763" s="2"/>
      <c r="AC763" s="2"/>
      <c r="AG763" s="2"/>
      <c r="AK763" s="2"/>
      <c r="AL763" s="2"/>
      <c r="AM763" s="2"/>
      <c r="AN763" s="3"/>
      <c r="AO763" s="2"/>
      <c r="AU763" s="5"/>
    </row>
    <row r="764" ht="15.75" customHeight="1" spans="1:47">
      <c r="A764" s="2"/>
      <c r="F764" s="2"/>
      <c r="G764" s="2"/>
      <c r="K764" s="2"/>
      <c r="O764" s="2"/>
      <c r="P764" s="2"/>
      <c r="R764" s="2"/>
      <c r="T764" s="2"/>
      <c r="X764" s="2"/>
      <c r="Y764" s="2"/>
      <c r="Z764" s="2"/>
      <c r="AA764" s="2"/>
      <c r="AB764" s="2"/>
      <c r="AC764" s="2"/>
      <c r="AG764" s="2"/>
      <c r="AK764" s="2"/>
      <c r="AL764" s="2"/>
      <c r="AM764" s="2"/>
      <c r="AN764" s="3"/>
      <c r="AO764" s="2"/>
      <c r="AU764" s="5"/>
    </row>
    <row r="765" ht="15.75" customHeight="1" spans="1:47">
      <c r="A765" s="2"/>
      <c r="F765" s="2"/>
      <c r="G765" s="2"/>
      <c r="K765" s="2"/>
      <c r="O765" s="2"/>
      <c r="P765" s="2"/>
      <c r="R765" s="2"/>
      <c r="T765" s="2"/>
      <c r="X765" s="2"/>
      <c r="Y765" s="2"/>
      <c r="Z765" s="2"/>
      <c r="AA765" s="2"/>
      <c r="AB765" s="2"/>
      <c r="AC765" s="2"/>
      <c r="AG765" s="2"/>
      <c r="AK765" s="2"/>
      <c r="AL765" s="2"/>
      <c r="AM765" s="2"/>
      <c r="AN765" s="3"/>
      <c r="AO765" s="2"/>
      <c r="AU765" s="5"/>
    </row>
    <row r="766" ht="15.75" customHeight="1" spans="1:47">
      <c r="A766" s="2"/>
      <c r="F766" s="2"/>
      <c r="G766" s="2"/>
      <c r="K766" s="2"/>
      <c r="O766" s="2"/>
      <c r="P766" s="2"/>
      <c r="R766" s="2"/>
      <c r="T766" s="2"/>
      <c r="X766" s="2"/>
      <c r="Y766" s="2"/>
      <c r="Z766" s="2"/>
      <c r="AA766" s="2"/>
      <c r="AB766" s="2"/>
      <c r="AC766" s="2"/>
      <c r="AG766" s="2"/>
      <c r="AK766" s="2"/>
      <c r="AL766" s="2"/>
      <c r="AM766" s="2"/>
      <c r="AN766" s="3"/>
      <c r="AO766" s="2"/>
      <c r="AU766" s="5"/>
    </row>
    <row r="767" ht="15.75" customHeight="1" spans="1:47">
      <c r="A767" s="2"/>
      <c r="F767" s="2"/>
      <c r="G767" s="2"/>
      <c r="K767" s="2"/>
      <c r="O767" s="2"/>
      <c r="P767" s="2"/>
      <c r="R767" s="2"/>
      <c r="T767" s="2"/>
      <c r="X767" s="2"/>
      <c r="Y767" s="2"/>
      <c r="Z767" s="2"/>
      <c r="AA767" s="2"/>
      <c r="AB767" s="2"/>
      <c r="AC767" s="2"/>
      <c r="AG767" s="2"/>
      <c r="AK767" s="2"/>
      <c r="AL767" s="2"/>
      <c r="AM767" s="2"/>
      <c r="AN767" s="3"/>
      <c r="AO767" s="2"/>
      <c r="AU767" s="5"/>
    </row>
    <row r="768" ht="15.75" customHeight="1" spans="1:47">
      <c r="A768" s="2"/>
      <c r="F768" s="2"/>
      <c r="G768" s="2"/>
      <c r="K768" s="2"/>
      <c r="O768" s="2"/>
      <c r="P768" s="2"/>
      <c r="R768" s="2"/>
      <c r="T768" s="2"/>
      <c r="X768" s="2"/>
      <c r="Y768" s="2"/>
      <c r="Z768" s="2"/>
      <c r="AA768" s="2"/>
      <c r="AB768" s="2"/>
      <c r="AC768" s="2"/>
      <c r="AG768" s="2"/>
      <c r="AK768" s="2"/>
      <c r="AL768" s="2"/>
      <c r="AM768" s="2"/>
      <c r="AN768" s="3"/>
      <c r="AO768" s="2"/>
      <c r="AU768" s="5"/>
    </row>
    <row r="769" ht="15.75" customHeight="1" spans="1:47">
      <c r="A769" s="2"/>
      <c r="F769" s="2"/>
      <c r="G769" s="2"/>
      <c r="K769" s="2"/>
      <c r="O769" s="2"/>
      <c r="P769" s="2"/>
      <c r="R769" s="2"/>
      <c r="T769" s="2"/>
      <c r="X769" s="2"/>
      <c r="Y769" s="2"/>
      <c r="Z769" s="2"/>
      <c r="AA769" s="2"/>
      <c r="AB769" s="2"/>
      <c r="AC769" s="2"/>
      <c r="AG769" s="2"/>
      <c r="AK769" s="2"/>
      <c r="AL769" s="2"/>
      <c r="AM769" s="2"/>
      <c r="AN769" s="3"/>
      <c r="AO769" s="2"/>
      <c r="AU769" s="5"/>
    </row>
    <row r="770" ht="15.75" customHeight="1" spans="1:47">
      <c r="A770" s="2"/>
      <c r="F770" s="2"/>
      <c r="G770" s="2"/>
      <c r="K770" s="2"/>
      <c r="O770" s="2"/>
      <c r="P770" s="2"/>
      <c r="R770" s="2"/>
      <c r="T770" s="2"/>
      <c r="X770" s="2"/>
      <c r="Y770" s="2"/>
      <c r="Z770" s="2"/>
      <c r="AA770" s="2"/>
      <c r="AB770" s="2"/>
      <c r="AC770" s="2"/>
      <c r="AG770" s="2"/>
      <c r="AK770" s="2"/>
      <c r="AL770" s="2"/>
      <c r="AM770" s="2"/>
      <c r="AN770" s="3"/>
      <c r="AO770" s="2"/>
      <c r="AU770" s="5"/>
    </row>
    <row r="771" ht="15.75" customHeight="1" spans="1:47">
      <c r="A771" s="2"/>
      <c r="F771" s="2"/>
      <c r="G771" s="2"/>
      <c r="K771" s="2"/>
      <c r="O771" s="2"/>
      <c r="P771" s="2"/>
      <c r="R771" s="2"/>
      <c r="T771" s="2"/>
      <c r="X771" s="2"/>
      <c r="Y771" s="2"/>
      <c r="Z771" s="2"/>
      <c r="AA771" s="2"/>
      <c r="AB771" s="2"/>
      <c r="AC771" s="2"/>
      <c r="AG771" s="2"/>
      <c r="AK771" s="2"/>
      <c r="AL771" s="2"/>
      <c r="AM771" s="2"/>
      <c r="AN771" s="3"/>
      <c r="AO771" s="2"/>
      <c r="AU771" s="5"/>
    </row>
    <row r="772" ht="15.75" customHeight="1" spans="1:47">
      <c r="A772" s="2"/>
      <c r="F772" s="2"/>
      <c r="G772" s="2"/>
      <c r="K772" s="2"/>
      <c r="O772" s="2"/>
      <c r="P772" s="2"/>
      <c r="R772" s="2"/>
      <c r="T772" s="2"/>
      <c r="X772" s="2"/>
      <c r="Y772" s="2"/>
      <c r="Z772" s="2"/>
      <c r="AA772" s="2"/>
      <c r="AB772" s="2"/>
      <c r="AC772" s="2"/>
      <c r="AG772" s="2"/>
      <c r="AK772" s="2"/>
      <c r="AL772" s="2"/>
      <c r="AM772" s="2"/>
      <c r="AN772" s="3"/>
      <c r="AO772" s="2"/>
      <c r="AU772" s="5"/>
    </row>
    <row r="773" ht="15.75" customHeight="1" spans="1:47">
      <c r="A773" s="2"/>
      <c r="F773" s="2"/>
      <c r="G773" s="2"/>
      <c r="K773" s="2"/>
      <c r="O773" s="2"/>
      <c r="P773" s="2"/>
      <c r="R773" s="2"/>
      <c r="T773" s="2"/>
      <c r="X773" s="2"/>
      <c r="Y773" s="2"/>
      <c r="Z773" s="2"/>
      <c r="AA773" s="2"/>
      <c r="AB773" s="2"/>
      <c r="AC773" s="2"/>
      <c r="AG773" s="2"/>
      <c r="AK773" s="2"/>
      <c r="AL773" s="2"/>
      <c r="AM773" s="2"/>
      <c r="AN773" s="3"/>
      <c r="AO773" s="2"/>
      <c r="AU773" s="5"/>
    </row>
    <row r="774" ht="15.75" customHeight="1" spans="1:47">
      <c r="A774" s="2"/>
      <c r="F774" s="2"/>
      <c r="G774" s="2"/>
      <c r="K774" s="2"/>
      <c r="O774" s="2"/>
      <c r="P774" s="2"/>
      <c r="R774" s="2"/>
      <c r="T774" s="2"/>
      <c r="X774" s="2"/>
      <c r="Y774" s="2"/>
      <c r="Z774" s="2"/>
      <c r="AA774" s="2"/>
      <c r="AB774" s="2"/>
      <c r="AC774" s="2"/>
      <c r="AG774" s="2"/>
      <c r="AK774" s="2"/>
      <c r="AL774" s="2"/>
      <c r="AM774" s="2"/>
      <c r="AN774" s="3"/>
      <c r="AO774" s="2"/>
      <c r="AU774" s="5"/>
    </row>
    <row r="775" ht="15.75" customHeight="1" spans="1:47">
      <c r="A775" s="2"/>
      <c r="F775" s="2"/>
      <c r="G775" s="2"/>
      <c r="K775" s="2"/>
      <c r="O775" s="2"/>
      <c r="P775" s="2"/>
      <c r="R775" s="2"/>
      <c r="T775" s="2"/>
      <c r="X775" s="2"/>
      <c r="Y775" s="2"/>
      <c r="Z775" s="2"/>
      <c r="AA775" s="2"/>
      <c r="AB775" s="2"/>
      <c r="AC775" s="2"/>
      <c r="AG775" s="2"/>
      <c r="AK775" s="2"/>
      <c r="AL775" s="2"/>
      <c r="AM775" s="2"/>
      <c r="AN775" s="3"/>
      <c r="AO775" s="2"/>
      <c r="AU775" s="5"/>
    </row>
    <row r="776" ht="15.75" customHeight="1" spans="1:47">
      <c r="A776" s="2"/>
      <c r="F776" s="2"/>
      <c r="G776" s="2"/>
      <c r="K776" s="2"/>
      <c r="O776" s="2"/>
      <c r="P776" s="2"/>
      <c r="R776" s="2"/>
      <c r="T776" s="2"/>
      <c r="X776" s="2"/>
      <c r="Y776" s="2"/>
      <c r="Z776" s="2"/>
      <c r="AA776" s="2"/>
      <c r="AB776" s="2"/>
      <c r="AC776" s="2"/>
      <c r="AG776" s="2"/>
      <c r="AK776" s="2"/>
      <c r="AL776" s="2"/>
      <c r="AM776" s="2"/>
      <c r="AN776" s="3"/>
      <c r="AO776" s="2"/>
      <c r="AU776" s="5"/>
    </row>
    <row r="777" ht="15.75" customHeight="1" spans="1:47">
      <c r="A777" s="2"/>
      <c r="F777" s="2"/>
      <c r="G777" s="2"/>
      <c r="K777" s="2"/>
      <c r="O777" s="2"/>
      <c r="P777" s="2"/>
      <c r="R777" s="2"/>
      <c r="T777" s="2"/>
      <c r="X777" s="2"/>
      <c r="Y777" s="2"/>
      <c r="Z777" s="2"/>
      <c r="AA777" s="2"/>
      <c r="AB777" s="2"/>
      <c r="AC777" s="2"/>
      <c r="AG777" s="2"/>
      <c r="AK777" s="2"/>
      <c r="AL777" s="2"/>
      <c r="AM777" s="2"/>
      <c r="AN777" s="3"/>
      <c r="AO777" s="2"/>
      <c r="AU777" s="5"/>
    </row>
    <row r="778" ht="15.75" customHeight="1" spans="1:47">
      <c r="A778" s="2"/>
      <c r="F778" s="2"/>
      <c r="G778" s="2"/>
      <c r="K778" s="2"/>
      <c r="O778" s="2"/>
      <c r="P778" s="2"/>
      <c r="R778" s="2"/>
      <c r="T778" s="2"/>
      <c r="X778" s="2"/>
      <c r="Y778" s="2"/>
      <c r="Z778" s="2"/>
      <c r="AA778" s="2"/>
      <c r="AB778" s="2"/>
      <c r="AC778" s="2"/>
      <c r="AG778" s="2"/>
      <c r="AK778" s="2"/>
      <c r="AL778" s="2"/>
      <c r="AM778" s="2"/>
      <c r="AN778" s="3"/>
      <c r="AO778" s="2"/>
      <c r="AU778" s="5"/>
    </row>
    <row r="779" ht="15.75" customHeight="1" spans="1:47">
      <c r="A779" s="2"/>
      <c r="F779" s="2"/>
      <c r="G779" s="2"/>
      <c r="K779" s="2"/>
      <c r="O779" s="2"/>
      <c r="P779" s="2"/>
      <c r="R779" s="2"/>
      <c r="T779" s="2"/>
      <c r="X779" s="2"/>
      <c r="Y779" s="2"/>
      <c r="Z779" s="2"/>
      <c r="AA779" s="2"/>
      <c r="AB779" s="2"/>
      <c r="AC779" s="2"/>
      <c r="AG779" s="2"/>
      <c r="AK779" s="2"/>
      <c r="AL779" s="2"/>
      <c r="AM779" s="2"/>
      <c r="AN779" s="3"/>
      <c r="AO779" s="2"/>
      <c r="AU779" s="5"/>
    </row>
    <row r="780" ht="15.75" customHeight="1" spans="1:47">
      <c r="A780" s="2"/>
      <c r="F780" s="2"/>
      <c r="G780" s="2"/>
      <c r="K780" s="2"/>
      <c r="O780" s="2"/>
      <c r="P780" s="2"/>
      <c r="R780" s="2"/>
      <c r="T780" s="2"/>
      <c r="X780" s="2"/>
      <c r="Y780" s="2"/>
      <c r="Z780" s="2"/>
      <c r="AA780" s="2"/>
      <c r="AB780" s="2"/>
      <c r="AC780" s="2"/>
      <c r="AG780" s="2"/>
      <c r="AK780" s="2"/>
      <c r="AL780" s="2"/>
      <c r="AM780" s="2"/>
      <c r="AN780" s="3"/>
      <c r="AO780" s="2"/>
      <c r="AU780" s="5"/>
    </row>
    <row r="781" ht="15.75" customHeight="1" spans="1:47">
      <c r="A781" s="2"/>
      <c r="F781" s="2"/>
      <c r="G781" s="2"/>
      <c r="K781" s="2"/>
      <c r="O781" s="2"/>
      <c r="P781" s="2"/>
      <c r="R781" s="2"/>
      <c r="T781" s="2"/>
      <c r="X781" s="2"/>
      <c r="Y781" s="2"/>
      <c r="Z781" s="2"/>
      <c r="AA781" s="2"/>
      <c r="AB781" s="2"/>
      <c r="AC781" s="2"/>
      <c r="AG781" s="2"/>
      <c r="AK781" s="2"/>
      <c r="AL781" s="2"/>
      <c r="AM781" s="2"/>
      <c r="AN781" s="3"/>
      <c r="AO781" s="2"/>
      <c r="AU781" s="5"/>
    </row>
    <row r="782" ht="15.75" customHeight="1" spans="1:47">
      <c r="A782" s="2"/>
      <c r="F782" s="2"/>
      <c r="G782" s="2"/>
      <c r="K782" s="2"/>
      <c r="O782" s="2"/>
      <c r="P782" s="2"/>
      <c r="R782" s="2"/>
      <c r="T782" s="2"/>
      <c r="X782" s="2"/>
      <c r="Y782" s="2"/>
      <c r="Z782" s="2"/>
      <c r="AA782" s="2"/>
      <c r="AB782" s="2"/>
      <c r="AC782" s="2"/>
      <c r="AG782" s="2"/>
      <c r="AK782" s="2"/>
      <c r="AL782" s="2"/>
      <c r="AM782" s="2"/>
      <c r="AN782" s="3"/>
      <c r="AO782" s="2"/>
      <c r="AU782" s="5"/>
    </row>
    <row r="783" ht="15.75" customHeight="1" spans="1:47">
      <c r="A783" s="2"/>
      <c r="F783" s="2"/>
      <c r="G783" s="2"/>
      <c r="K783" s="2"/>
      <c r="O783" s="2"/>
      <c r="P783" s="2"/>
      <c r="R783" s="2"/>
      <c r="T783" s="2"/>
      <c r="X783" s="2"/>
      <c r="Y783" s="2"/>
      <c r="Z783" s="2"/>
      <c r="AA783" s="2"/>
      <c r="AB783" s="2"/>
      <c r="AC783" s="2"/>
      <c r="AG783" s="2"/>
      <c r="AK783" s="2"/>
      <c r="AL783" s="2"/>
      <c r="AM783" s="2"/>
      <c r="AN783" s="3"/>
      <c r="AO783" s="2"/>
      <c r="AU783" s="5"/>
    </row>
    <row r="784" ht="15.75" customHeight="1" spans="1:47">
      <c r="A784" s="2"/>
      <c r="F784" s="2"/>
      <c r="G784" s="2"/>
      <c r="K784" s="2"/>
      <c r="O784" s="2"/>
      <c r="P784" s="2"/>
      <c r="R784" s="2"/>
      <c r="T784" s="2"/>
      <c r="X784" s="2"/>
      <c r="Y784" s="2"/>
      <c r="Z784" s="2"/>
      <c r="AA784" s="2"/>
      <c r="AB784" s="2"/>
      <c r="AC784" s="2"/>
      <c r="AG784" s="2"/>
      <c r="AK784" s="2"/>
      <c r="AL784" s="2"/>
      <c r="AM784" s="2"/>
      <c r="AN784" s="3"/>
      <c r="AO784" s="2"/>
      <c r="AU784" s="5"/>
    </row>
    <row r="785" ht="15.75" customHeight="1" spans="1:47">
      <c r="A785" s="2"/>
      <c r="F785" s="2"/>
      <c r="G785" s="2"/>
      <c r="K785" s="2"/>
      <c r="O785" s="2"/>
      <c r="P785" s="2"/>
      <c r="R785" s="2"/>
      <c r="T785" s="2"/>
      <c r="X785" s="2"/>
      <c r="Y785" s="2"/>
      <c r="Z785" s="2"/>
      <c r="AA785" s="2"/>
      <c r="AB785" s="2"/>
      <c r="AC785" s="2"/>
      <c r="AG785" s="2"/>
      <c r="AK785" s="2"/>
      <c r="AL785" s="2"/>
      <c r="AM785" s="2"/>
      <c r="AN785" s="3"/>
      <c r="AO785" s="2"/>
      <c r="AU785" s="5"/>
    </row>
    <row r="786" ht="15.75" customHeight="1" spans="1:47">
      <c r="A786" s="2"/>
      <c r="F786" s="2"/>
      <c r="G786" s="2"/>
      <c r="K786" s="2"/>
      <c r="O786" s="2"/>
      <c r="P786" s="2"/>
      <c r="R786" s="2"/>
      <c r="T786" s="2"/>
      <c r="X786" s="2"/>
      <c r="Y786" s="2"/>
      <c r="Z786" s="2"/>
      <c r="AA786" s="2"/>
      <c r="AB786" s="2"/>
      <c r="AC786" s="2"/>
      <c r="AG786" s="2"/>
      <c r="AK786" s="2"/>
      <c r="AL786" s="2"/>
      <c r="AM786" s="2"/>
      <c r="AN786" s="3"/>
      <c r="AO786" s="2"/>
      <c r="AU786" s="5"/>
    </row>
    <row r="787" ht="15.75" customHeight="1" spans="1:47">
      <c r="A787" s="2"/>
      <c r="F787" s="2"/>
      <c r="G787" s="2"/>
      <c r="K787" s="2"/>
      <c r="O787" s="2"/>
      <c r="P787" s="2"/>
      <c r="R787" s="2"/>
      <c r="T787" s="2"/>
      <c r="X787" s="2"/>
      <c r="Y787" s="2"/>
      <c r="Z787" s="2"/>
      <c r="AA787" s="2"/>
      <c r="AB787" s="2"/>
      <c r="AC787" s="2"/>
      <c r="AG787" s="2"/>
      <c r="AK787" s="2"/>
      <c r="AL787" s="2"/>
      <c r="AM787" s="2"/>
      <c r="AN787" s="3"/>
      <c r="AO787" s="2"/>
      <c r="AU787" s="5"/>
    </row>
    <row r="788" ht="15.75" customHeight="1" spans="1:47">
      <c r="A788" s="2"/>
      <c r="F788" s="2"/>
      <c r="G788" s="2"/>
      <c r="K788" s="2"/>
      <c r="O788" s="2"/>
      <c r="P788" s="2"/>
      <c r="R788" s="2"/>
      <c r="T788" s="2"/>
      <c r="X788" s="2"/>
      <c r="Y788" s="2"/>
      <c r="Z788" s="2"/>
      <c r="AA788" s="2"/>
      <c r="AB788" s="2"/>
      <c r="AC788" s="2"/>
      <c r="AG788" s="2"/>
      <c r="AK788" s="2"/>
      <c r="AL788" s="2"/>
      <c r="AM788" s="2"/>
      <c r="AN788" s="3"/>
      <c r="AO788" s="2"/>
      <c r="AU788" s="5"/>
    </row>
    <row r="789" ht="15.75" customHeight="1" spans="1:47">
      <c r="A789" s="2"/>
      <c r="F789" s="2"/>
      <c r="G789" s="2"/>
      <c r="K789" s="2"/>
      <c r="O789" s="2"/>
      <c r="P789" s="2"/>
      <c r="R789" s="2"/>
      <c r="T789" s="2"/>
      <c r="X789" s="2"/>
      <c r="Y789" s="2"/>
      <c r="Z789" s="2"/>
      <c r="AA789" s="2"/>
      <c r="AB789" s="2"/>
      <c r="AC789" s="2"/>
      <c r="AG789" s="2"/>
      <c r="AK789" s="2"/>
      <c r="AL789" s="2"/>
      <c r="AM789" s="2"/>
      <c r="AN789" s="3"/>
      <c r="AO789" s="2"/>
      <c r="AU789" s="5"/>
    </row>
    <row r="790" ht="15.75" customHeight="1" spans="1:47">
      <c r="A790" s="2"/>
      <c r="F790" s="2"/>
      <c r="G790" s="2"/>
      <c r="K790" s="2"/>
      <c r="O790" s="2"/>
      <c r="P790" s="2"/>
      <c r="R790" s="2"/>
      <c r="T790" s="2"/>
      <c r="X790" s="2"/>
      <c r="Y790" s="2"/>
      <c r="Z790" s="2"/>
      <c r="AA790" s="2"/>
      <c r="AB790" s="2"/>
      <c r="AC790" s="2"/>
      <c r="AG790" s="2"/>
      <c r="AK790" s="2"/>
      <c r="AL790" s="2"/>
      <c r="AM790" s="2"/>
      <c r="AN790" s="3"/>
      <c r="AO790" s="2"/>
      <c r="AU790" s="5"/>
    </row>
    <row r="791" ht="15.75" customHeight="1" spans="1:47">
      <c r="A791" s="2"/>
      <c r="F791" s="2"/>
      <c r="G791" s="2"/>
      <c r="K791" s="2"/>
      <c r="O791" s="2"/>
      <c r="P791" s="2"/>
      <c r="R791" s="2"/>
      <c r="T791" s="2"/>
      <c r="X791" s="2"/>
      <c r="Y791" s="2"/>
      <c r="Z791" s="2"/>
      <c r="AA791" s="2"/>
      <c r="AB791" s="2"/>
      <c r="AC791" s="2"/>
      <c r="AG791" s="2"/>
      <c r="AK791" s="2"/>
      <c r="AL791" s="2"/>
      <c r="AM791" s="2"/>
      <c r="AN791" s="3"/>
      <c r="AO791" s="2"/>
      <c r="AU791" s="5"/>
    </row>
    <row r="792" ht="15.75" customHeight="1" spans="1:47">
      <c r="A792" s="2"/>
      <c r="F792" s="2"/>
      <c r="G792" s="2"/>
      <c r="K792" s="2"/>
      <c r="O792" s="2"/>
      <c r="P792" s="2"/>
      <c r="R792" s="2"/>
      <c r="T792" s="2"/>
      <c r="X792" s="2"/>
      <c r="Y792" s="2"/>
      <c r="Z792" s="2"/>
      <c r="AA792" s="2"/>
      <c r="AB792" s="2"/>
      <c r="AC792" s="2"/>
      <c r="AG792" s="2"/>
      <c r="AK792" s="2"/>
      <c r="AL792" s="2"/>
      <c r="AM792" s="2"/>
      <c r="AN792" s="3"/>
      <c r="AO792" s="2"/>
      <c r="AU792" s="5"/>
    </row>
    <row r="793" ht="15.75" customHeight="1" spans="1:47">
      <c r="A793" s="2"/>
      <c r="F793" s="2"/>
      <c r="G793" s="2"/>
      <c r="K793" s="2"/>
      <c r="O793" s="2"/>
      <c r="P793" s="2"/>
      <c r="R793" s="2"/>
      <c r="T793" s="2"/>
      <c r="X793" s="2"/>
      <c r="Y793" s="2"/>
      <c r="Z793" s="2"/>
      <c r="AA793" s="2"/>
      <c r="AB793" s="2"/>
      <c r="AC793" s="2"/>
      <c r="AG793" s="2"/>
      <c r="AK793" s="2"/>
      <c r="AL793" s="2"/>
      <c r="AM793" s="2"/>
      <c r="AN793" s="3"/>
      <c r="AO793" s="2"/>
      <c r="AU793" s="5"/>
    </row>
    <row r="794" ht="15.75" customHeight="1" spans="1:47">
      <c r="A794" s="2"/>
      <c r="F794" s="2"/>
      <c r="G794" s="2"/>
      <c r="K794" s="2"/>
      <c r="O794" s="2"/>
      <c r="P794" s="2"/>
      <c r="R794" s="2"/>
      <c r="T794" s="2"/>
      <c r="X794" s="2"/>
      <c r="Y794" s="2"/>
      <c r="Z794" s="2"/>
      <c r="AA794" s="2"/>
      <c r="AB794" s="2"/>
      <c r="AC794" s="2"/>
      <c r="AG794" s="2"/>
      <c r="AK794" s="2"/>
      <c r="AL794" s="2"/>
      <c r="AM794" s="2"/>
      <c r="AN794" s="3"/>
      <c r="AO794" s="2"/>
      <c r="AU794" s="5"/>
    </row>
    <row r="795" ht="15.75" customHeight="1" spans="1:47">
      <c r="A795" s="2"/>
      <c r="F795" s="2"/>
      <c r="G795" s="2"/>
      <c r="K795" s="2"/>
      <c r="O795" s="2"/>
      <c r="P795" s="2"/>
      <c r="R795" s="2"/>
      <c r="T795" s="2"/>
      <c r="X795" s="2"/>
      <c r="Y795" s="2"/>
      <c r="Z795" s="2"/>
      <c r="AA795" s="2"/>
      <c r="AB795" s="2"/>
      <c r="AC795" s="2"/>
      <c r="AG795" s="2"/>
      <c r="AK795" s="2"/>
      <c r="AL795" s="2"/>
      <c r="AM795" s="2"/>
      <c r="AN795" s="3"/>
      <c r="AO795" s="2"/>
      <c r="AU795" s="5"/>
    </row>
    <row r="796" ht="15.75" customHeight="1" spans="1:47">
      <c r="A796" s="2"/>
      <c r="F796" s="2"/>
      <c r="G796" s="2"/>
      <c r="K796" s="2"/>
      <c r="O796" s="2"/>
      <c r="P796" s="2"/>
      <c r="R796" s="2"/>
      <c r="T796" s="2"/>
      <c r="X796" s="2"/>
      <c r="Y796" s="2"/>
      <c r="Z796" s="2"/>
      <c r="AA796" s="2"/>
      <c r="AB796" s="2"/>
      <c r="AC796" s="2"/>
      <c r="AG796" s="2"/>
      <c r="AK796" s="2"/>
      <c r="AL796" s="2"/>
      <c r="AM796" s="2"/>
      <c r="AN796" s="3"/>
      <c r="AO796" s="2"/>
      <c r="AU796" s="5"/>
    </row>
    <row r="797" ht="15.75" customHeight="1" spans="1:47">
      <c r="A797" s="2"/>
      <c r="F797" s="2"/>
      <c r="G797" s="2"/>
      <c r="K797" s="2"/>
      <c r="O797" s="2"/>
      <c r="P797" s="2"/>
      <c r="R797" s="2"/>
      <c r="T797" s="2"/>
      <c r="X797" s="2"/>
      <c r="Y797" s="2"/>
      <c r="Z797" s="2"/>
      <c r="AA797" s="2"/>
      <c r="AB797" s="2"/>
      <c r="AC797" s="2"/>
      <c r="AG797" s="2"/>
      <c r="AK797" s="2"/>
      <c r="AL797" s="2"/>
      <c r="AM797" s="2"/>
      <c r="AN797" s="3"/>
      <c r="AO797" s="2"/>
      <c r="AU797" s="5"/>
    </row>
    <row r="798" ht="15.75" customHeight="1" spans="1:47">
      <c r="A798" s="2"/>
      <c r="F798" s="2"/>
      <c r="G798" s="2"/>
      <c r="K798" s="2"/>
      <c r="O798" s="2"/>
      <c r="P798" s="2"/>
      <c r="R798" s="2"/>
      <c r="T798" s="2"/>
      <c r="X798" s="2"/>
      <c r="Y798" s="2"/>
      <c r="Z798" s="2"/>
      <c r="AA798" s="2"/>
      <c r="AB798" s="2"/>
      <c r="AC798" s="2"/>
      <c r="AG798" s="2"/>
      <c r="AK798" s="2"/>
      <c r="AL798" s="2"/>
      <c r="AM798" s="2"/>
      <c r="AN798" s="3"/>
      <c r="AO798" s="2"/>
      <c r="AU798" s="5"/>
    </row>
    <row r="799" ht="15.75" customHeight="1" spans="1:47">
      <c r="A799" s="2"/>
      <c r="F799" s="2"/>
      <c r="G799" s="2"/>
      <c r="K799" s="2"/>
      <c r="O799" s="2"/>
      <c r="P799" s="2"/>
      <c r="R799" s="2"/>
      <c r="T799" s="2"/>
      <c r="X799" s="2"/>
      <c r="Y799" s="2"/>
      <c r="Z799" s="2"/>
      <c r="AA799" s="2"/>
      <c r="AB799" s="2"/>
      <c r="AC799" s="2"/>
      <c r="AG799" s="2"/>
      <c r="AK799" s="2"/>
      <c r="AL799" s="2"/>
      <c r="AM799" s="2"/>
      <c r="AN799" s="3"/>
      <c r="AO799" s="2"/>
      <c r="AU799" s="5"/>
    </row>
    <row r="800" ht="15.75" customHeight="1" spans="1:47">
      <c r="A800" s="2"/>
      <c r="F800" s="2"/>
      <c r="G800" s="2"/>
      <c r="K800" s="2"/>
      <c r="O800" s="2"/>
      <c r="P800" s="2"/>
      <c r="R800" s="2"/>
      <c r="T800" s="2"/>
      <c r="X800" s="2"/>
      <c r="Y800" s="2"/>
      <c r="Z800" s="2"/>
      <c r="AA800" s="2"/>
      <c r="AB800" s="2"/>
      <c r="AC800" s="2"/>
      <c r="AG800" s="2"/>
      <c r="AK800" s="2"/>
      <c r="AL800" s="2"/>
      <c r="AM800" s="2"/>
      <c r="AN800" s="3"/>
      <c r="AO800" s="2"/>
      <c r="AU800" s="5"/>
    </row>
    <row r="801" ht="15.75" customHeight="1" spans="1:47">
      <c r="A801" s="2"/>
      <c r="F801" s="2"/>
      <c r="G801" s="2"/>
      <c r="K801" s="2"/>
      <c r="O801" s="2"/>
      <c r="P801" s="2"/>
      <c r="R801" s="2"/>
      <c r="T801" s="2"/>
      <c r="X801" s="2"/>
      <c r="Y801" s="2"/>
      <c r="Z801" s="2"/>
      <c r="AA801" s="2"/>
      <c r="AB801" s="2"/>
      <c r="AC801" s="2"/>
      <c r="AG801" s="2"/>
      <c r="AK801" s="2"/>
      <c r="AL801" s="2"/>
      <c r="AM801" s="2"/>
      <c r="AN801" s="3"/>
      <c r="AO801" s="2"/>
      <c r="AU801" s="5"/>
    </row>
    <row r="802" ht="15.75" customHeight="1" spans="1:47">
      <c r="A802" s="2"/>
      <c r="F802" s="2"/>
      <c r="G802" s="2"/>
      <c r="K802" s="2"/>
      <c r="O802" s="2"/>
      <c r="P802" s="2"/>
      <c r="R802" s="2"/>
      <c r="T802" s="2"/>
      <c r="X802" s="2"/>
      <c r="Y802" s="2"/>
      <c r="Z802" s="2"/>
      <c r="AA802" s="2"/>
      <c r="AB802" s="2"/>
      <c r="AC802" s="2"/>
      <c r="AG802" s="2"/>
      <c r="AK802" s="2"/>
      <c r="AL802" s="2"/>
      <c r="AM802" s="2"/>
      <c r="AN802" s="3"/>
      <c r="AO802" s="2"/>
      <c r="AU802" s="5"/>
    </row>
    <row r="803" ht="15.75" customHeight="1" spans="1:47">
      <c r="A803" s="2"/>
      <c r="F803" s="2"/>
      <c r="G803" s="2"/>
      <c r="K803" s="2"/>
      <c r="O803" s="2"/>
      <c r="P803" s="2"/>
      <c r="R803" s="2"/>
      <c r="T803" s="2"/>
      <c r="X803" s="2"/>
      <c r="Y803" s="2"/>
      <c r="Z803" s="2"/>
      <c r="AA803" s="2"/>
      <c r="AB803" s="2"/>
      <c r="AC803" s="2"/>
      <c r="AG803" s="2"/>
      <c r="AK803" s="2"/>
      <c r="AL803" s="2"/>
      <c r="AM803" s="2"/>
      <c r="AN803" s="3"/>
      <c r="AO803" s="2"/>
      <c r="AU803" s="5"/>
    </row>
    <row r="804" ht="15.75" customHeight="1" spans="1:47">
      <c r="A804" s="2"/>
      <c r="F804" s="2"/>
      <c r="G804" s="2"/>
      <c r="K804" s="2"/>
      <c r="O804" s="2"/>
      <c r="P804" s="2"/>
      <c r="R804" s="2"/>
      <c r="T804" s="2"/>
      <c r="X804" s="2"/>
      <c r="Y804" s="2"/>
      <c r="Z804" s="2"/>
      <c r="AA804" s="2"/>
      <c r="AB804" s="2"/>
      <c r="AC804" s="2"/>
      <c r="AG804" s="2"/>
      <c r="AK804" s="2"/>
      <c r="AL804" s="2"/>
      <c r="AM804" s="2"/>
      <c r="AN804" s="3"/>
      <c r="AO804" s="2"/>
      <c r="AU804" s="5"/>
    </row>
    <row r="805" ht="15.75" customHeight="1" spans="1:47">
      <c r="A805" s="2"/>
      <c r="F805" s="2"/>
      <c r="G805" s="2"/>
      <c r="K805" s="2"/>
      <c r="O805" s="2"/>
      <c r="P805" s="2"/>
      <c r="R805" s="2"/>
      <c r="T805" s="2"/>
      <c r="X805" s="2"/>
      <c r="Y805" s="2"/>
      <c r="Z805" s="2"/>
      <c r="AA805" s="2"/>
      <c r="AB805" s="2"/>
      <c r="AC805" s="2"/>
      <c r="AG805" s="2"/>
      <c r="AK805" s="2"/>
      <c r="AL805" s="2"/>
      <c r="AM805" s="2"/>
      <c r="AN805" s="3"/>
      <c r="AO805" s="2"/>
      <c r="AU805" s="5"/>
    </row>
    <row r="806" ht="15.75" customHeight="1" spans="1:47">
      <c r="A806" s="2"/>
      <c r="F806" s="2"/>
      <c r="G806" s="2"/>
      <c r="K806" s="2"/>
      <c r="O806" s="2"/>
      <c r="P806" s="2"/>
      <c r="R806" s="2"/>
      <c r="T806" s="2"/>
      <c r="X806" s="2"/>
      <c r="Y806" s="2"/>
      <c r="Z806" s="2"/>
      <c r="AA806" s="2"/>
      <c r="AB806" s="2"/>
      <c r="AC806" s="2"/>
      <c r="AG806" s="2"/>
      <c r="AK806" s="2"/>
      <c r="AL806" s="2"/>
      <c r="AM806" s="2"/>
      <c r="AN806" s="3"/>
      <c r="AO806" s="2"/>
      <c r="AU806" s="5"/>
    </row>
    <row r="807" ht="15.75" customHeight="1" spans="1:47">
      <c r="A807" s="2"/>
      <c r="F807" s="2"/>
      <c r="G807" s="2"/>
      <c r="K807" s="2"/>
      <c r="O807" s="2"/>
      <c r="P807" s="2"/>
      <c r="R807" s="2"/>
      <c r="T807" s="2"/>
      <c r="X807" s="2"/>
      <c r="Y807" s="2"/>
      <c r="Z807" s="2"/>
      <c r="AA807" s="2"/>
      <c r="AB807" s="2"/>
      <c r="AC807" s="2"/>
      <c r="AG807" s="2"/>
      <c r="AK807" s="2"/>
      <c r="AL807" s="2"/>
      <c r="AM807" s="2"/>
      <c r="AN807" s="3"/>
      <c r="AO807" s="2"/>
      <c r="AU807" s="5"/>
    </row>
    <row r="808" ht="15.75" customHeight="1" spans="1:47">
      <c r="A808" s="2"/>
      <c r="F808" s="2"/>
      <c r="G808" s="2"/>
      <c r="K808" s="2"/>
      <c r="O808" s="2"/>
      <c r="P808" s="2"/>
      <c r="R808" s="2"/>
      <c r="T808" s="2"/>
      <c r="X808" s="2"/>
      <c r="Y808" s="2"/>
      <c r="Z808" s="2"/>
      <c r="AA808" s="2"/>
      <c r="AB808" s="2"/>
      <c r="AC808" s="2"/>
      <c r="AG808" s="2"/>
      <c r="AK808" s="2"/>
      <c r="AL808" s="2"/>
      <c r="AM808" s="2"/>
      <c r="AN808" s="3"/>
      <c r="AO808" s="2"/>
      <c r="AU808" s="5"/>
    </row>
    <row r="809" ht="15.75" customHeight="1" spans="1:47">
      <c r="A809" s="2"/>
      <c r="F809" s="2"/>
      <c r="G809" s="2"/>
      <c r="K809" s="2"/>
      <c r="O809" s="2"/>
      <c r="P809" s="2"/>
      <c r="R809" s="2"/>
      <c r="T809" s="2"/>
      <c r="X809" s="2"/>
      <c r="Y809" s="2"/>
      <c r="Z809" s="2"/>
      <c r="AA809" s="2"/>
      <c r="AB809" s="2"/>
      <c r="AC809" s="2"/>
      <c r="AG809" s="2"/>
      <c r="AK809" s="2"/>
      <c r="AL809" s="2"/>
      <c r="AM809" s="2"/>
      <c r="AN809" s="3"/>
      <c r="AO809" s="2"/>
      <c r="AU809" s="5"/>
    </row>
    <row r="810" ht="15.75" customHeight="1" spans="1:47">
      <c r="A810" s="2"/>
      <c r="F810" s="2"/>
      <c r="G810" s="2"/>
      <c r="K810" s="2"/>
      <c r="O810" s="2"/>
      <c r="P810" s="2"/>
      <c r="R810" s="2"/>
      <c r="T810" s="2"/>
      <c r="X810" s="2"/>
      <c r="Y810" s="2"/>
      <c r="Z810" s="2"/>
      <c r="AA810" s="2"/>
      <c r="AB810" s="2"/>
      <c r="AC810" s="2"/>
      <c r="AG810" s="2"/>
      <c r="AK810" s="2"/>
      <c r="AL810" s="2"/>
      <c r="AM810" s="2"/>
      <c r="AN810" s="3"/>
      <c r="AO810" s="2"/>
      <c r="AU810" s="5"/>
    </row>
    <row r="811" ht="15.75" customHeight="1" spans="1:47">
      <c r="A811" s="2"/>
      <c r="F811" s="2"/>
      <c r="G811" s="2"/>
      <c r="K811" s="2"/>
      <c r="O811" s="2"/>
      <c r="P811" s="2"/>
      <c r="R811" s="2"/>
      <c r="T811" s="2"/>
      <c r="X811" s="2"/>
      <c r="Y811" s="2"/>
      <c r="Z811" s="2"/>
      <c r="AA811" s="2"/>
      <c r="AB811" s="2"/>
      <c r="AC811" s="2"/>
      <c r="AG811" s="2"/>
      <c r="AK811" s="2"/>
      <c r="AL811" s="2"/>
      <c r="AM811" s="2"/>
      <c r="AN811" s="3"/>
      <c r="AO811" s="2"/>
      <c r="AU811" s="5"/>
    </row>
    <row r="812" ht="15.75" customHeight="1" spans="1:47">
      <c r="A812" s="2"/>
      <c r="F812" s="2"/>
      <c r="G812" s="2"/>
      <c r="K812" s="2"/>
      <c r="O812" s="2"/>
      <c r="P812" s="2"/>
      <c r="R812" s="2"/>
      <c r="T812" s="2"/>
      <c r="X812" s="2"/>
      <c r="Y812" s="2"/>
      <c r="Z812" s="2"/>
      <c r="AA812" s="2"/>
      <c r="AB812" s="2"/>
      <c r="AC812" s="2"/>
      <c r="AG812" s="2"/>
      <c r="AK812" s="2"/>
      <c r="AL812" s="2"/>
      <c r="AM812" s="2"/>
      <c r="AN812" s="3"/>
      <c r="AO812" s="2"/>
      <c r="AU812" s="5"/>
    </row>
    <row r="813" ht="15.75" customHeight="1" spans="1:47">
      <c r="A813" s="2"/>
      <c r="F813" s="2"/>
      <c r="G813" s="2"/>
      <c r="K813" s="2"/>
      <c r="O813" s="2"/>
      <c r="P813" s="2"/>
      <c r="R813" s="2"/>
      <c r="T813" s="2"/>
      <c r="X813" s="2"/>
      <c r="Y813" s="2"/>
      <c r="Z813" s="2"/>
      <c r="AA813" s="2"/>
      <c r="AB813" s="2"/>
      <c r="AC813" s="2"/>
      <c r="AG813" s="2"/>
      <c r="AK813" s="2"/>
      <c r="AL813" s="2"/>
      <c r="AM813" s="2"/>
      <c r="AN813" s="3"/>
      <c r="AO813" s="2"/>
      <c r="AU813" s="5"/>
    </row>
    <row r="814" ht="15.75" customHeight="1" spans="1:47">
      <c r="A814" s="2"/>
      <c r="F814" s="2"/>
      <c r="G814" s="2"/>
      <c r="K814" s="2"/>
      <c r="O814" s="2"/>
      <c r="P814" s="2"/>
      <c r="R814" s="2"/>
      <c r="T814" s="2"/>
      <c r="X814" s="2"/>
      <c r="Y814" s="2"/>
      <c r="Z814" s="2"/>
      <c r="AA814" s="2"/>
      <c r="AB814" s="2"/>
      <c r="AC814" s="2"/>
      <c r="AG814" s="2"/>
      <c r="AK814" s="2"/>
      <c r="AL814" s="2"/>
      <c r="AM814" s="2"/>
      <c r="AN814" s="3"/>
      <c r="AO814" s="2"/>
      <c r="AU814" s="5"/>
    </row>
    <row r="815" ht="15.75" customHeight="1" spans="1:47">
      <c r="A815" s="2"/>
      <c r="F815" s="2"/>
      <c r="G815" s="2"/>
      <c r="K815" s="2"/>
      <c r="O815" s="2"/>
      <c r="P815" s="2"/>
      <c r="R815" s="2"/>
      <c r="T815" s="2"/>
      <c r="X815" s="2"/>
      <c r="Y815" s="2"/>
      <c r="Z815" s="2"/>
      <c r="AA815" s="2"/>
      <c r="AB815" s="2"/>
      <c r="AC815" s="2"/>
      <c r="AG815" s="2"/>
      <c r="AK815" s="2"/>
      <c r="AL815" s="2"/>
      <c r="AM815" s="2"/>
      <c r="AN815" s="3"/>
      <c r="AO815" s="2"/>
      <c r="AU815" s="5"/>
    </row>
    <row r="816" ht="15.75" customHeight="1" spans="1:47">
      <c r="A816" s="2"/>
      <c r="F816" s="2"/>
      <c r="G816" s="2"/>
      <c r="K816" s="2"/>
      <c r="O816" s="2"/>
      <c r="P816" s="2"/>
      <c r="R816" s="2"/>
      <c r="T816" s="2"/>
      <c r="X816" s="2"/>
      <c r="Y816" s="2"/>
      <c r="Z816" s="2"/>
      <c r="AA816" s="2"/>
      <c r="AB816" s="2"/>
      <c r="AC816" s="2"/>
      <c r="AG816" s="2"/>
      <c r="AK816" s="2"/>
      <c r="AL816" s="2"/>
      <c r="AM816" s="2"/>
      <c r="AN816" s="3"/>
      <c r="AO816" s="2"/>
      <c r="AU816" s="5"/>
    </row>
    <row r="817" ht="15.75" customHeight="1" spans="1:47">
      <c r="A817" s="2"/>
      <c r="F817" s="2"/>
      <c r="G817" s="2"/>
      <c r="K817" s="2"/>
      <c r="O817" s="2"/>
      <c r="P817" s="2"/>
      <c r="R817" s="2"/>
      <c r="T817" s="2"/>
      <c r="X817" s="2"/>
      <c r="Y817" s="2"/>
      <c r="Z817" s="2"/>
      <c r="AA817" s="2"/>
      <c r="AB817" s="2"/>
      <c r="AC817" s="2"/>
      <c r="AG817" s="2"/>
      <c r="AK817" s="2"/>
      <c r="AL817" s="2"/>
      <c r="AM817" s="2"/>
      <c r="AN817" s="3"/>
      <c r="AO817" s="2"/>
      <c r="AU817" s="5"/>
    </row>
    <row r="818" ht="15.75" customHeight="1" spans="1:47">
      <c r="A818" s="2"/>
      <c r="F818" s="2"/>
      <c r="G818" s="2"/>
      <c r="K818" s="2"/>
      <c r="O818" s="2"/>
      <c r="P818" s="2"/>
      <c r="R818" s="2"/>
      <c r="T818" s="2"/>
      <c r="X818" s="2"/>
      <c r="Y818" s="2"/>
      <c r="Z818" s="2"/>
      <c r="AA818" s="2"/>
      <c r="AB818" s="2"/>
      <c r="AC818" s="2"/>
      <c r="AG818" s="2"/>
      <c r="AK818" s="2"/>
      <c r="AL818" s="2"/>
      <c r="AM818" s="2"/>
      <c r="AN818" s="3"/>
      <c r="AO818" s="2"/>
      <c r="AU818" s="5"/>
    </row>
    <row r="819" ht="15.75" customHeight="1" spans="1:47">
      <c r="A819" s="2"/>
      <c r="F819" s="2"/>
      <c r="G819" s="2"/>
      <c r="K819" s="2"/>
      <c r="O819" s="2"/>
      <c r="P819" s="2"/>
      <c r="R819" s="2"/>
      <c r="T819" s="2"/>
      <c r="X819" s="2"/>
      <c r="Y819" s="2"/>
      <c r="Z819" s="2"/>
      <c r="AA819" s="2"/>
      <c r="AB819" s="2"/>
      <c r="AC819" s="2"/>
      <c r="AG819" s="2"/>
      <c r="AK819" s="2"/>
      <c r="AL819" s="2"/>
      <c r="AM819" s="2"/>
      <c r="AN819" s="3"/>
      <c r="AO819" s="2"/>
      <c r="AU819" s="5"/>
    </row>
    <row r="820" ht="15.75" customHeight="1" spans="1:47">
      <c r="A820" s="2"/>
      <c r="F820" s="2"/>
      <c r="G820" s="2"/>
      <c r="K820" s="2"/>
      <c r="O820" s="2"/>
      <c r="P820" s="2"/>
      <c r="R820" s="2"/>
      <c r="T820" s="2"/>
      <c r="X820" s="2"/>
      <c r="Y820" s="2"/>
      <c r="Z820" s="2"/>
      <c r="AA820" s="2"/>
      <c r="AB820" s="2"/>
      <c r="AC820" s="2"/>
      <c r="AG820" s="2"/>
      <c r="AK820" s="2"/>
      <c r="AL820" s="2"/>
      <c r="AM820" s="2"/>
      <c r="AN820" s="3"/>
      <c r="AO820" s="2"/>
      <c r="AU820" s="5"/>
    </row>
    <row r="821" ht="15.75" customHeight="1" spans="1:47">
      <c r="A821" s="2"/>
      <c r="F821" s="2"/>
      <c r="G821" s="2"/>
      <c r="K821" s="2"/>
      <c r="O821" s="2"/>
      <c r="P821" s="2"/>
      <c r="R821" s="2"/>
      <c r="T821" s="2"/>
      <c r="X821" s="2"/>
      <c r="Y821" s="2"/>
      <c r="Z821" s="2"/>
      <c r="AA821" s="2"/>
      <c r="AB821" s="2"/>
      <c r="AC821" s="2"/>
      <c r="AG821" s="2"/>
      <c r="AK821" s="2"/>
      <c r="AL821" s="2"/>
      <c r="AM821" s="2"/>
      <c r="AN821" s="3"/>
      <c r="AO821" s="2"/>
      <c r="AU821" s="5"/>
    </row>
    <row r="822" ht="15.75" customHeight="1" spans="1:47">
      <c r="A822" s="2"/>
      <c r="F822" s="2"/>
      <c r="G822" s="2"/>
      <c r="K822" s="2"/>
      <c r="O822" s="2"/>
      <c r="P822" s="2"/>
      <c r="R822" s="2"/>
      <c r="T822" s="2"/>
      <c r="X822" s="2"/>
      <c r="Y822" s="2"/>
      <c r="Z822" s="2"/>
      <c r="AA822" s="2"/>
      <c r="AB822" s="2"/>
      <c r="AC822" s="2"/>
      <c r="AG822" s="2"/>
      <c r="AK822" s="2"/>
      <c r="AL822" s="2"/>
      <c r="AM822" s="2"/>
      <c r="AN822" s="3"/>
      <c r="AO822" s="2"/>
      <c r="AU822" s="5"/>
    </row>
    <row r="823" ht="15.75" customHeight="1" spans="1:47">
      <c r="A823" s="2"/>
      <c r="F823" s="2"/>
      <c r="G823" s="2"/>
      <c r="K823" s="2"/>
      <c r="O823" s="2"/>
      <c r="P823" s="2"/>
      <c r="R823" s="2"/>
      <c r="T823" s="2"/>
      <c r="X823" s="2"/>
      <c r="Y823" s="2"/>
      <c r="Z823" s="2"/>
      <c r="AA823" s="2"/>
      <c r="AB823" s="2"/>
      <c r="AC823" s="2"/>
      <c r="AG823" s="2"/>
      <c r="AK823" s="2"/>
      <c r="AL823" s="2"/>
      <c r="AM823" s="2"/>
      <c r="AN823" s="3"/>
      <c r="AO823" s="2"/>
      <c r="AU823" s="5"/>
    </row>
    <row r="824" ht="15.75" customHeight="1" spans="1:47">
      <c r="A824" s="2"/>
      <c r="F824" s="2"/>
      <c r="G824" s="2"/>
      <c r="K824" s="2"/>
      <c r="O824" s="2"/>
      <c r="P824" s="2"/>
      <c r="R824" s="2"/>
      <c r="T824" s="2"/>
      <c r="X824" s="2"/>
      <c r="Y824" s="2"/>
      <c r="Z824" s="2"/>
      <c r="AA824" s="2"/>
      <c r="AB824" s="2"/>
      <c r="AC824" s="2"/>
      <c r="AG824" s="2"/>
      <c r="AK824" s="2"/>
      <c r="AL824" s="2"/>
      <c r="AM824" s="2"/>
      <c r="AN824" s="3"/>
      <c r="AO824" s="2"/>
      <c r="AU824" s="5"/>
    </row>
    <row r="825" ht="15.75" customHeight="1" spans="1:47">
      <c r="A825" s="2"/>
      <c r="F825" s="2"/>
      <c r="G825" s="2"/>
      <c r="K825" s="2"/>
      <c r="O825" s="2"/>
      <c r="P825" s="2"/>
      <c r="R825" s="2"/>
      <c r="T825" s="2"/>
      <c r="X825" s="2"/>
      <c r="Y825" s="2"/>
      <c r="Z825" s="2"/>
      <c r="AA825" s="2"/>
      <c r="AB825" s="2"/>
      <c r="AC825" s="2"/>
      <c r="AG825" s="2"/>
      <c r="AK825" s="2"/>
      <c r="AL825" s="2"/>
      <c r="AM825" s="2"/>
      <c r="AN825" s="3"/>
      <c r="AO825" s="2"/>
      <c r="AU825" s="5"/>
    </row>
    <row r="826" ht="15.75" customHeight="1" spans="1:47">
      <c r="A826" s="2"/>
      <c r="F826" s="2"/>
      <c r="G826" s="2"/>
      <c r="K826" s="2"/>
      <c r="O826" s="2"/>
      <c r="P826" s="2"/>
      <c r="R826" s="2"/>
      <c r="T826" s="2"/>
      <c r="X826" s="2"/>
      <c r="Y826" s="2"/>
      <c r="Z826" s="2"/>
      <c r="AA826" s="2"/>
      <c r="AB826" s="2"/>
      <c r="AC826" s="2"/>
      <c r="AG826" s="2"/>
      <c r="AK826" s="2"/>
      <c r="AL826" s="2"/>
      <c r="AM826" s="2"/>
      <c r="AN826" s="3"/>
      <c r="AO826" s="2"/>
      <c r="AU826" s="5"/>
    </row>
    <row r="827" ht="15.75" customHeight="1" spans="1:47">
      <c r="A827" s="2"/>
      <c r="F827" s="2"/>
      <c r="G827" s="2"/>
      <c r="K827" s="2"/>
      <c r="O827" s="2"/>
      <c r="P827" s="2"/>
      <c r="R827" s="2"/>
      <c r="T827" s="2"/>
      <c r="X827" s="2"/>
      <c r="Y827" s="2"/>
      <c r="Z827" s="2"/>
      <c r="AA827" s="2"/>
      <c r="AB827" s="2"/>
      <c r="AC827" s="2"/>
      <c r="AG827" s="2"/>
      <c r="AK827" s="2"/>
      <c r="AL827" s="2"/>
      <c r="AM827" s="2"/>
      <c r="AN827" s="3"/>
      <c r="AO827" s="2"/>
      <c r="AU827" s="5"/>
    </row>
    <row r="828" ht="15.75" customHeight="1" spans="1:47">
      <c r="A828" s="2"/>
      <c r="F828" s="2"/>
      <c r="G828" s="2"/>
      <c r="K828" s="2"/>
      <c r="O828" s="2"/>
      <c r="P828" s="2"/>
      <c r="R828" s="2"/>
      <c r="T828" s="2"/>
      <c r="X828" s="2"/>
      <c r="Y828" s="2"/>
      <c r="Z828" s="2"/>
      <c r="AA828" s="2"/>
      <c r="AB828" s="2"/>
      <c r="AC828" s="2"/>
      <c r="AG828" s="2"/>
      <c r="AK828" s="2"/>
      <c r="AL828" s="2"/>
      <c r="AM828" s="2"/>
      <c r="AN828" s="3"/>
      <c r="AO828" s="2"/>
      <c r="AU828" s="5"/>
    </row>
    <row r="829" ht="15.75" customHeight="1" spans="1:47">
      <c r="A829" s="2"/>
      <c r="F829" s="2"/>
      <c r="G829" s="2"/>
      <c r="K829" s="2"/>
      <c r="O829" s="2"/>
      <c r="P829" s="2"/>
      <c r="R829" s="2"/>
      <c r="T829" s="2"/>
      <c r="X829" s="2"/>
      <c r="Y829" s="2"/>
      <c r="Z829" s="2"/>
      <c r="AA829" s="2"/>
      <c r="AB829" s="2"/>
      <c r="AC829" s="2"/>
      <c r="AG829" s="2"/>
      <c r="AK829" s="2"/>
      <c r="AL829" s="2"/>
      <c r="AM829" s="2"/>
      <c r="AN829" s="3"/>
      <c r="AO829" s="2"/>
      <c r="AU829" s="5"/>
    </row>
    <row r="830" ht="15.75" customHeight="1" spans="1:47">
      <c r="A830" s="2"/>
      <c r="F830" s="2"/>
      <c r="G830" s="2"/>
      <c r="K830" s="2"/>
      <c r="O830" s="2"/>
      <c r="P830" s="2"/>
      <c r="R830" s="2"/>
      <c r="T830" s="2"/>
      <c r="X830" s="2"/>
      <c r="Y830" s="2"/>
      <c r="Z830" s="2"/>
      <c r="AA830" s="2"/>
      <c r="AB830" s="2"/>
      <c r="AC830" s="2"/>
      <c r="AG830" s="2"/>
      <c r="AK830" s="2"/>
      <c r="AL830" s="2"/>
      <c r="AM830" s="2"/>
      <c r="AN830" s="3"/>
      <c r="AO830" s="2"/>
      <c r="AU830" s="5"/>
    </row>
    <row r="831" ht="15.75" customHeight="1" spans="1:47">
      <c r="A831" s="2"/>
      <c r="F831" s="2"/>
      <c r="G831" s="2"/>
      <c r="K831" s="2"/>
      <c r="O831" s="2"/>
      <c r="P831" s="2"/>
      <c r="R831" s="2"/>
      <c r="T831" s="2"/>
      <c r="X831" s="2"/>
      <c r="Y831" s="2"/>
      <c r="Z831" s="2"/>
      <c r="AA831" s="2"/>
      <c r="AB831" s="2"/>
      <c r="AC831" s="2"/>
      <c r="AG831" s="2"/>
      <c r="AK831" s="2"/>
      <c r="AL831" s="2"/>
      <c r="AM831" s="2"/>
      <c r="AN831" s="3"/>
      <c r="AO831" s="2"/>
      <c r="AU831" s="5"/>
    </row>
    <row r="832" ht="15.75" customHeight="1" spans="1:47">
      <c r="A832" s="2"/>
      <c r="F832" s="2"/>
      <c r="G832" s="2"/>
      <c r="K832" s="2"/>
      <c r="O832" s="2"/>
      <c r="P832" s="2"/>
      <c r="R832" s="2"/>
      <c r="T832" s="2"/>
      <c r="X832" s="2"/>
      <c r="Y832" s="2"/>
      <c r="Z832" s="2"/>
      <c r="AA832" s="2"/>
      <c r="AB832" s="2"/>
      <c r="AC832" s="2"/>
      <c r="AG832" s="2"/>
      <c r="AK832" s="2"/>
      <c r="AL832" s="2"/>
      <c r="AM832" s="2"/>
      <c r="AN832" s="3"/>
      <c r="AO832" s="2"/>
      <c r="AU832" s="5"/>
    </row>
    <row r="833" ht="15.75" customHeight="1" spans="1:47">
      <c r="A833" s="2"/>
      <c r="F833" s="2"/>
      <c r="G833" s="2"/>
      <c r="K833" s="2"/>
      <c r="O833" s="2"/>
      <c r="P833" s="2"/>
      <c r="R833" s="2"/>
      <c r="T833" s="2"/>
      <c r="X833" s="2"/>
      <c r="Y833" s="2"/>
      <c r="Z833" s="2"/>
      <c r="AA833" s="2"/>
      <c r="AB833" s="2"/>
      <c r="AC833" s="2"/>
      <c r="AG833" s="2"/>
      <c r="AK833" s="2"/>
      <c r="AL833" s="2"/>
      <c r="AM833" s="2"/>
      <c r="AN833" s="3"/>
      <c r="AO833" s="2"/>
      <c r="AU833" s="5"/>
    </row>
    <row r="834" ht="15.75" customHeight="1" spans="1:47">
      <c r="A834" s="2"/>
      <c r="F834" s="2"/>
      <c r="G834" s="2"/>
      <c r="K834" s="2"/>
      <c r="O834" s="2"/>
      <c r="P834" s="2"/>
      <c r="R834" s="2"/>
      <c r="T834" s="2"/>
      <c r="X834" s="2"/>
      <c r="Y834" s="2"/>
      <c r="Z834" s="2"/>
      <c r="AA834" s="2"/>
      <c r="AB834" s="2"/>
      <c r="AC834" s="2"/>
      <c r="AG834" s="2"/>
      <c r="AK834" s="2"/>
      <c r="AL834" s="2"/>
      <c r="AM834" s="2"/>
      <c r="AN834" s="3"/>
      <c r="AO834" s="2"/>
      <c r="AU834" s="5"/>
    </row>
    <row r="835" ht="15.75" customHeight="1" spans="1:47">
      <c r="A835" s="2"/>
      <c r="F835" s="2"/>
      <c r="G835" s="2"/>
      <c r="K835" s="2"/>
      <c r="O835" s="2"/>
      <c r="P835" s="2"/>
      <c r="R835" s="2"/>
      <c r="T835" s="2"/>
      <c r="X835" s="2"/>
      <c r="Y835" s="2"/>
      <c r="Z835" s="2"/>
      <c r="AA835" s="2"/>
      <c r="AB835" s="2"/>
      <c r="AC835" s="2"/>
      <c r="AG835" s="2"/>
      <c r="AK835" s="2"/>
      <c r="AL835" s="2"/>
      <c r="AM835" s="2"/>
      <c r="AN835" s="3"/>
      <c r="AO835" s="2"/>
      <c r="AU835" s="5"/>
    </row>
    <row r="836" ht="15.75" customHeight="1" spans="1:47">
      <c r="A836" s="2"/>
      <c r="F836" s="2"/>
      <c r="G836" s="2"/>
      <c r="K836" s="2"/>
      <c r="O836" s="2"/>
      <c r="P836" s="2"/>
      <c r="R836" s="2"/>
      <c r="T836" s="2"/>
      <c r="X836" s="2"/>
      <c r="Y836" s="2"/>
      <c r="Z836" s="2"/>
      <c r="AA836" s="2"/>
      <c r="AB836" s="2"/>
      <c r="AC836" s="2"/>
      <c r="AG836" s="2"/>
      <c r="AK836" s="2"/>
      <c r="AL836" s="2"/>
      <c r="AM836" s="2"/>
      <c r="AN836" s="3"/>
      <c r="AO836" s="2"/>
      <c r="AU836" s="5"/>
    </row>
    <row r="837" ht="15.75" customHeight="1" spans="1:47">
      <c r="A837" s="2"/>
      <c r="F837" s="2"/>
      <c r="G837" s="2"/>
      <c r="K837" s="2"/>
      <c r="O837" s="2"/>
      <c r="P837" s="2"/>
      <c r="R837" s="2"/>
      <c r="T837" s="2"/>
      <c r="X837" s="2"/>
      <c r="Y837" s="2"/>
      <c r="Z837" s="2"/>
      <c r="AA837" s="2"/>
      <c r="AB837" s="2"/>
      <c r="AC837" s="2"/>
      <c r="AG837" s="2"/>
      <c r="AK837" s="2"/>
      <c r="AL837" s="2"/>
      <c r="AM837" s="2"/>
      <c r="AN837" s="3"/>
      <c r="AO837" s="2"/>
      <c r="AU837" s="5"/>
    </row>
    <row r="838" ht="15.75" customHeight="1" spans="1:47">
      <c r="A838" s="2"/>
      <c r="F838" s="2"/>
      <c r="G838" s="2"/>
      <c r="K838" s="2"/>
      <c r="O838" s="2"/>
      <c r="P838" s="2"/>
      <c r="R838" s="2"/>
      <c r="T838" s="2"/>
      <c r="X838" s="2"/>
      <c r="Y838" s="2"/>
      <c r="Z838" s="2"/>
      <c r="AA838" s="2"/>
      <c r="AB838" s="2"/>
      <c r="AC838" s="2"/>
      <c r="AG838" s="2"/>
      <c r="AK838" s="2"/>
      <c r="AL838" s="2"/>
      <c r="AM838" s="2"/>
      <c r="AN838" s="3"/>
      <c r="AO838" s="2"/>
      <c r="AU838" s="5"/>
    </row>
    <row r="839" ht="15.75" customHeight="1" spans="1:47">
      <c r="A839" s="2"/>
      <c r="F839" s="2"/>
      <c r="G839" s="2"/>
      <c r="K839" s="2"/>
      <c r="O839" s="2"/>
      <c r="P839" s="2"/>
      <c r="R839" s="2"/>
      <c r="T839" s="2"/>
      <c r="X839" s="2"/>
      <c r="Y839" s="2"/>
      <c r="Z839" s="2"/>
      <c r="AA839" s="2"/>
      <c r="AB839" s="2"/>
      <c r="AC839" s="2"/>
      <c r="AG839" s="2"/>
      <c r="AK839" s="2"/>
      <c r="AL839" s="2"/>
      <c r="AM839" s="2"/>
      <c r="AN839" s="3"/>
      <c r="AO839" s="2"/>
      <c r="AU839" s="5"/>
    </row>
    <row r="840" ht="15.75" customHeight="1" spans="1:47">
      <c r="A840" s="2"/>
      <c r="F840" s="2"/>
      <c r="G840" s="2"/>
      <c r="K840" s="2"/>
      <c r="O840" s="2"/>
      <c r="P840" s="2"/>
      <c r="R840" s="2"/>
      <c r="T840" s="2"/>
      <c r="X840" s="2"/>
      <c r="Y840" s="2"/>
      <c r="Z840" s="2"/>
      <c r="AA840" s="2"/>
      <c r="AB840" s="2"/>
      <c r="AC840" s="2"/>
      <c r="AG840" s="2"/>
      <c r="AK840" s="2"/>
      <c r="AL840" s="2"/>
      <c r="AM840" s="2"/>
      <c r="AN840" s="3"/>
      <c r="AO840" s="2"/>
      <c r="AU840" s="5"/>
    </row>
    <row r="841" ht="15.75" customHeight="1" spans="1:47">
      <c r="A841" s="2"/>
      <c r="F841" s="2"/>
      <c r="G841" s="2"/>
      <c r="K841" s="2"/>
      <c r="O841" s="2"/>
      <c r="P841" s="2"/>
      <c r="R841" s="2"/>
      <c r="T841" s="2"/>
      <c r="X841" s="2"/>
      <c r="Y841" s="2"/>
      <c r="Z841" s="2"/>
      <c r="AA841" s="2"/>
      <c r="AB841" s="2"/>
      <c r="AC841" s="2"/>
      <c r="AG841" s="2"/>
      <c r="AK841" s="2"/>
      <c r="AL841" s="2"/>
      <c r="AM841" s="2"/>
      <c r="AN841" s="3"/>
      <c r="AO841" s="2"/>
      <c r="AU841" s="5"/>
    </row>
    <row r="842" ht="15.75" customHeight="1" spans="1:47">
      <c r="A842" s="2"/>
      <c r="F842" s="2"/>
      <c r="G842" s="2"/>
      <c r="K842" s="2"/>
      <c r="O842" s="2"/>
      <c r="P842" s="2"/>
      <c r="R842" s="2"/>
      <c r="T842" s="2"/>
      <c r="X842" s="2"/>
      <c r="Y842" s="2"/>
      <c r="Z842" s="2"/>
      <c r="AA842" s="2"/>
      <c r="AB842" s="2"/>
      <c r="AC842" s="2"/>
      <c r="AG842" s="2"/>
      <c r="AK842" s="2"/>
      <c r="AL842" s="2"/>
      <c r="AM842" s="2"/>
      <c r="AN842" s="3"/>
      <c r="AO842" s="2"/>
      <c r="AU842" s="5"/>
    </row>
    <row r="843" ht="15.75" customHeight="1" spans="1:47">
      <c r="A843" s="2"/>
      <c r="F843" s="2"/>
      <c r="G843" s="2"/>
      <c r="K843" s="2"/>
      <c r="O843" s="2"/>
      <c r="P843" s="2"/>
      <c r="R843" s="2"/>
      <c r="T843" s="2"/>
      <c r="X843" s="2"/>
      <c r="Y843" s="2"/>
      <c r="Z843" s="2"/>
      <c r="AA843" s="2"/>
      <c r="AB843" s="2"/>
      <c r="AC843" s="2"/>
      <c r="AG843" s="2"/>
      <c r="AK843" s="2"/>
      <c r="AL843" s="2"/>
      <c r="AM843" s="2"/>
      <c r="AN843" s="3"/>
      <c r="AO843" s="2"/>
      <c r="AU843" s="5"/>
    </row>
    <row r="844" ht="15.75" customHeight="1" spans="1:47">
      <c r="A844" s="2"/>
      <c r="F844" s="2"/>
      <c r="G844" s="2"/>
      <c r="K844" s="2"/>
      <c r="O844" s="2"/>
      <c r="P844" s="2"/>
      <c r="R844" s="2"/>
      <c r="T844" s="2"/>
      <c r="X844" s="2"/>
      <c r="Y844" s="2"/>
      <c r="Z844" s="2"/>
      <c r="AA844" s="2"/>
      <c r="AB844" s="2"/>
      <c r="AC844" s="2"/>
      <c r="AG844" s="2"/>
      <c r="AK844" s="2"/>
      <c r="AL844" s="2"/>
      <c r="AM844" s="2"/>
      <c r="AN844" s="3"/>
      <c r="AO844" s="2"/>
      <c r="AU844" s="5"/>
    </row>
    <row r="845" ht="15.75" customHeight="1" spans="1:47">
      <c r="A845" s="2"/>
      <c r="F845" s="2"/>
      <c r="G845" s="2"/>
      <c r="K845" s="2"/>
      <c r="O845" s="2"/>
      <c r="P845" s="2"/>
      <c r="R845" s="2"/>
      <c r="T845" s="2"/>
      <c r="X845" s="2"/>
      <c r="Y845" s="2"/>
      <c r="Z845" s="2"/>
      <c r="AA845" s="2"/>
      <c r="AB845" s="2"/>
      <c r="AC845" s="2"/>
      <c r="AG845" s="2"/>
      <c r="AK845" s="2"/>
      <c r="AL845" s="2"/>
      <c r="AM845" s="2"/>
      <c r="AN845" s="3"/>
      <c r="AO845" s="2"/>
      <c r="AU845" s="5"/>
    </row>
    <row r="846" ht="15.75" customHeight="1" spans="1:47">
      <c r="A846" s="2"/>
      <c r="F846" s="2"/>
      <c r="G846" s="2"/>
      <c r="K846" s="2"/>
      <c r="O846" s="2"/>
      <c r="P846" s="2"/>
      <c r="R846" s="2"/>
      <c r="T846" s="2"/>
      <c r="X846" s="2"/>
      <c r="Y846" s="2"/>
      <c r="Z846" s="2"/>
      <c r="AA846" s="2"/>
      <c r="AB846" s="2"/>
      <c r="AC846" s="2"/>
      <c r="AG846" s="2"/>
      <c r="AK846" s="2"/>
      <c r="AL846" s="2"/>
      <c r="AM846" s="2"/>
      <c r="AN846" s="3"/>
      <c r="AO846" s="2"/>
      <c r="AU846" s="5"/>
    </row>
    <row r="847" ht="15.75" customHeight="1" spans="1:47">
      <c r="A847" s="2"/>
      <c r="F847" s="2"/>
      <c r="G847" s="2"/>
      <c r="K847" s="2"/>
      <c r="O847" s="2"/>
      <c r="P847" s="2"/>
      <c r="R847" s="2"/>
      <c r="T847" s="2"/>
      <c r="X847" s="2"/>
      <c r="Y847" s="2"/>
      <c r="Z847" s="2"/>
      <c r="AA847" s="2"/>
      <c r="AB847" s="2"/>
      <c r="AC847" s="2"/>
      <c r="AG847" s="2"/>
      <c r="AK847" s="2"/>
      <c r="AL847" s="2"/>
      <c r="AM847" s="2"/>
      <c r="AN847" s="3"/>
      <c r="AO847" s="2"/>
      <c r="AU847" s="5"/>
    </row>
    <row r="848" ht="15.75" customHeight="1" spans="1:47">
      <c r="A848" s="2"/>
      <c r="F848" s="2"/>
      <c r="G848" s="2"/>
      <c r="K848" s="2"/>
      <c r="O848" s="2"/>
      <c r="P848" s="2"/>
      <c r="R848" s="2"/>
      <c r="T848" s="2"/>
      <c r="X848" s="2"/>
      <c r="Y848" s="2"/>
      <c r="Z848" s="2"/>
      <c r="AA848" s="2"/>
      <c r="AB848" s="2"/>
      <c r="AC848" s="2"/>
      <c r="AG848" s="2"/>
      <c r="AK848" s="2"/>
      <c r="AL848" s="2"/>
      <c r="AM848" s="2"/>
      <c r="AN848" s="3"/>
      <c r="AO848" s="2"/>
      <c r="AU848" s="5"/>
    </row>
    <row r="849" ht="15.75" customHeight="1" spans="1:47">
      <c r="A849" s="2"/>
      <c r="F849" s="2"/>
      <c r="G849" s="2"/>
      <c r="K849" s="2"/>
      <c r="O849" s="2"/>
      <c r="P849" s="2"/>
      <c r="R849" s="2"/>
      <c r="T849" s="2"/>
      <c r="X849" s="2"/>
      <c r="Y849" s="2"/>
      <c r="Z849" s="2"/>
      <c r="AA849" s="2"/>
      <c r="AB849" s="2"/>
      <c r="AC849" s="2"/>
      <c r="AG849" s="2"/>
      <c r="AK849" s="2"/>
      <c r="AL849" s="2"/>
      <c r="AM849" s="2"/>
      <c r="AN849" s="3"/>
      <c r="AO849" s="2"/>
      <c r="AU849" s="5"/>
    </row>
    <row r="850" ht="15.75" customHeight="1" spans="1:47">
      <c r="A850" s="2"/>
      <c r="F850" s="2"/>
      <c r="G850" s="2"/>
      <c r="K850" s="2"/>
      <c r="O850" s="2"/>
      <c r="P850" s="2"/>
      <c r="R850" s="2"/>
      <c r="T850" s="2"/>
      <c r="X850" s="2"/>
      <c r="Y850" s="2"/>
      <c r="Z850" s="2"/>
      <c r="AA850" s="2"/>
      <c r="AB850" s="2"/>
      <c r="AC850" s="2"/>
      <c r="AG850" s="2"/>
      <c r="AK850" s="2"/>
      <c r="AL850" s="2"/>
      <c r="AM850" s="2"/>
      <c r="AN850" s="3"/>
      <c r="AO850" s="2"/>
      <c r="AU850" s="5"/>
    </row>
    <row r="851" ht="15.75" customHeight="1" spans="1:47">
      <c r="A851" s="2"/>
      <c r="F851" s="2"/>
      <c r="G851" s="2"/>
      <c r="K851" s="2"/>
      <c r="O851" s="2"/>
      <c r="P851" s="2"/>
      <c r="R851" s="2"/>
      <c r="T851" s="2"/>
      <c r="X851" s="2"/>
      <c r="Y851" s="2"/>
      <c r="Z851" s="2"/>
      <c r="AA851" s="2"/>
      <c r="AB851" s="2"/>
      <c r="AC851" s="2"/>
      <c r="AG851" s="2"/>
      <c r="AK851" s="2"/>
      <c r="AL851" s="2"/>
      <c r="AM851" s="2"/>
      <c r="AN851" s="3"/>
      <c r="AO851" s="2"/>
      <c r="AU851" s="5"/>
    </row>
    <row r="852" ht="15.75" customHeight="1" spans="1:47">
      <c r="A852" s="2"/>
      <c r="F852" s="2"/>
      <c r="G852" s="2"/>
      <c r="K852" s="2"/>
      <c r="O852" s="2"/>
      <c r="P852" s="2"/>
      <c r="R852" s="2"/>
      <c r="T852" s="2"/>
      <c r="X852" s="2"/>
      <c r="Y852" s="2"/>
      <c r="Z852" s="2"/>
      <c r="AA852" s="2"/>
      <c r="AB852" s="2"/>
      <c r="AC852" s="2"/>
      <c r="AG852" s="2"/>
      <c r="AK852" s="2"/>
      <c r="AL852" s="2"/>
      <c r="AM852" s="2"/>
      <c r="AN852" s="3"/>
      <c r="AO852" s="2"/>
      <c r="AU852" s="5"/>
    </row>
    <row r="853" ht="15.75" customHeight="1" spans="1:47">
      <c r="A853" s="2"/>
      <c r="F853" s="2"/>
      <c r="G853" s="2"/>
      <c r="K853" s="2"/>
      <c r="O853" s="2"/>
      <c r="P853" s="2"/>
      <c r="R853" s="2"/>
      <c r="T853" s="2"/>
      <c r="X853" s="2"/>
      <c r="Y853" s="2"/>
      <c r="Z853" s="2"/>
      <c r="AA853" s="2"/>
      <c r="AB853" s="2"/>
      <c r="AC853" s="2"/>
      <c r="AG853" s="2"/>
      <c r="AK853" s="2"/>
      <c r="AL853" s="2"/>
      <c r="AM853" s="2"/>
      <c r="AN853" s="3"/>
      <c r="AO853" s="2"/>
      <c r="AU853" s="5"/>
    </row>
    <row r="854" ht="15.75" customHeight="1" spans="1:47">
      <c r="A854" s="2"/>
      <c r="F854" s="2"/>
      <c r="G854" s="2"/>
      <c r="K854" s="2"/>
      <c r="O854" s="2"/>
      <c r="P854" s="2"/>
      <c r="R854" s="2"/>
      <c r="T854" s="2"/>
      <c r="X854" s="2"/>
      <c r="Y854" s="2"/>
      <c r="Z854" s="2"/>
      <c r="AA854" s="2"/>
      <c r="AB854" s="2"/>
      <c r="AC854" s="2"/>
      <c r="AG854" s="2"/>
      <c r="AK854" s="2"/>
      <c r="AL854" s="2"/>
      <c r="AM854" s="2"/>
      <c r="AN854" s="3"/>
      <c r="AO854" s="2"/>
      <c r="AU854" s="5"/>
    </row>
    <row r="855" ht="15.75" customHeight="1" spans="1:47">
      <c r="A855" s="2"/>
      <c r="F855" s="2"/>
      <c r="G855" s="2"/>
      <c r="K855" s="2"/>
      <c r="O855" s="2"/>
      <c r="P855" s="2"/>
      <c r="R855" s="2"/>
      <c r="T855" s="2"/>
      <c r="X855" s="2"/>
      <c r="Y855" s="2"/>
      <c r="Z855" s="2"/>
      <c r="AA855" s="2"/>
      <c r="AB855" s="2"/>
      <c r="AC855" s="2"/>
      <c r="AG855" s="2"/>
      <c r="AK855" s="2"/>
      <c r="AL855" s="2"/>
      <c r="AM855" s="2"/>
      <c r="AN855" s="3"/>
      <c r="AO855" s="2"/>
      <c r="AU855" s="5"/>
    </row>
    <row r="856" ht="15.75" customHeight="1" spans="1:47">
      <c r="A856" s="2"/>
      <c r="F856" s="2"/>
      <c r="G856" s="2"/>
      <c r="K856" s="2"/>
      <c r="O856" s="2"/>
      <c r="P856" s="2"/>
      <c r="R856" s="2"/>
      <c r="T856" s="2"/>
      <c r="X856" s="2"/>
      <c r="Y856" s="2"/>
      <c r="Z856" s="2"/>
      <c r="AA856" s="2"/>
      <c r="AB856" s="2"/>
      <c r="AC856" s="2"/>
      <c r="AG856" s="2"/>
      <c r="AK856" s="2"/>
      <c r="AL856" s="2"/>
      <c r="AM856" s="2"/>
      <c r="AN856" s="3"/>
      <c r="AO856" s="2"/>
      <c r="AU856" s="5"/>
    </row>
    <row r="857" ht="15.75" customHeight="1" spans="1:47">
      <c r="A857" s="2"/>
      <c r="F857" s="2"/>
      <c r="G857" s="2"/>
      <c r="K857" s="2"/>
      <c r="O857" s="2"/>
      <c r="P857" s="2"/>
      <c r="R857" s="2"/>
      <c r="T857" s="2"/>
      <c r="X857" s="2"/>
      <c r="Y857" s="2"/>
      <c r="Z857" s="2"/>
      <c r="AA857" s="2"/>
      <c r="AB857" s="2"/>
      <c r="AC857" s="2"/>
      <c r="AG857" s="2"/>
      <c r="AK857" s="2"/>
      <c r="AL857" s="2"/>
      <c r="AM857" s="2"/>
      <c r="AN857" s="3"/>
      <c r="AO857" s="2"/>
      <c r="AU857" s="5"/>
    </row>
    <row r="858" ht="15.75" customHeight="1" spans="1:47">
      <c r="A858" s="2"/>
      <c r="F858" s="2"/>
      <c r="G858" s="2"/>
      <c r="K858" s="2"/>
      <c r="O858" s="2"/>
      <c r="P858" s="2"/>
      <c r="R858" s="2"/>
      <c r="T858" s="2"/>
      <c r="X858" s="2"/>
      <c r="Y858" s="2"/>
      <c r="Z858" s="2"/>
      <c r="AA858" s="2"/>
      <c r="AB858" s="2"/>
      <c r="AC858" s="2"/>
      <c r="AG858" s="2"/>
      <c r="AK858" s="2"/>
      <c r="AL858" s="2"/>
      <c r="AM858" s="2"/>
      <c r="AN858" s="3"/>
      <c r="AO858" s="2"/>
      <c r="AU858" s="5"/>
    </row>
    <row r="859" ht="15.75" customHeight="1" spans="1:47">
      <c r="A859" s="2"/>
      <c r="F859" s="2"/>
      <c r="G859" s="2"/>
      <c r="K859" s="2"/>
      <c r="O859" s="2"/>
      <c r="P859" s="2"/>
      <c r="R859" s="2"/>
      <c r="T859" s="2"/>
      <c r="X859" s="2"/>
      <c r="Y859" s="2"/>
      <c r="Z859" s="2"/>
      <c r="AA859" s="2"/>
      <c r="AB859" s="2"/>
      <c r="AC859" s="2"/>
      <c r="AG859" s="2"/>
      <c r="AK859" s="2"/>
      <c r="AL859" s="2"/>
      <c r="AM859" s="2"/>
      <c r="AN859" s="3"/>
      <c r="AO859" s="2"/>
      <c r="AU859" s="5"/>
    </row>
    <row r="860" ht="15.75" customHeight="1" spans="1:47">
      <c r="A860" s="2"/>
      <c r="F860" s="2"/>
      <c r="G860" s="2"/>
      <c r="K860" s="2"/>
      <c r="O860" s="2"/>
      <c r="P860" s="2"/>
      <c r="R860" s="2"/>
      <c r="T860" s="2"/>
      <c r="X860" s="2"/>
      <c r="Y860" s="2"/>
      <c r="Z860" s="2"/>
      <c r="AA860" s="2"/>
      <c r="AB860" s="2"/>
      <c r="AC860" s="2"/>
      <c r="AG860" s="2"/>
      <c r="AK860" s="2"/>
      <c r="AL860" s="2"/>
      <c r="AM860" s="2"/>
      <c r="AN860" s="3"/>
      <c r="AO860" s="2"/>
      <c r="AU860" s="5"/>
    </row>
    <row r="861" ht="15.75" customHeight="1" spans="1:47">
      <c r="A861" s="2"/>
      <c r="F861" s="2"/>
      <c r="G861" s="2"/>
      <c r="K861" s="2"/>
      <c r="O861" s="2"/>
      <c r="P861" s="2"/>
      <c r="R861" s="2"/>
      <c r="T861" s="2"/>
      <c r="X861" s="2"/>
      <c r="Y861" s="2"/>
      <c r="Z861" s="2"/>
      <c r="AA861" s="2"/>
      <c r="AB861" s="2"/>
      <c r="AC861" s="2"/>
      <c r="AG861" s="2"/>
      <c r="AK861" s="2"/>
      <c r="AL861" s="2"/>
      <c r="AM861" s="2"/>
      <c r="AN861" s="3"/>
      <c r="AO861" s="2"/>
      <c r="AU861" s="5"/>
    </row>
    <row r="862" ht="15.75" customHeight="1" spans="1:47">
      <c r="A862" s="2"/>
      <c r="F862" s="2"/>
      <c r="G862" s="2"/>
      <c r="K862" s="2"/>
      <c r="O862" s="2"/>
      <c r="P862" s="2"/>
      <c r="R862" s="2"/>
      <c r="T862" s="2"/>
      <c r="X862" s="2"/>
      <c r="Y862" s="2"/>
      <c r="Z862" s="2"/>
      <c r="AA862" s="2"/>
      <c r="AB862" s="2"/>
      <c r="AC862" s="2"/>
      <c r="AG862" s="2"/>
      <c r="AK862" s="2"/>
      <c r="AL862" s="2"/>
      <c r="AM862" s="2"/>
      <c r="AN862" s="3"/>
      <c r="AO862" s="2"/>
      <c r="AU862" s="5"/>
    </row>
    <row r="863" ht="15.75" customHeight="1" spans="1:47">
      <c r="A863" s="2"/>
      <c r="F863" s="2"/>
      <c r="G863" s="2"/>
      <c r="K863" s="2"/>
      <c r="O863" s="2"/>
      <c r="P863" s="2"/>
      <c r="R863" s="2"/>
      <c r="T863" s="2"/>
      <c r="X863" s="2"/>
      <c r="Y863" s="2"/>
      <c r="Z863" s="2"/>
      <c r="AA863" s="2"/>
      <c r="AB863" s="2"/>
      <c r="AC863" s="2"/>
      <c r="AG863" s="2"/>
      <c r="AK863" s="2"/>
      <c r="AL863" s="2"/>
      <c r="AM863" s="2"/>
      <c r="AN863" s="3"/>
      <c r="AO863" s="2"/>
      <c r="AU863" s="5"/>
    </row>
    <row r="864" ht="15.75" customHeight="1" spans="1:47">
      <c r="A864" s="2"/>
      <c r="F864" s="2"/>
      <c r="G864" s="2"/>
      <c r="K864" s="2"/>
      <c r="O864" s="2"/>
      <c r="P864" s="2"/>
      <c r="R864" s="2"/>
      <c r="T864" s="2"/>
      <c r="X864" s="2"/>
      <c r="Y864" s="2"/>
      <c r="Z864" s="2"/>
      <c r="AA864" s="2"/>
      <c r="AB864" s="2"/>
      <c r="AC864" s="2"/>
      <c r="AG864" s="2"/>
      <c r="AK864" s="2"/>
      <c r="AL864" s="2"/>
      <c r="AM864" s="2"/>
      <c r="AN864" s="3"/>
      <c r="AO864" s="2"/>
      <c r="AU864" s="5"/>
    </row>
    <row r="865" ht="15.75" customHeight="1" spans="1:47">
      <c r="A865" s="2"/>
      <c r="F865" s="2"/>
      <c r="G865" s="2"/>
      <c r="K865" s="2"/>
      <c r="O865" s="2"/>
      <c r="P865" s="2"/>
      <c r="R865" s="2"/>
      <c r="T865" s="2"/>
      <c r="X865" s="2"/>
      <c r="Y865" s="2"/>
      <c r="Z865" s="2"/>
      <c r="AA865" s="2"/>
      <c r="AB865" s="2"/>
      <c r="AC865" s="2"/>
      <c r="AG865" s="2"/>
      <c r="AK865" s="2"/>
      <c r="AL865" s="2"/>
      <c r="AM865" s="2"/>
      <c r="AN865" s="3"/>
      <c r="AO865" s="2"/>
      <c r="AU865" s="5"/>
    </row>
    <row r="866" ht="15.75" customHeight="1" spans="1:47">
      <c r="A866" s="2"/>
      <c r="F866" s="2"/>
      <c r="G866" s="2"/>
      <c r="K866" s="2"/>
      <c r="O866" s="2"/>
      <c r="P866" s="2"/>
      <c r="R866" s="2"/>
      <c r="T866" s="2"/>
      <c r="X866" s="2"/>
      <c r="Y866" s="2"/>
      <c r="Z866" s="2"/>
      <c r="AA866" s="2"/>
      <c r="AB866" s="2"/>
      <c r="AC866" s="2"/>
      <c r="AG866" s="2"/>
      <c r="AK866" s="2"/>
      <c r="AL866" s="2"/>
      <c r="AM866" s="2"/>
      <c r="AN866" s="3"/>
      <c r="AO866" s="2"/>
      <c r="AU866" s="5"/>
    </row>
    <row r="867" ht="15.75" customHeight="1" spans="1:47">
      <c r="A867" s="2"/>
      <c r="F867" s="2"/>
      <c r="G867" s="2"/>
      <c r="K867" s="2"/>
      <c r="O867" s="2"/>
      <c r="P867" s="2"/>
      <c r="R867" s="2"/>
      <c r="T867" s="2"/>
      <c r="X867" s="2"/>
      <c r="Y867" s="2"/>
      <c r="Z867" s="2"/>
      <c r="AA867" s="2"/>
      <c r="AB867" s="2"/>
      <c r="AC867" s="2"/>
      <c r="AG867" s="2"/>
      <c r="AK867" s="2"/>
      <c r="AL867" s="2"/>
      <c r="AM867" s="2"/>
      <c r="AN867" s="3"/>
      <c r="AO867" s="2"/>
      <c r="AU867" s="5"/>
    </row>
    <row r="868" ht="15.75" customHeight="1" spans="1:47">
      <c r="A868" s="2"/>
      <c r="F868" s="2"/>
      <c r="G868" s="2"/>
      <c r="K868" s="2"/>
      <c r="O868" s="2"/>
      <c r="P868" s="2"/>
      <c r="R868" s="2"/>
      <c r="T868" s="2"/>
      <c r="X868" s="2"/>
      <c r="Y868" s="2"/>
      <c r="Z868" s="2"/>
      <c r="AA868" s="2"/>
      <c r="AB868" s="2"/>
      <c r="AC868" s="2"/>
      <c r="AG868" s="2"/>
      <c r="AK868" s="2"/>
      <c r="AL868" s="2"/>
      <c r="AM868" s="2"/>
      <c r="AN868" s="3"/>
      <c r="AO868" s="2"/>
      <c r="AU868" s="5"/>
    </row>
    <row r="869" ht="15.75" customHeight="1" spans="1:47">
      <c r="A869" s="2"/>
      <c r="F869" s="2"/>
      <c r="G869" s="2"/>
      <c r="K869" s="2"/>
      <c r="O869" s="2"/>
      <c r="P869" s="2"/>
      <c r="R869" s="2"/>
      <c r="T869" s="2"/>
      <c r="X869" s="2"/>
      <c r="Y869" s="2"/>
      <c r="Z869" s="2"/>
      <c r="AA869" s="2"/>
      <c r="AB869" s="2"/>
      <c r="AC869" s="2"/>
      <c r="AG869" s="2"/>
      <c r="AK869" s="2"/>
      <c r="AL869" s="2"/>
      <c r="AM869" s="2"/>
      <c r="AN869" s="3"/>
      <c r="AO869" s="2"/>
      <c r="AU869" s="5"/>
    </row>
    <row r="870" ht="15.75" customHeight="1" spans="1:47">
      <c r="A870" s="2"/>
      <c r="F870" s="2"/>
      <c r="G870" s="2"/>
      <c r="K870" s="2"/>
      <c r="O870" s="2"/>
      <c r="P870" s="2"/>
      <c r="R870" s="2"/>
      <c r="T870" s="2"/>
      <c r="X870" s="2"/>
      <c r="Y870" s="2"/>
      <c r="Z870" s="2"/>
      <c r="AA870" s="2"/>
      <c r="AB870" s="2"/>
      <c r="AC870" s="2"/>
      <c r="AG870" s="2"/>
      <c r="AK870" s="2"/>
      <c r="AL870" s="2"/>
      <c r="AM870" s="2"/>
      <c r="AN870" s="3"/>
      <c r="AO870" s="2"/>
      <c r="AU870" s="5"/>
    </row>
    <row r="871" ht="15.75" customHeight="1" spans="1:47">
      <c r="A871" s="2"/>
      <c r="F871" s="2"/>
      <c r="G871" s="2"/>
      <c r="K871" s="2"/>
      <c r="O871" s="2"/>
      <c r="P871" s="2"/>
      <c r="R871" s="2"/>
      <c r="T871" s="2"/>
      <c r="X871" s="2"/>
      <c r="Y871" s="2"/>
      <c r="Z871" s="2"/>
      <c r="AA871" s="2"/>
      <c r="AB871" s="2"/>
      <c r="AC871" s="2"/>
      <c r="AG871" s="2"/>
      <c r="AK871" s="2"/>
      <c r="AL871" s="2"/>
      <c r="AM871" s="2"/>
      <c r="AN871" s="3"/>
      <c r="AO871" s="2"/>
      <c r="AU871" s="5"/>
    </row>
    <row r="872" ht="15.75" customHeight="1" spans="1:47">
      <c r="A872" s="2"/>
      <c r="F872" s="2"/>
      <c r="G872" s="2"/>
      <c r="K872" s="2"/>
      <c r="O872" s="2"/>
      <c r="P872" s="2"/>
      <c r="R872" s="2"/>
      <c r="T872" s="2"/>
      <c r="X872" s="2"/>
      <c r="Y872" s="2"/>
      <c r="Z872" s="2"/>
      <c r="AA872" s="2"/>
      <c r="AB872" s="2"/>
      <c r="AC872" s="2"/>
      <c r="AG872" s="2"/>
      <c r="AK872" s="2"/>
      <c r="AL872" s="2"/>
      <c r="AM872" s="2"/>
      <c r="AN872" s="3"/>
      <c r="AO872" s="2"/>
      <c r="AU872" s="5"/>
    </row>
    <row r="873" ht="15.75" customHeight="1" spans="1:47">
      <c r="A873" s="2"/>
      <c r="F873" s="2"/>
      <c r="G873" s="2"/>
      <c r="K873" s="2"/>
      <c r="O873" s="2"/>
      <c r="P873" s="2"/>
      <c r="R873" s="2"/>
      <c r="T873" s="2"/>
      <c r="X873" s="2"/>
      <c r="Y873" s="2"/>
      <c r="Z873" s="2"/>
      <c r="AA873" s="2"/>
      <c r="AB873" s="2"/>
      <c r="AC873" s="2"/>
      <c r="AG873" s="2"/>
      <c r="AK873" s="2"/>
      <c r="AL873" s="2"/>
      <c r="AM873" s="2"/>
      <c r="AN873" s="3"/>
      <c r="AO873" s="2"/>
      <c r="AU873" s="5"/>
    </row>
    <row r="874" ht="15.75" customHeight="1" spans="1:47">
      <c r="A874" s="2"/>
      <c r="F874" s="2"/>
      <c r="G874" s="2"/>
      <c r="K874" s="2"/>
      <c r="O874" s="2"/>
      <c r="P874" s="2"/>
      <c r="R874" s="2"/>
      <c r="T874" s="2"/>
      <c r="X874" s="2"/>
      <c r="Y874" s="2"/>
      <c r="Z874" s="2"/>
      <c r="AA874" s="2"/>
      <c r="AB874" s="2"/>
      <c r="AC874" s="2"/>
      <c r="AG874" s="2"/>
      <c r="AK874" s="2"/>
      <c r="AL874" s="2"/>
      <c r="AM874" s="2"/>
      <c r="AN874" s="3"/>
      <c r="AO874" s="2"/>
      <c r="AU874" s="5"/>
    </row>
    <row r="875" ht="15.75" customHeight="1" spans="1:47">
      <c r="A875" s="2"/>
      <c r="F875" s="2"/>
      <c r="G875" s="2"/>
      <c r="K875" s="2"/>
      <c r="O875" s="2"/>
      <c r="P875" s="2"/>
      <c r="R875" s="2"/>
      <c r="T875" s="2"/>
      <c r="X875" s="2"/>
      <c r="Y875" s="2"/>
      <c r="Z875" s="2"/>
      <c r="AA875" s="2"/>
      <c r="AB875" s="2"/>
      <c r="AC875" s="2"/>
      <c r="AG875" s="2"/>
      <c r="AK875" s="2"/>
      <c r="AL875" s="2"/>
      <c r="AM875" s="2"/>
      <c r="AN875" s="3"/>
      <c r="AO875" s="2"/>
      <c r="AU875" s="5"/>
    </row>
    <row r="876" ht="15.75" customHeight="1" spans="1:47">
      <c r="A876" s="2"/>
      <c r="F876" s="2"/>
      <c r="G876" s="2"/>
      <c r="K876" s="2"/>
      <c r="O876" s="2"/>
      <c r="P876" s="2"/>
      <c r="R876" s="2"/>
      <c r="T876" s="2"/>
      <c r="X876" s="2"/>
      <c r="Y876" s="2"/>
      <c r="Z876" s="2"/>
      <c r="AA876" s="2"/>
      <c r="AB876" s="2"/>
      <c r="AC876" s="2"/>
      <c r="AG876" s="2"/>
      <c r="AK876" s="2"/>
      <c r="AL876" s="2"/>
      <c r="AM876" s="2"/>
      <c r="AN876" s="3"/>
      <c r="AO876" s="2"/>
      <c r="AU876" s="5"/>
    </row>
    <row r="877" ht="15.75" customHeight="1" spans="1:47">
      <c r="A877" s="2"/>
      <c r="F877" s="2"/>
      <c r="G877" s="2"/>
      <c r="K877" s="2"/>
      <c r="O877" s="2"/>
      <c r="P877" s="2"/>
      <c r="R877" s="2"/>
      <c r="T877" s="2"/>
      <c r="X877" s="2"/>
      <c r="Y877" s="2"/>
      <c r="Z877" s="2"/>
      <c r="AA877" s="2"/>
      <c r="AB877" s="2"/>
      <c r="AC877" s="2"/>
      <c r="AG877" s="2"/>
      <c r="AK877" s="2"/>
      <c r="AL877" s="2"/>
      <c r="AM877" s="2"/>
      <c r="AN877" s="3"/>
      <c r="AO877" s="2"/>
      <c r="AU877" s="5"/>
    </row>
    <row r="878" ht="15.75" customHeight="1" spans="1:47">
      <c r="A878" s="2"/>
      <c r="F878" s="2"/>
      <c r="G878" s="2"/>
      <c r="K878" s="2"/>
      <c r="O878" s="2"/>
      <c r="P878" s="2"/>
      <c r="R878" s="2"/>
      <c r="T878" s="2"/>
      <c r="X878" s="2"/>
      <c r="Y878" s="2"/>
      <c r="Z878" s="2"/>
      <c r="AA878" s="2"/>
      <c r="AB878" s="2"/>
      <c r="AC878" s="2"/>
      <c r="AG878" s="2"/>
      <c r="AK878" s="2"/>
      <c r="AL878" s="2"/>
      <c r="AM878" s="2"/>
      <c r="AN878" s="3"/>
      <c r="AO878" s="2"/>
      <c r="AU878" s="5"/>
    </row>
    <row r="879" ht="15.75" customHeight="1" spans="1:47">
      <c r="A879" s="2"/>
      <c r="F879" s="2"/>
      <c r="G879" s="2"/>
      <c r="K879" s="2"/>
      <c r="O879" s="2"/>
      <c r="P879" s="2"/>
      <c r="R879" s="2"/>
      <c r="T879" s="2"/>
      <c r="X879" s="2"/>
      <c r="Y879" s="2"/>
      <c r="Z879" s="2"/>
      <c r="AA879" s="2"/>
      <c r="AB879" s="2"/>
      <c r="AC879" s="2"/>
      <c r="AG879" s="2"/>
      <c r="AK879" s="2"/>
      <c r="AL879" s="2"/>
      <c r="AM879" s="2"/>
      <c r="AN879" s="3"/>
      <c r="AO879" s="2"/>
      <c r="AU879" s="5"/>
    </row>
    <row r="880" ht="15.75" customHeight="1" spans="1:47">
      <c r="A880" s="2"/>
      <c r="F880" s="2"/>
      <c r="G880" s="2"/>
      <c r="K880" s="2"/>
      <c r="O880" s="2"/>
      <c r="P880" s="2"/>
      <c r="R880" s="2"/>
      <c r="T880" s="2"/>
      <c r="X880" s="2"/>
      <c r="Y880" s="2"/>
      <c r="Z880" s="2"/>
      <c r="AA880" s="2"/>
      <c r="AB880" s="2"/>
      <c r="AC880" s="2"/>
      <c r="AG880" s="2"/>
      <c r="AK880" s="2"/>
      <c r="AL880" s="2"/>
      <c r="AM880" s="2"/>
      <c r="AN880" s="3"/>
      <c r="AO880" s="2"/>
      <c r="AU880" s="5"/>
    </row>
    <row r="881" ht="15.75" customHeight="1" spans="1:47">
      <c r="A881" s="2"/>
      <c r="F881" s="2"/>
      <c r="G881" s="2"/>
      <c r="K881" s="2"/>
      <c r="O881" s="2"/>
      <c r="P881" s="2"/>
      <c r="R881" s="2"/>
      <c r="T881" s="2"/>
      <c r="X881" s="2"/>
      <c r="Y881" s="2"/>
      <c r="Z881" s="2"/>
      <c r="AA881" s="2"/>
      <c r="AB881" s="2"/>
      <c r="AC881" s="2"/>
      <c r="AG881" s="2"/>
      <c r="AK881" s="2"/>
      <c r="AL881" s="2"/>
      <c r="AM881" s="2"/>
      <c r="AN881" s="3"/>
      <c r="AO881" s="2"/>
      <c r="AU881" s="5"/>
    </row>
    <row r="882" ht="15.75" customHeight="1" spans="1:47">
      <c r="A882" s="2"/>
      <c r="F882" s="2"/>
      <c r="G882" s="2"/>
      <c r="K882" s="2"/>
      <c r="O882" s="2"/>
      <c r="P882" s="2"/>
      <c r="R882" s="2"/>
      <c r="T882" s="2"/>
      <c r="X882" s="2"/>
      <c r="Y882" s="2"/>
      <c r="Z882" s="2"/>
      <c r="AA882" s="2"/>
      <c r="AB882" s="2"/>
      <c r="AC882" s="2"/>
      <c r="AG882" s="2"/>
      <c r="AK882" s="2"/>
      <c r="AL882" s="2"/>
      <c r="AM882" s="2"/>
      <c r="AN882" s="3"/>
      <c r="AO882" s="2"/>
      <c r="AU882" s="5"/>
    </row>
    <row r="883" ht="15.75" customHeight="1" spans="1:47">
      <c r="A883" s="2"/>
      <c r="F883" s="2"/>
      <c r="G883" s="2"/>
      <c r="K883" s="2"/>
      <c r="O883" s="2"/>
      <c r="P883" s="2"/>
      <c r="R883" s="2"/>
      <c r="T883" s="2"/>
      <c r="X883" s="2"/>
      <c r="Y883" s="2"/>
      <c r="Z883" s="2"/>
      <c r="AA883" s="2"/>
      <c r="AB883" s="2"/>
      <c r="AC883" s="2"/>
      <c r="AG883" s="2"/>
      <c r="AK883" s="2"/>
      <c r="AL883" s="2"/>
      <c r="AM883" s="2"/>
      <c r="AN883" s="3"/>
      <c r="AO883" s="2"/>
      <c r="AU883" s="5"/>
    </row>
    <row r="884" ht="15.75" customHeight="1" spans="1:47">
      <c r="A884" s="2"/>
      <c r="F884" s="2"/>
      <c r="G884" s="2"/>
      <c r="K884" s="2"/>
      <c r="O884" s="2"/>
      <c r="P884" s="2"/>
      <c r="R884" s="2"/>
      <c r="T884" s="2"/>
      <c r="X884" s="2"/>
      <c r="Y884" s="2"/>
      <c r="Z884" s="2"/>
      <c r="AA884" s="2"/>
      <c r="AB884" s="2"/>
      <c r="AC884" s="2"/>
      <c r="AG884" s="2"/>
      <c r="AK884" s="2"/>
      <c r="AL884" s="2"/>
      <c r="AM884" s="2"/>
      <c r="AN884" s="3"/>
      <c r="AO884" s="2"/>
      <c r="AU884" s="5"/>
    </row>
    <row r="885" ht="15.75" customHeight="1" spans="1:47">
      <c r="A885" s="2"/>
      <c r="F885" s="2"/>
      <c r="G885" s="2"/>
      <c r="K885" s="2"/>
      <c r="O885" s="2"/>
      <c r="P885" s="2"/>
      <c r="R885" s="2"/>
      <c r="T885" s="2"/>
      <c r="X885" s="2"/>
      <c r="Y885" s="2"/>
      <c r="Z885" s="2"/>
      <c r="AA885" s="2"/>
      <c r="AB885" s="2"/>
      <c r="AC885" s="2"/>
      <c r="AG885" s="2"/>
      <c r="AK885" s="2"/>
      <c r="AL885" s="2"/>
      <c r="AM885" s="2"/>
      <c r="AN885" s="3"/>
      <c r="AO885" s="2"/>
      <c r="AU885" s="5"/>
    </row>
    <row r="886" ht="15.75" customHeight="1" spans="1:47">
      <c r="A886" s="2"/>
      <c r="F886" s="2"/>
      <c r="G886" s="2"/>
      <c r="K886" s="2"/>
      <c r="O886" s="2"/>
      <c r="P886" s="2"/>
      <c r="R886" s="2"/>
      <c r="T886" s="2"/>
      <c r="X886" s="2"/>
      <c r="Y886" s="2"/>
      <c r="Z886" s="2"/>
      <c r="AA886" s="2"/>
      <c r="AB886" s="2"/>
      <c r="AC886" s="2"/>
      <c r="AG886" s="2"/>
      <c r="AK886" s="2"/>
      <c r="AL886" s="2"/>
      <c r="AM886" s="2"/>
      <c r="AN886" s="3"/>
      <c r="AO886" s="2"/>
      <c r="AU886" s="5"/>
    </row>
    <row r="887" ht="15.75" customHeight="1" spans="1:47">
      <c r="A887" s="2"/>
      <c r="F887" s="2"/>
      <c r="G887" s="2"/>
      <c r="K887" s="2"/>
      <c r="O887" s="2"/>
      <c r="P887" s="2"/>
      <c r="R887" s="2"/>
      <c r="T887" s="2"/>
      <c r="X887" s="2"/>
      <c r="Y887" s="2"/>
      <c r="Z887" s="2"/>
      <c r="AA887" s="2"/>
      <c r="AB887" s="2"/>
      <c r="AC887" s="2"/>
      <c r="AG887" s="2"/>
      <c r="AK887" s="2"/>
      <c r="AL887" s="2"/>
      <c r="AM887" s="2"/>
      <c r="AN887" s="3"/>
      <c r="AO887" s="2"/>
      <c r="AU887" s="5"/>
    </row>
    <row r="888" ht="15.75" customHeight="1" spans="1:47">
      <c r="A888" s="2"/>
      <c r="F888" s="2"/>
      <c r="G888" s="2"/>
      <c r="K888" s="2"/>
      <c r="O888" s="2"/>
      <c r="P888" s="2"/>
      <c r="R888" s="2"/>
      <c r="T888" s="2"/>
      <c r="X888" s="2"/>
      <c r="Y888" s="2"/>
      <c r="Z888" s="2"/>
      <c r="AA888" s="2"/>
      <c r="AB888" s="2"/>
      <c r="AC888" s="2"/>
      <c r="AG888" s="2"/>
      <c r="AK888" s="2"/>
      <c r="AL888" s="2"/>
      <c r="AM888" s="2"/>
      <c r="AN888" s="3"/>
      <c r="AO888" s="2"/>
      <c r="AU888" s="5"/>
    </row>
    <row r="889" ht="15.75" customHeight="1" spans="1:47">
      <c r="A889" s="2"/>
      <c r="F889" s="2"/>
      <c r="G889" s="2"/>
      <c r="K889" s="2"/>
      <c r="O889" s="2"/>
      <c r="P889" s="2"/>
      <c r="R889" s="2"/>
      <c r="T889" s="2"/>
      <c r="X889" s="2"/>
      <c r="Y889" s="2"/>
      <c r="Z889" s="2"/>
      <c r="AA889" s="2"/>
      <c r="AB889" s="2"/>
      <c r="AC889" s="2"/>
      <c r="AG889" s="2"/>
      <c r="AK889" s="2"/>
      <c r="AL889" s="2"/>
      <c r="AM889" s="2"/>
      <c r="AN889" s="3"/>
      <c r="AO889" s="2"/>
      <c r="AU889" s="5"/>
    </row>
    <row r="890" ht="15.75" customHeight="1" spans="1:47">
      <c r="A890" s="2"/>
      <c r="F890" s="2"/>
      <c r="G890" s="2"/>
      <c r="K890" s="2"/>
      <c r="O890" s="2"/>
      <c r="P890" s="2"/>
      <c r="R890" s="2"/>
      <c r="T890" s="2"/>
      <c r="X890" s="2"/>
      <c r="Y890" s="2"/>
      <c r="Z890" s="2"/>
      <c r="AA890" s="2"/>
      <c r="AB890" s="2"/>
      <c r="AC890" s="2"/>
      <c r="AG890" s="2"/>
      <c r="AK890" s="2"/>
      <c r="AL890" s="2"/>
      <c r="AM890" s="2"/>
      <c r="AN890" s="3"/>
      <c r="AO890" s="2"/>
      <c r="AU890" s="5"/>
    </row>
    <row r="891" ht="15.75" customHeight="1" spans="1:47">
      <c r="A891" s="2"/>
      <c r="F891" s="2"/>
      <c r="G891" s="2"/>
      <c r="K891" s="2"/>
      <c r="O891" s="2"/>
      <c r="P891" s="2"/>
      <c r="R891" s="2"/>
      <c r="T891" s="2"/>
      <c r="X891" s="2"/>
      <c r="Y891" s="2"/>
      <c r="Z891" s="2"/>
      <c r="AA891" s="2"/>
      <c r="AB891" s="2"/>
      <c r="AC891" s="2"/>
      <c r="AG891" s="2"/>
      <c r="AK891" s="2"/>
      <c r="AL891" s="2"/>
      <c r="AM891" s="2"/>
      <c r="AN891" s="3"/>
      <c r="AO891" s="2"/>
      <c r="AU891" s="5"/>
    </row>
    <row r="892" ht="15.75" customHeight="1" spans="1:47">
      <c r="A892" s="2"/>
      <c r="F892" s="2"/>
      <c r="G892" s="2"/>
      <c r="K892" s="2"/>
      <c r="O892" s="2"/>
      <c r="P892" s="2"/>
      <c r="R892" s="2"/>
      <c r="T892" s="2"/>
      <c r="X892" s="2"/>
      <c r="Y892" s="2"/>
      <c r="Z892" s="2"/>
      <c r="AA892" s="2"/>
      <c r="AB892" s="2"/>
      <c r="AC892" s="2"/>
      <c r="AG892" s="2"/>
      <c r="AK892" s="2"/>
      <c r="AL892" s="2"/>
      <c r="AM892" s="2"/>
      <c r="AN892" s="3"/>
      <c r="AO892" s="2"/>
      <c r="AU892" s="5"/>
    </row>
    <row r="893" ht="15.75" customHeight="1" spans="1:47">
      <c r="A893" s="2"/>
      <c r="F893" s="2"/>
      <c r="G893" s="2"/>
      <c r="K893" s="2"/>
      <c r="O893" s="2"/>
      <c r="P893" s="2"/>
      <c r="R893" s="2"/>
      <c r="T893" s="2"/>
      <c r="X893" s="2"/>
      <c r="Y893" s="2"/>
      <c r="Z893" s="2"/>
      <c r="AA893" s="2"/>
      <c r="AB893" s="2"/>
      <c r="AC893" s="2"/>
      <c r="AG893" s="2"/>
      <c r="AK893" s="2"/>
      <c r="AL893" s="2"/>
      <c r="AM893" s="2"/>
      <c r="AN893" s="3"/>
      <c r="AO893" s="2"/>
      <c r="AU893" s="5"/>
    </row>
    <row r="894" ht="15.75" customHeight="1" spans="1:47">
      <c r="A894" s="2"/>
      <c r="F894" s="2"/>
      <c r="G894" s="2"/>
      <c r="K894" s="2"/>
      <c r="O894" s="2"/>
      <c r="P894" s="2"/>
      <c r="R894" s="2"/>
      <c r="T894" s="2"/>
      <c r="X894" s="2"/>
      <c r="Y894" s="2"/>
      <c r="Z894" s="2"/>
      <c r="AA894" s="2"/>
      <c r="AB894" s="2"/>
      <c r="AC894" s="2"/>
      <c r="AG894" s="2"/>
      <c r="AK894" s="2"/>
      <c r="AL894" s="2"/>
      <c r="AM894" s="2"/>
      <c r="AN894" s="3"/>
      <c r="AO894" s="2"/>
      <c r="AU894" s="5"/>
    </row>
    <row r="895" ht="15.75" customHeight="1" spans="1:47">
      <c r="A895" s="2"/>
      <c r="F895" s="2"/>
      <c r="G895" s="2"/>
      <c r="K895" s="2"/>
      <c r="O895" s="2"/>
      <c r="P895" s="2"/>
      <c r="R895" s="2"/>
      <c r="T895" s="2"/>
      <c r="X895" s="2"/>
      <c r="Y895" s="2"/>
      <c r="Z895" s="2"/>
      <c r="AA895" s="2"/>
      <c r="AB895" s="2"/>
      <c r="AC895" s="2"/>
      <c r="AG895" s="2"/>
      <c r="AK895" s="2"/>
      <c r="AL895" s="2"/>
      <c r="AM895" s="2"/>
      <c r="AN895" s="3"/>
      <c r="AO895" s="2"/>
      <c r="AU895" s="5"/>
    </row>
    <row r="896" ht="15.75" customHeight="1" spans="1:47">
      <c r="A896" s="2"/>
      <c r="F896" s="2"/>
      <c r="G896" s="2"/>
      <c r="K896" s="2"/>
      <c r="O896" s="2"/>
      <c r="P896" s="2"/>
      <c r="R896" s="2"/>
      <c r="T896" s="2"/>
      <c r="X896" s="2"/>
      <c r="Y896" s="2"/>
      <c r="Z896" s="2"/>
      <c r="AA896" s="2"/>
      <c r="AB896" s="2"/>
      <c r="AC896" s="2"/>
      <c r="AG896" s="2"/>
      <c r="AK896" s="2"/>
      <c r="AL896" s="2"/>
      <c r="AM896" s="2"/>
      <c r="AN896" s="3"/>
      <c r="AO896" s="2"/>
      <c r="AU896" s="5"/>
    </row>
    <row r="897" ht="15.75" customHeight="1" spans="1:47">
      <c r="A897" s="2"/>
      <c r="F897" s="2"/>
      <c r="G897" s="2"/>
      <c r="K897" s="2"/>
      <c r="O897" s="2"/>
      <c r="P897" s="2"/>
      <c r="R897" s="2"/>
      <c r="T897" s="2"/>
      <c r="X897" s="2"/>
      <c r="Y897" s="2"/>
      <c r="Z897" s="2"/>
      <c r="AA897" s="2"/>
      <c r="AB897" s="2"/>
      <c r="AC897" s="2"/>
      <c r="AG897" s="2"/>
      <c r="AK897" s="2"/>
      <c r="AL897" s="2"/>
      <c r="AM897" s="2"/>
      <c r="AN897" s="3"/>
      <c r="AO897" s="2"/>
      <c r="AU897" s="5"/>
    </row>
    <row r="898" ht="15.75" customHeight="1" spans="1:47">
      <c r="A898" s="2"/>
      <c r="F898" s="2"/>
      <c r="G898" s="2"/>
      <c r="K898" s="2"/>
      <c r="O898" s="2"/>
      <c r="P898" s="2"/>
      <c r="R898" s="2"/>
      <c r="T898" s="2"/>
      <c r="X898" s="2"/>
      <c r="Y898" s="2"/>
      <c r="Z898" s="2"/>
      <c r="AA898" s="2"/>
      <c r="AB898" s="2"/>
      <c r="AC898" s="2"/>
      <c r="AG898" s="2"/>
      <c r="AK898" s="2"/>
      <c r="AL898" s="2"/>
      <c r="AM898" s="2"/>
      <c r="AN898" s="3"/>
      <c r="AO898" s="2"/>
      <c r="AU898" s="5"/>
    </row>
    <row r="899" ht="15.75" customHeight="1" spans="1:47">
      <c r="A899" s="2"/>
      <c r="F899" s="2"/>
      <c r="G899" s="2"/>
      <c r="K899" s="2"/>
      <c r="O899" s="2"/>
      <c r="P899" s="2"/>
      <c r="R899" s="2"/>
      <c r="T899" s="2"/>
      <c r="X899" s="2"/>
      <c r="Y899" s="2"/>
      <c r="Z899" s="2"/>
      <c r="AA899" s="2"/>
      <c r="AB899" s="2"/>
      <c r="AC899" s="2"/>
      <c r="AG899" s="2"/>
      <c r="AK899" s="2"/>
      <c r="AL899" s="2"/>
      <c r="AM899" s="2"/>
      <c r="AN899" s="3"/>
      <c r="AO899" s="2"/>
      <c r="AU899" s="5"/>
    </row>
    <row r="900" ht="15.75" customHeight="1" spans="1:47">
      <c r="A900" s="2"/>
      <c r="F900" s="2"/>
      <c r="G900" s="2"/>
      <c r="K900" s="2"/>
      <c r="O900" s="2"/>
      <c r="P900" s="2"/>
      <c r="R900" s="2"/>
      <c r="T900" s="2"/>
      <c r="X900" s="2"/>
      <c r="Y900" s="2"/>
      <c r="Z900" s="2"/>
      <c r="AA900" s="2"/>
      <c r="AB900" s="2"/>
      <c r="AC900" s="2"/>
      <c r="AG900" s="2"/>
      <c r="AK900" s="2"/>
      <c r="AL900" s="2"/>
      <c r="AM900" s="2"/>
      <c r="AN900" s="3"/>
      <c r="AO900" s="2"/>
      <c r="AU900" s="5"/>
    </row>
    <row r="901" ht="15.75" customHeight="1" spans="1:47">
      <c r="A901" s="2"/>
      <c r="F901" s="2"/>
      <c r="G901" s="2"/>
      <c r="K901" s="2"/>
      <c r="O901" s="2"/>
      <c r="P901" s="2"/>
      <c r="R901" s="2"/>
      <c r="T901" s="2"/>
      <c r="X901" s="2"/>
      <c r="Y901" s="2"/>
      <c r="Z901" s="2"/>
      <c r="AA901" s="2"/>
      <c r="AB901" s="2"/>
      <c r="AC901" s="2"/>
      <c r="AG901" s="2"/>
      <c r="AK901" s="2"/>
      <c r="AL901" s="2"/>
      <c r="AM901" s="2"/>
      <c r="AN901" s="3"/>
      <c r="AO901" s="2"/>
      <c r="AU901" s="5"/>
    </row>
    <row r="902" ht="15.75" customHeight="1" spans="1:47">
      <c r="A902" s="2"/>
      <c r="F902" s="2"/>
      <c r="G902" s="2"/>
      <c r="K902" s="2"/>
      <c r="O902" s="2"/>
      <c r="P902" s="2"/>
      <c r="R902" s="2"/>
      <c r="T902" s="2"/>
      <c r="X902" s="2"/>
      <c r="Y902" s="2"/>
      <c r="Z902" s="2"/>
      <c r="AA902" s="2"/>
      <c r="AB902" s="2"/>
      <c r="AC902" s="2"/>
      <c r="AG902" s="2"/>
      <c r="AK902" s="2"/>
      <c r="AL902" s="2"/>
      <c r="AM902" s="2"/>
      <c r="AN902" s="3"/>
      <c r="AO902" s="2"/>
      <c r="AU902" s="5"/>
    </row>
    <row r="903" ht="15.75" customHeight="1" spans="1:47">
      <c r="A903" s="2"/>
      <c r="F903" s="2"/>
      <c r="G903" s="2"/>
      <c r="K903" s="2"/>
      <c r="O903" s="2"/>
      <c r="P903" s="2"/>
      <c r="R903" s="2"/>
      <c r="T903" s="2"/>
      <c r="X903" s="2"/>
      <c r="Y903" s="2"/>
      <c r="Z903" s="2"/>
      <c r="AA903" s="2"/>
      <c r="AB903" s="2"/>
      <c r="AC903" s="2"/>
      <c r="AG903" s="2"/>
      <c r="AK903" s="2"/>
      <c r="AL903" s="2"/>
      <c r="AM903" s="2"/>
      <c r="AN903" s="3"/>
      <c r="AO903" s="2"/>
      <c r="AU903" s="5"/>
    </row>
    <row r="904" ht="15.75" customHeight="1" spans="1:47">
      <c r="A904" s="2"/>
      <c r="F904" s="2"/>
      <c r="G904" s="2"/>
      <c r="K904" s="2"/>
      <c r="O904" s="2"/>
      <c r="P904" s="2"/>
      <c r="R904" s="2"/>
      <c r="T904" s="2"/>
      <c r="X904" s="2"/>
      <c r="Y904" s="2"/>
      <c r="Z904" s="2"/>
      <c r="AA904" s="2"/>
      <c r="AB904" s="2"/>
      <c r="AC904" s="2"/>
      <c r="AG904" s="2"/>
      <c r="AK904" s="2"/>
      <c r="AL904" s="2"/>
      <c r="AM904" s="2"/>
      <c r="AN904" s="3"/>
      <c r="AO904" s="2"/>
      <c r="AU904" s="5"/>
    </row>
    <row r="905" ht="15.75" customHeight="1" spans="1:47">
      <c r="A905" s="2"/>
      <c r="F905" s="2"/>
      <c r="G905" s="2"/>
      <c r="K905" s="2"/>
      <c r="O905" s="2"/>
      <c r="P905" s="2"/>
      <c r="R905" s="2"/>
      <c r="T905" s="2"/>
      <c r="X905" s="2"/>
      <c r="Y905" s="2"/>
      <c r="Z905" s="2"/>
      <c r="AA905" s="2"/>
      <c r="AB905" s="2"/>
      <c r="AC905" s="2"/>
      <c r="AG905" s="2"/>
      <c r="AK905" s="2"/>
      <c r="AL905" s="2"/>
      <c r="AM905" s="2"/>
      <c r="AN905" s="3"/>
      <c r="AO905" s="2"/>
      <c r="AU905" s="5"/>
    </row>
    <row r="906" ht="15.75" customHeight="1" spans="1:47">
      <c r="A906" s="2"/>
      <c r="F906" s="2"/>
      <c r="G906" s="2"/>
      <c r="K906" s="2"/>
      <c r="O906" s="2"/>
      <c r="P906" s="2"/>
      <c r="R906" s="2"/>
      <c r="T906" s="2"/>
      <c r="X906" s="2"/>
      <c r="Y906" s="2"/>
      <c r="Z906" s="2"/>
      <c r="AA906" s="2"/>
      <c r="AB906" s="2"/>
      <c r="AC906" s="2"/>
      <c r="AG906" s="2"/>
      <c r="AK906" s="2"/>
      <c r="AL906" s="2"/>
      <c r="AM906" s="2"/>
      <c r="AN906" s="3"/>
      <c r="AO906" s="2"/>
      <c r="AU906" s="5"/>
    </row>
    <row r="907" ht="15.75" customHeight="1" spans="1:47">
      <c r="A907" s="2"/>
      <c r="F907" s="2"/>
      <c r="G907" s="2"/>
      <c r="K907" s="2"/>
      <c r="O907" s="2"/>
      <c r="P907" s="2"/>
      <c r="R907" s="2"/>
      <c r="T907" s="2"/>
      <c r="X907" s="2"/>
      <c r="Y907" s="2"/>
      <c r="Z907" s="2"/>
      <c r="AA907" s="2"/>
      <c r="AB907" s="2"/>
      <c r="AC907" s="2"/>
      <c r="AG907" s="2"/>
      <c r="AK907" s="2"/>
      <c r="AL907" s="2"/>
      <c r="AM907" s="2"/>
      <c r="AN907" s="3"/>
      <c r="AO907" s="2"/>
      <c r="AU907" s="5"/>
    </row>
    <row r="908" ht="15.75" customHeight="1" spans="1:47">
      <c r="A908" s="2"/>
      <c r="F908" s="2"/>
      <c r="G908" s="2"/>
      <c r="K908" s="2"/>
      <c r="O908" s="2"/>
      <c r="P908" s="2"/>
      <c r="R908" s="2"/>
      <c r="T908" s="2"/>
      <c r="X908" s="2"/>
      <c r="Y908" s="2"/>
      <c r="Z908" s="2"/>
      <c r="AA908" s="2"/>
      <c r="AB908" s="2"/>
      <c r="AC908" s="2"/>
      <c r="AG908" s="2"/>
      <c r="AK908" s="2"/>
      <c r="AL908" s="2"/>
      <c r="AM908" s="2"/>
      <c r="AN908" s="3"/>
      <c r="AO908" s="2"/>
      <c r="AU908" s="5"/>
    </row>
    <row r="909" ht="15.75" customHeight="1" spans="1:47">
      <c r="A909" s="2"/>
      <c r="F909" s="2"/>
      <c r="G909" s="2"/>
      <c r="K909" s="2"/>
      <c r="O909" s="2"/>
      <c r="P909" s="2"/>
      <c r="R909" s="2"/>
      <c r="T909" s="2"/>
      <c r="X909" s="2"/>
      <c r="Y909" s="2"/>
      <c r="Z909" s="2"/>
      <c r="AA909" s="2"/>
      <c r="AB909" s="2"/>
      <c r="AC909" s="2"/>
      <c r="AG909" s="2"/>
      <c r="AK909" s="2"/>
      <c r="AL909" s="2"/>
      <c r="AM909" s="2"/>
      <c r="AN909" s="3"/>
      <c r="AO909" s="2"/>
      <c r="AU909" s="5"/>
    </row>
    <row r="910" ht="15.75" customHeight="1" spans="1:47">
      <c r="A910" s="2"/>
      <c r="F910" s="2"/>
      <c r="G910" s="2"/>
      <c r="K910" s="2"/>
      <c r="O910" s="2"/>
      <c r="P910" s="2"/>
      <c r="R910" s="2"/>
      <c r="T910" s="2"/>
      <c r="X910" s="2"/>
      <c r="Y910" s="2"/>
      <c r="Z910" s="2"/>
      <c r="AA910" s="2"/>
      <c r="AB910" s="2"/>
      <c r="AC910" s="2"/>
      <c r="AG910" s="2"/>
      <c r="AK910" s="2"/>
      <c r="AL910" s="2"/>
      <c r="AM910" s="2"/>
      <c r="AN910" s="3"/>
      <c r="AO910" s="2"/>
      <c r="AU910" s="5"/>
    </row>
    <row r="911" ht="15.75" customHeight="1" spans="1:47">
      <c r="A911" s="2"/>
      <c r="F911" s="2"/>
      <c r="G911" s="2"/>
      <c r="K911" s="2"/>
      <c r="O911" s="2"/>
      <c r="P911" s="2"/>
      <c r="R911" s="2"/>
      <c r="T911" s="2"/>
      <c r="X911" s="2"/>
      <c r="Y911" s="2"/>
      <c r="Z911" s="2"/>
      <c r="AA911" s="2"/>
      <c r="AB911" s="2"/>
      <c r="AC911" s="2"/>
      <c r="AG911" s="2"/>
      <c r="AK911" s="2"/>
      <c r="AL911" s="2"/>
      <c r="AM911" s="2"/>
      <c r="AN911" s="3"/>
      <c r="AO911" s="2"/>
      <c r="AU911" s="5"/>
    </row>
    <row r="912" ht="15.75" customHeight="1" spans="1:47">
      <c r="A912" s="2"/>
      <c r="F912" s="2"/>
      <c r="G912" s="2"/>
      <c r="K912" s="2"/>
      <c r="O912" s="2"/>
      <c r="P912" s="2"/>
      <c r="R912" s="2"/>
      <c r="T912" s="2"/>
      <c r="X912" s="2"/>
      <c r="Y912" s="2"/>
      <c r="Z912" s="2"/>
      <c r="AA912" s="2"/>
      <c r="AB912" s="2"/>
      <c r="AC912" s="2"/>
      <c r="AG912" s="2"/>
      <c r="AK912" s="2"/>
      <c r="AL912" s="2"/>
      <c r="AM912" s="2"/>
      <c r="AN912" s="3"/>
      <c r="AO912" s="2"/>
      <c r="AU912" s="5"/>
    </row>
    <row r="913" ht="15.75" customHeight="1" spans="1:47">
      <c r="A913" s="2"/>
      <c r="F913" s="2"/>
      <c r="G913" s="2"/>
      <c r="K913" s="2"/>
      <c r="O913" s="2"/>
      <c r="P913" s="2"/>
      <c r="R913" s="2"/>
      <c r="T913" s="2"/>
      <c r="X913" s="2"/>
      <c r="Y913" s="2"/>
      <c r="Z913" s="2"/>
      <c r="AA913" s="2"/>
      <c r="AB913" s="2"/>
      <c r="AC913" s="2"/>
      <c r="AG913" s="2"/>
      <c r="AK913" s="2"/>
      <c r="AL913" s="2"/>
      <c r="AM913" s="2"/>
      <c r="AN913" s="3"/>
      <c r="AO913" s="2"/>
      <c r="AU913" s="5"/>
    </row>
    <row r="914" ht="15.75" customHeight="1" spans="1:47">
      <c r="A914" s="2"/>
      <c r="F914" s="2"/>
      <c r="G914" s="2"/>
      <c r="K914" s="2"/>
      <c r="O914" s="2"/>
      <c r="P914" s="2"/>
      <c r="R914" s="2"/>
      <c r="T914" s="2"/>
      <c r="X914" s="2"/>
      <c r="Y914" s="2"/>
      <c r="Z914" s="2"/>
      <c r="AA914" s="2"/>
      <c r="AB914" s="2"/>
      <c r="AC914" s="2"/>
      <c r="AG914" s="2"/>
      <c r="AK914" s="2"/>
      <c r="AL914" s="2"/>
      <c r="AM914" s="2"/>
      <c r="AN914" s="3"/>
      <c r="AO914" s="2"/>
      <c r="AU914" s="5"/>
    </row>
    <row r="915" ht="15.75" customHeight="1" spans="1:47">
      <c r="A915" s="2"/>
      <c r="F915" s="2"/>
      <c r="G915" s="2"/>
      <c r="K915" s="2"/>
      <c r="O915" s="2"/>
      <c r="P915" s="2"/>
      <c r="R915" s="2"/>
      <c r="T915" s="2"/>
      <c r="X915" s="2"/>
      <c r="Y915" s="2"/>
      <c r="Z915" s="2"/>
      <c r="AA915" s="2"/>
      <c r="AB915" s="2"/>
      <c r="AC915" s="2"/>
      <c r="AG915" s="2"/>
      <c r="AK915" s="2"/>
      <c r="AL915" s="2"/>
      <c r="AM915" s="2"/>
      <c r="AN915" s="3"/>
      <c r="AO915" s="2"/>
      <c r="AU915" s="5"/>
    </row>
    <row r="916" ht="15.75" customHeight="1" spans="1:47">
      <c r="A916" s="2"/>
      <c r="F916" s="2"/>
      <c r="G916" s="2"/>
      <c r="K916" s="2"/>
      <c r="O916" s="2"/>
      <c r="P916" s="2"/>
      <c r="R916" s="2"/>
      <c r="T916" s="2"/>
      <c r="X916" s="2"/>
      <c r="Y916" s="2"/>
      <c r="Z916" s="2"/>
      <c r="AA916" s="2"/>
      <c r="AB916" s="2"/>
      <c r="AC916" s="2"/>
      <c r="AG916" s="2"/>
      <c r="AK916" s="2"/>
      <c r="AL916" s="2"/>
      <c r="AM916" s="2"/>
      <c r="AN916" s="3"/>
      <c r="AO916" s="2"/>
      <c r="AU916" s="5"/>
    </row>
    <row r="917" ht="15.75" customHeight="1" spans="1:47">
      <c r="A917" s="2"/>
      <c r="F917" s="2"/>
      <c r="G917" s="2"/>
      <c r="K917" s="2"/>
      <c r="O917" s="2"/>
      <c r="P917" s="2"/>
      <c r="R917" s="2"/>
      <c r="T917" s="2"/>
      <c r="X917" s="2"/>
      <c r="Y917" s="2"/>
      <c r="Z917" s="2"/>
      <c r="AA917" s="2"/>
      <c r="AB917" s="2"/>
      <c r="AC917" s="2"/>
      <c r="AG917" s="2"/>
      <c r="AK917" s="2"/>
      <c r="AL917" s="2"/>
      <c r="AM917" s="2"/>
      <c r="AN917" s="3"/>
      <c r="AO917" s="2"/>
      <c r="AU917" s="5"/>
    </row>
    <row r="918" ht="15.75" customHeight="1" spans="1:47">
      <c r="A918" s="2"/>
      <c r="F918" s="2"/>
      <c r="G918" s="2"/>
      <c r="K918" s="2"/>
      <c r="O918" s="2"/>
      <c r="P918" s="2"/>
      <c r="R918" s="2"/>
      <c r="T918" s="2"/>
      <c r="X918" s="2"/>
      <c r="Y918" s="2"/>
      <c r="Z918" s="2"/>
      <c r="AA918" s="2"/>
      <c r="AB918" s="2"/>
      <c r="AC918" s="2"/>
      <c r="AG918" s="2"/>
      <c r="AK918" s="2"/>
      <c r="AL918" s="2"/>
      <c r="AM918" s="2"/>
      <c r="AN918" s="3"/>
      <c r="AO918" s="2"/>
      <c r="AU918" s="5"/>
    </row>
    <row r="919" ht="15.75" customHeight="1" spans="1:47">
      <c r="A919" s="2"/>
      <c r="F919" s="2"/>
      <c r="G919" s="2"/>
      <c r="K919" s="2"/>
      <c r="O919" s="2"/>
      <c r="P919" s="2"/>
      <c r="R919" s="2"/>
      <c r="T919" s="2"/>
      <c r="X919" s="2"/>
      <c r="Y919" s="2"/>
      <c r="Z919" s="2"/>
      <c r="AA919" s="2"/>
      <c r="AB919" s="2"/>
      <c r="AC919" s="2"/>
      <c r="AG919" s="2"/>
      <c r="AK919" s="2"/>
      <c r="AL919" s="2"/>
      <c r="AM919" s="2"/>
      <c r="AN919" s="3"/>
      <c r="AO919" s="2"/>
      <c r="AU919" s="5"/>
    </row>
    <row r="920" ht="15.75" customHeight="1" spans="1:47">
      <c r="A920" s="2"/>
      <c r="F920" s="2"/>
      <c r="G920" s="2"/>
      <c r="K920" s="2"/>
      <c r="O920" s="2"/>
      <c r="P920" s="2"/>
      <c r="R920" s="2"/>
      <c r="T920" s="2"/>
      <c r="X920" s="2"/>
      <c r="Y920" s="2"/>
      <c r="Z920" s="2"/>
      <c r="AA920" s="2"/>
      <c r="AB920" s="2"/>
      <c r="AC920" s="2"/>
      <c r="AG920" s="2"/>
      <c r="AK920" s="2"/>
      <c r="AL920" s="2"/>
      <c r="AM920" s="2"/>
      <c r="AN920" s="3"/>
      <c r="AO920" s="2"/>
      <c r="AU920" s="5"/>
    </row>
    <row r="921" ht="15.75" customHeight="1" spans="1:47">
      <c r="A921" s="2"/>
      <c r="F921" s="2"/>
      <c r="G921" s="2"/>
      <c r="K921" s="2"/>
      <c r="O921" s="2"/>
      <c r="P921" s="2"/>
      <c r="R921" s="2"/>
      <c r="T921" s="2"/>
      <c r="X921" s="2"/>
      <c r="Y921" s="2"/>
      <c r="Z921" s="2"/>
      <c r="AA921" s="2"/>
      <c r="AB921" s="2"/>
      <c r="AC921" s="2"/>
      <c r="AG921" s="2"/>
      <c r="AK921" s="2"/>
      <c r="AL921" s="2"/>
      <c r="AM921" s="2"/>
      <c r="AN921" s="3"/>
      <c r="AO921" s="2"/>
      <c r="AU921" s="5"/>
    </row>
    <row r="922" ht="15.75" customHeight="1" spans="1:47">
      <c r="A922" s="2"/>
      <c r="F922" s="2"/>
      <c r="G922" s="2"/>
      <c r="K922" s="2"/>
      <c r="O922" s="2"/>
      <c r="P922" s="2"/>
      <c r="R922" s="2"/>
      <c r="T922" s="2"/>
      <c r="X922" s="2"/>
      <c r="Y922" s="2"/>
      <c r="Z922" s="2"/>
      <c r="AA922" s="2"/>
      <c r="AB922" s="2"/>
      <c r="AC922" s="2"/>
      <c r="AG922" s="2"/>
      <c r="AK922" s="2"/>
      <c r="AL922" s="2"/>
      <c r="AM922" s="2"/>
      <c r="AN922" s="3"/>
      <c r="AO922" s="2"/>
      <c r="AU922" s="5"/>
    </row>
    <row r="923" ht="15.75" customHeight="1" spans="1:47">
      <c r="A923" s="2"/>
      <c r="F923" s="2"/>
      <c r="G923" s="2"/>
      <c r="K923" s="2"/>
      <c r="O923" s="2"/>
      <c r="P923" s="2"/>
      <c r="R923" s="2"/>
      <c r="T923" s="2"/>
      <c r="X923" s="2"/>
      <c r="Y923" s="2"/>
      <c r="Z923" s="2"/>
      <c r="AA923" s="2"/>
      <c r="AB923" s="2"/>
      <c r="AC923" s="2"/>
      <c r="AG923" s="2"/>
      <c r="AK923" s="2"/>
      <c r="AL923" s="2"/>
      <c r="AM923" s="2"/>
      <c r="AN923" s="3"/>
      <c r="AO923" s="2"/>
      <c r="AU923" s="5"/>
    </row>
    <row r="924" ht="15.75" customHeight="1" spans="1:47">
      <c r="A924" s="2"/>
      <c r="F924" s="2"/>
      <c r="G924" s="2"/>
      <c r="K924" s="2"/>
      <c r="O924" s="2"/>
      <c r="P924" s="2"/>
      <c r="R924" s="2"/>
      <c r="T924" s="2"/>
      <c r="X924" s="2"/>
      <c r="Y924" s="2"/>
      <c r="Z924" s="2"/>
      <c r="AA924" s="2"/>
      <c r="AB924" s="2"/>
      <c r="AC924" s="2"/>
      <c r="AG924" s="2"/>
      <c r="AK924" s="2"/>
      <c r="AL924" s="2"/>
      <c r="AM924" s="2"/>
      <c r="AN924" s="3"/>
      <c r="AO924" s="2"/>
      <c r="AU924" s="5"/>
    </row>
    <row r="925" ht="15.75" customHeight="1" spans="1:47">
      <c r="A925" s="2"/>
      <c r="F925" s="2"/>
      <c r="G925" s="2"/>
      <c r="K925" s="2"/>
      <c r="O925" s="2"/>
      <c r="P925" s="2"/>
      <c r="R925" s="2"/>
      <c r="T925" s="2"/>
      <c r="X925" s="2"/>
      <c r="Y925" s="2"/>
      <c r="Z925" s="2"/>
      <c r="AA925" s="2"/>
      <c r="AB925" s="2"/>
      <c r="AC925" s="2"/>
      <c r="AG925" s="2"/>
      <c r="AK925" s="2"/>
      <c r="AL925" s="2"/>
      <c r="AM925" s="2"/>
      <c r="AN925" s="3"/>
      <c r="AO925" s="2"/>
      <c r="AU925" s="5"/>
    </row>
    <row r="926" ht="15.75" customHeight="1" spans="1:47">
      <c r="A926" s="2"/>
      <c r="F926" s="2"/>
      <c r="G926" s="2"/>
      <c r="K926" s="2"/>
      <c r="O926" s="2"/>
      <c r="P926" s="2"/>
      <c r="R926" s="2"/>
      <c r="T926" s="2"/>
      <c r="X926" s="2"/>
      <c r="Y926" s="2"/>
      <c r="Z926" s="2"/>
      <c r="AA926" s="2"/>
      <c r="AB926" s="2"/>
      <c r="AC926" s="2"/>
      <c r="AG926" s="2"/>
      <c r="AK926" s="2"/>
      <c r="AL926" s="2"/>
      <c r="AM926" s="2"/>
      <c r="AN926" s="3"/>
      <c r="AO926" s="2"/>
      <c r="AU926" s="5"/>
    </row>
    <row r="927" ht="15.75" customHeight="1" spans="1:47">
      <c r="A927" s="2"/>
      <c r="F927" s="2"/>
      <c r="G927" s="2"/>
      <c r="K927" s="2"/>
      <c r="O927" s="2"/>
      <c r="P927" s="2"/>
      <c r="R927" s="2"/>
      <c r="T927" s="2"/>
      <c r="X927" s="2"/>
      <c r="Y927" s="2"/>
      <c r="Z927" s="2"/>
      <c r="AA927" s="2"/>
      <c r="AB927" s="2"/>
      <c r="AC927" s="2"/>
      <c r="AG927" s="2"/>
      <c r="AK927" s="2"/>
      <c r="AL927" s="2"/>
      <c r="AM927" s="2"/>
      <c r="AN927" s="3"/>
      <c r="AO927" s="2"/>
      <c r="AU927" s="5"/>
    </row>
    <row r="928" ht="15.75" customHeight="1" spans="1:47">
      <c r="A928" s="2"/>
      <c r="F928" s="2"/>
      <c r="G928" s="2"/>
      <c r="K928" s="2"/>
      <c r="O928" s="2"/>
      <c r="P928" s="2"/>
      <c r="R928" s="2"/>
      <c r="T928" s="2"/>
      <c r="X928" s="2"/>
      <c r="Y928" s="2"/>
      <c r="Z928" s="2"/>
      <c r="AA928" s="2"/>
      <c r="AB928" s="2"/>
      <c r="AC928" s="2"/>
      <c r="AG928" s="2"/>
      <c r="AK928" s="2"/>
      <c r="AL928" s="2"/>
      <c r="AM928" s="2"/>
      <c r="AN928" s="3"/>
      <c r="AO928" s="2"/>
      <c r="AU928" s="5"/>
    </row>
    <row r="929" ht="15.75" customHeight="1" spans="1:47">
      <c r="A929" s="2"/>
      <c r="F929" s="2"/>
      <c r="G929" s="2"/>
      <c r="K929" s="2"/>
      <c r="O929" s="2"/>
      <c r="P929" s="2"/>
      <c r="R929" s="2"/>
      <c r="T929" s="2"/>
      <c r="X929" s="2"/>
      <c r="Y929" s="2"/>
      <c r="Z929" s="2"/>
      <c r="AA929" s="2"/>
      <c r="AB929" s="2"/>
      <c r="AC929" s="2"/>
      <c r="AG929" s="2"/>
      <c r="AK929" s="2"/>
      <c r="AL929" s="2"/>
      <c r="AM929" s="2"/>
      <c r="AN929" s="3"/>
      <c r="AO929" s="2"/>
      <c r="AU929" s="5"/>
    </row>
    <row r="930" ht="15.75" customHeight="1" spans="1:47">
      <c r="A930" s="2"/>
      <c r="F930" s="2"/>
      <c r="G930" s="2"/>
      <c r="K930" s="2"/>
      <c r="O930" s="2"/>
      <c r="P930" s="2"/>
      <c r="R930" s="2"/>
      <c r="T930" s="2"/>
      <c r="X930" s="2"/>
      <c r="Y930" s="2"/>
      <c r="Z930" s="2"/>
      <c r="AA930" s="2"/>
      <c r="AB930" s="2"/>
      <c r="AC930" s="2"/>
      <c r="AG930" s="2"/>
      <c r="AK930" s="2"/>
      <c r="AL930" s="2"/>
      <c r="AM930" s="2"/>
      <c r="AN930" s="3"/>
      <c r="AO930" s="2"/>
      <c r="AU930" s="5"/>
    </row>
    <row r="931" ht="15.75" customHeight="1" spans="1:47">
      <c r="A931" s="2"/>
      <c r="F931" s="2"/>
      <c r="G931" s="2"/>
      <c r="K931" s="2"/>
      <c r="O931" s="2"/>
      <c r="P931" s="2"/>
      <c r="R931" s="2"/>
      <c r="T931" s="2"/>
      <c r="X931" s="2"/>
      <c r="Y931" s="2"/>
      <c r="Z931" s="2"/>
      <c r="AA931" s="2"/>
      <c r="AB931" s="2"/>
      <c r="AC931" s="2"/>
      <c r="AG931" s="2"/>
      <c r="AK931" s="2"/>
      <c r="AL931" s="2"/>
      <c r="AM931" s="2"/>
      <c r="AN931" s="3"/>
      <c r="AO931" s="2"/>
      <c r="AU931" s="5"/>
    </row>
    <row r="932" ht="15.75" customHeight="1" spans="1:47">
      <c r="A932" s="2"/>
      <c r="F932" s="2"/>
      <c r="G932" s="2"/>
      <c r="K932" s="2"/>
      <c r="O932" s="2"/>
      <c r="P932" s="2"/>
      <c r="R932" s="2"/>
      <c r="T932" s="2"/>
      <c r="X932" s="2"/>
      <c r="Y932" s="2"/>
      <c r="Z932" s="2"/>
      <c r="AA932" s="2"/>
      <c r="AB932" s="2"/>
      <c r="AC932" s="2"/>
      <c r="AG932" s="2"/>
      <c r="AK932" s="2"/>
      <c r="AL932" s="2"/>
      <c r="AM932" s="2"/>
      <c r="AN932" s="3"/>
      <c r="AO932" s="2"/>
      <c r="AU932" s="5"/>
    </row>
    <row r="933" ht="15.75" customHeight="1" spans="1:47">
      <c r="A933" s="2"/>
      <c r="F933" s="2"/>
      <c r="G933" s="2"/>
      <c r="K933" s="2"/>
      <c r="O933" s="2"/>
      <c r="P933" s="2"/>
      <c r="R933" s="2"/>
      <c r="T933" s="2"/>
      <c r="X933" s="2"/>
      <c r="Y933" s="2"/>
      <c r="Z933" s="2"/>
      <c r="AA933" s="2"/>
      <c r="AB933" s="2"/>
      <c r="AC933" s="2"/>
      <c r="AG933" s="2"/>
      <c r="AK933" s="2"/>
      <c r="AL933" s="2"/>
      <c r="AM933" s="2"/>
      <c r="AN933" s="3"/>
      <c r="AO933" s="2"/>
      <c r="AU933" s="5"/>
    </row>
    <row r="934" ht="15.75" customHeight="1" spans="1:47">
      <c r="A934" s="2"/>
      <c r="F934" s="2"/>
      <c r="G934" s="2"/>
      <c r="K934" s="2"/>
      <c r="O934" s="2"/>
      <c r="P934" s="2"/>
      <c r="R934" s="2"/>
      <c r="T934" s="2"/>
      <c r="X934" s="2"/>
      <c r="Y934" s="2"/>
      <c r="Z934" s="2"/>
      <c r="AA934" s="2"/>
      <c r="AB934" s="2"/>
      <c r="AC934" s="2"/>
      <c r="AG934" s="2"/>
      <c r="AK934" s="2"/>
      <c r="AL934" s="2"/>
      <c r="AM934" s="2"/>
      <c r="AN934" s="3"/>
      <c r="AO934" s="2"/>
      <c r="AU934" s="5"/>
    </row>
    <row r="935" ht="15.75" customHeight="1" spans="1:47">
      <c r="A935" s="2"/>
      <c r="F935" s="2"/>
      <c r="G935" s="2"/>
      <c r="K935" s="2"/>
      <c r="O935" s="2"/>
      <c r="P935" s="2"/>
      <c r="R935" s="2"/>
      <c r="T935" s="2"/>
      <c r="X935" s="2"/>
      <c r="Y935" s="2"/>
      <c r="Z935" s="2"/>
      <c r="AA935" s="2"/>
      <c r="AB935" s="2"/>
      <c r="AC935" s="2"/>
      <c r="AG935" s="2"/>
      <c r="AK935" s="2"/>
      <c r="AL935" s="2"/>
      <c r="AM935" s="2"/>
      <c r="AN935" s="3"/>
      <c r="AO935" s="2"/>
      <c r="AU935" s="5"/>
    </row>
    <row r="936" ht="15.75" customHeight="1" spans="1:47">
      <c r="A936" s="2"/>
      <c r="F936" s="2"/>
      <c r="G936" s="2"/>
      <c r="K936" s="2"/>
      <c r="O936" s="2"/>
      <c r="P936" s="2"/>
      <c r="R936" s="2"/>
      <c r="T936" s="2"/>
      <c r="X936" s="2"/>
      <c r="Y936" s="2"/>
      <c r="Z936" s="2"/>
      <c r="AA936" s="2"/>
      <c r="AB936" s="2"/>
      <c r="AC936" s="2"/>
      <c r="AG936" s="2"/>
      <c r="AK936" s="2"/>
      <c r="AL936" s="2"/>
      <c r="AM936" s="2"/>
      <c r="AN936" s="3"/>
      <c r="AO936" s="2"/>
      <c r="AU936" s="5"/>
    </row>
    <row r="937" ht="15.75" customHeight="1" spans="1:47">
      <c r="A937" s="2"/>
      <c r="F937" s="2"/>
      <c r="G937" s="2"/>
      <c r="K937" s="2"/>
      <c r="O937" s="2"/>
      <c r="P937" s="2"/>
      <c r="R937" s="2"/>
      <c r="T937" s="2"/>
      <c r="X937" s="2"/>
      <c r="Y937" s="2"/>
      <c r="Z937" s="2"/>
      <c r="AA937" s="2"/>
      <c r="AB937" s="2"/>
      <c r="AC937" s="2"/>
      <c r="AG937" s="2"/>
      <c r="AK937" s="2"/>
      <c r="AL937" s="2"/>
      <c r="AM937" s="2"/>
      <c r="AN937" s="3"/>
      <c r="AO937" s="2"/>
      <c r="AU937" s="5"/>
    </row>
    <row r="938" ht="15.75" customHeight="1" spans="1:47">
      <c r="A938" s="2"/>
      <c r="F938" s="2"/>
      <c r="G938" s="2"/>
      <c r="K938" s="2"/>
      <c r="O938" s="2"/>
      <c r="P938" s="2"/>
      <c r="R938" s="2"/>
      <c r="T938" s="2"/>
      <c r="X938" s="2"/>
      <c r="Y938" s="2"/>
      <c r="Z938" s="2"/>
      <c r="AA938" s="2"/>
      <c r="AB938" s="2"/>
      <c r="AC938" s="2"/>
      <c r="AG938" s="2"/>
      <c r="AK938" s="2"/>
      <c r="AL938" s="2"/>
      <c r="AM938" s="2"/>
      <c r="AN938" s="3"/>
      <c r="AO938" s="2"/>
      <c r="AU938" s="5"/>
    </row>
    <row r="939" ht="15.75" customHeight="1" spans="1:47">
      <c r="A939" s="2"/>
      <c r="F939" s="2"/>
      <c r="G939" s="2"/>
      <c r="K939" s="2"/>
      <c r="O939" s="2"/>
      <c r="P939" s="2"/>
      <c r="R939" s="2"/>
      <c r="T939" s="2"/>
      <c r="X939" s="2"/>
      <c r="Y939" s="2"/>
      <c r="Z939" s="2"/>
      <c r="AA939" s="2"/>
      <c r="AB939" s="2"/>
      <c r="AC939" s="2"/>
      <c r="AG939" s="2"/>
      <c r="AK939" s="2"/>
      <c r="AL939" s="2"/>
      <c r="AM939" s="2"/>
      <c r="AN939" s="3"/>
      <c r="AO939" s="2"/>
      <c r="AU939" s="5"/>
    </row>
    <row r="940" ht="15.75" customHeight="1" spans="1:47">
      <c r="A940" s="2"/>
      <c r="F940" s="2"/>
      <c r="G940" s="2"/>
      <c r="K940" s="2"/>
      <c r="O940" s="2"/>
      <c r="P940" s="2"/>
      <c r="R940" s="2"/>
      <c r="T940" s="2"/>
      <c r="X940" s="2"/>
      <c r="Y940" s="2"/>
      <c r="Z940" s="2"/>
      <c r="AA940" s="2"/>
      <c r="AB940" s="2"/>
      <c r="AC940" s="2"/>
      <c r="AG940" s="2"/>
      <c r="AK940" s="2"/>
      <c r="AL940" s="2"/>
      <c r="AM940" s="2"/>
      <c r="AN940" s="3"/>
      <c r="AO940" s="2"/>
      <c r="AU940" s="5"/>
    </row>
    <row r="941" ht="15.75" customHeight="1" spans="1:47">
      <c r="A941" s="2"/>
      <c r="F941" s="2"/>
      <c r="G941" s="2"/>
      <c r="K941" s="2"/>
      <c r="O941" s="2"/>
      <c r="P941" s="2"/>
      <c r="R941" s="2"/>
      <c r="T941" s="2"/>
      <c r="X941" s="2"/>
      <c r="Y941" s="2"/>
      <c r="Z941" s="2"/>
      <c r="AA941" s="2"/>
      <c r="AB941" s="2"/>
      <c r="AC941" s="2"/>
      <c r="AG941" s="2"/>
      <c r="AK941" s="2"/>
      <c r="AL941" s="2"/>
      <c r="AM941" s="2"/>
      <c r="AN941" s="3"/>
      <c r="AO941" s="2"/>
      <c r="AU941" s="5"/>
    </row>
    <row r="942" ht="15.75" customHeight="1" spans="1:47">
      <c r="A942" s="2"/>
      <c r="F942" s="2"/>
      <c r="G942" s="2"/>
      <c r="K942" s="2"/>
      <c r="O942" s="2"/>
      <c r="P942" s="2"/>
      <c r="R942" s="2"/>
      <c r="T942" s="2"/>
      <c r="X942" s="2"/>
      <c r="Y942" s="2"/>
      <c r="Z942" s="2"/>
      <c r="AA942" s="2"/>
      <c r="AB942" s="2"/>
      <c r="AC942" s="2"/>
      <c r="AG942" s="2"/>
      <c r="AK942" s="2"/>
      <c r="AL942" s="2"/>
      <c r="AM942" s="2"/>
      <c r="AN942" s="3"/>
      <c r="AO942" s="2"/>
      <c r="AU942" s="5"/>
    </row>
    <row r="943" ht="15.75" customHeight="1" spans="1:47">
      <c r="A943" s="2"/>
      <c r="F943" s="2"/>
      <c r="G943" s="2"/>
      <c r="K943" s="2"/>
      <c r="O943" s="2"/>
      <c r="P943" s="2"/>
      <c r="R943" s="2"/>
      <c r="T943" s="2"/>
      <c r="X943" s="2"/>
      <c r="Y943" s="2"/>
      <c r="Z943" s="2"/>
      <c r="AA943" s="2"/>
      <c r="AB943" s="2"/>
      <c r="AC943" s="2"/>
      <c r="AG943" s="2"/>
      <c r="AK943" s="2"/>
      <c r="AL943" s="2"/>
      <c r="AM943" s="2"/>
      <c r="AN943" s="3"/>
      <c r="AO943" s="2"/>
      <c r="AU943" s="5"/>
    </row>
    <row r="944" ht="15.75" customHeight="1" spans="1:47">
      <c r="A944" s="2"/>
      <c r="F944" s="2"/>
      <c r="G944" s="2"/>
      <c r="K944" s="2"/>
      <c r="O944" s="2"/>
      <c r="P944" s="2"/>
      <c r="R944" s="2"/>
      <c r="T944" s="2"/>
      <c r="X944" s="2"/>
      <c r="Y944" s="2"/>
      <c r="Z944" s="2"/>
      <c r="AA944" s="2"/>
      <c r="AB944" s="2"/>
      <c r="AC944" s="2"/>
      <c r="AG944" s="2"/>
      <c r="AK944" s="2"/>
      <c r="AL944" s="2"/>
      <c r="AM944" s="2"/>
      <c r="AN944" s="3"/>
      <c r="AO944" s="2"/>
      <c r="AU944" s="5"/>
    </row>
    <row r="945" ht="15.75" customHeight="1" spans="1:47">
      <c r="A945" s="2"/>
      <c r="F945" s="2"/>
      <c r="G945" s="2"/>
      <c r="K945" s="2"/>
      <c r="O945" s="2"/>
      <c r="P945" s="2"/>
      <c r="R945" s="2"/>
      <c r="T945" s="2"/>
      <c r="X945" s="2"/>
      <c r="Y945" s="2"/>
      <c r="Z945" s="2"/>
      <c r="AA945" s="2"/>
      <c r="AB945" s="2"/>
      <c r="AC945" s="2"/>
      <c r="AG945" s="2"/>
      <c r="AK945" s="2"/>
      <c r="AL945" s="2"/>
      <c r="AM945" s="2"/>
      <c r="AN945" s="3"/>
      <c r="AO945" s="2"/>
      <c r="AU945" s="5"/>
    </row>
    <row r="946" ht="15.75" customHeight="1" spans="1:47">
      <c r="A946" s="2"/>
      <c r="F946" s="2"/>
      <c r="G946" s="2"/>
      <c r="K946" s="2"/>
      <c r="O946" s="2"/>
      <c r="P946" s="2"/>
      <c r="R946" s="2"/>
      <c r="T946" s="2"/>
      <c r="X946" s="2"/>
      <c r="Y946" s="2"/>
      <c r="Z946" s="2"/>
      <c r="AA946" s="2"/>
      <c r="AB946" s="2"/>
      <c r="AC946" s="2"/>
      <c r="AG946" s="2"/>
      <c r="AK946" s="2"/>
      <c r="AL946" s="2"/>
      <c r="AM946" s="2"/>
      <c r="AN946" s="3"/>
      <c r="AO946" s="2"/>
      <c r="AU946" s="5"/>
    </row>
    <row r="947" ht="15.75" customHeight="1" spans="1:47">
      <c r="A947" s="2"/>
      <c r="F947" s="2"/>
      <c r="G947" s="2"/>
      <c r="K947" s="2"/>
      <c r="O947" s="2"/>
      <c r="P947" s="2"/>
      <c r="R947" s="2"/>
      <c r="T947" s="2"/>
      <c r="X947" s="2"/>
      <c r="Y947" s="2"/>
      <c r="Z947" s="2"/>
      <c r="AA947" s="2"/>
      <c r="AB947" s="2"/>
      <c r="AC947" s="2"/>
      <c r="AG947" s="2"/>
      <c r="AK947" s="2"/>
      <c r="AL947" s="2"/>
      <c r="AM947" s="2"/>
      <c r="AN947" s="3"/>
      <c r="AO947" s="2"/>
      <c r="AU947" s="5"/>
    </row>
    <row r="948" ht="15.75" customHeight="1" spans="1:47">
      <c r="A948" s="2"/>
      <c r="F948" s="2"/>
      <c r="G948" s="2"/>
      <c r="K948" s="2"/>
      <c r="O948" s="2"/>
      <c r="P948" s="2"/>
      <c r="R948" s="2"/>
      <c r="T948" s="2"/>
      <c r="X948" s="2"/>
      <c r="Y948" s="2"/>
      <c r="Z948" s="2"/>
      <c r="AA948" s="2"/>
      <c r="AB948" s="2"/>
      <c r="AC948" s="2"/>
      <c r="AG948" s="2"/>
      <c r="AK948" s="2"/>
      <c r="AL948" s="2"/>
      <c r="AM948" s="2"/>
      <c r="AN948" s="3"/>
      <c r="AO948" s="2"/>
      <c r="AU948" s="5"/>
    </row>
    <row r="949" ht="15.75" customHeight="1" spans="1:47">
      <c r="A949" s="2"/>
      <c r="F949" s="2"/>
      <c r="G949" s="2"/>
      <c r="K949" s="2"/>
      <c r="O949" s="2"/>
      <c r="P949" s="2"/>
      <c r="R949" s="2"/>
      <c r="T949" s="2"/>
      <c r="X949" s="2"/>
      <c r="Y949" s="2"/>
      <c r="Z949" s="2"/>
      <c r="AA949" s="2"/>
      <c r="AB949" s="2"/>
      <c r="AC949" s="2"/>
      <c r="AG949" s="2"/>
      <c r="AK949" s="2"/>
      <c r="AL949" s="2"/>
      <c r="AM949" s="2"/>
      <c r="AN949" s="3"/>
      <c r="AO949" s="2"/>
      <c r="AU949" s="5"/>
    </row>
    <row r="950" ht="15.75" customHeight="1" spans="1:47">
      <c r="A950" s="2"/>
      <c r="F950" s="2"/>
      <c r="G950" s="2"/>
      <c r="K950" s="2"/>
      <c r="O950" s="2"/>
      <c r="P950" s="2"/>
      <c r="R950" s="2"/>
      <c r="T950" s="2"/>
      <c r="X950" s="2"/>
      <c r="Y950" s="2"/>
      <c r="Z950" s="2"/>
      <c r="AA950" s="2"/>
      <c r="AB950" s="2"/>
      <c r="AC950" s="2"/>
      <c r="AG950" s="2"/>
      <c r="AK950" s="2"/>
      <c r="AL950" s="2"/>
      <c r="AM950" s="2"/>
      <c r="AN950" s="3"/>
      <c r="AO950" s="2"/>
      <c r="AU950" s="5"/>
    </row>
    <row r="951" ht="15.75" customHeight="1" spans="1:47">
      <c r="A951" s="2"/>
      <c r="F951" s="2"/>
      <c r="G951" s="2"/>
      <c r="K951" s="2"/>
      <c r="O951" s="2"/>
      <c r="P951" s="2"/>
      <c r="R951" s="2"/>
      <c r="T951" s="2"/>
      <c r="X951" s="2"/>
      <c r="Y951" s="2"/>
      <c r="Z951" s="2"/>
      <c r="AA951" s="2"/>
      <c r="AB951" s="2"/>
      <c r="AC951" s="2"/>
      <c r="AG951" s="2"/>
      <c r="AK951" s="2"/>
      <c r="AL951" s="2"/>
      <c r="AM951" s="2"/>
      <c r="AN951" s="3"/>
      <c r="AO951" s="2"/>
      <c r="AU951" s="5"/>
    </row>
    <row r="952" ht="15.75" customHeight="1" spans="1:47">
      <c r="A952" s="2"/>
      <c r="F952" s="2"/>
      <c r="G952" s="2"/>
      <c r="K952" s="2"/>
      <c r="O952" s="2"/>
      <c r="P952" s="2"/>
      <c r="R952" s="2"/>
      <c r="T952" s="2"/>
      <c r="X952" s="2"/>
      <c r="Y952" s="2"/>
      <c r="Z952" s="2"/>
      <c r="AA952" s="2"/>
      <c r="AB952" s="2"/>
      <c r="AC952" s="2"/>
      <c r="AG952" s="2"/>
      <c r="AK952" s="2"/>
      <c r="AL952" s="2"/>
      <c r="AM952" s="2"/>
      <c r="AN952" s="3"/>
      <c r="AO952" s="2"/>
      <c r="AU952" s="5"/>
    </row>
    <row r="953" ht="15.75" customHeight="1" spans="1:47">
      <c r="A953" s="2"/>
      <c r="F953" s="2"/>
      <c r="G953" s="2"/>
      <c r="K953" s="2"/>
      <c r="O953" s="2"/>
      <c r="P953" s="2"/>
      <c r="R953" s="2"/>
      <c r="T953" s="2"/>
      <c r="X953" s="2"/>
      <c r="Y953" s="2"/>
      <c r="Z953" s="2"/>
      <c r="AA953" s="2"/>
      <c r="AB953" s="2"/>
      <c r="AC953" s="2"/>
      <c r="AG953" s="2"/>
      <c r="AK953" s="2"/>
      <c r="AL953" s="2"/>
      <c r="AM953" s="2"/>
      <c r="AN953" s="3"/>
      <c r="AO953" s="2"/>
      <c r="AU953" s="5"/>
    </row>
    <row r="954" ht="15.75" customHeight="1" spans="1:47">
      <c r="A954" s="2"/>
      <c r="F954" s="2"/>
      <c r="G954" s="2"/>
      <c r="K954" s="2"/>
      <c r="O954" s="2"/>
      <c r="P954" s="2"/>
      <c r="R954" s="2"/>
      <c r="T954" s="2"/>
      <c r="X954" s="2"/>
      <c r="Y954" s="2"/>
      <c r="Z954" s="2"/>
      <c r="AA954" s="2"/>
      <c r="AB954" s="2"/>
      <c r="AC954" s="2"/>
      <c r="AG954" s="2"/>
      <c r="AK954" s="2"/>
      <c r="AL954" s="2"/>
      <c r="AM954" s="2"/>
      <c r="AN954" s="3"/>
      <c r="AO954" s="2"/>
      <c r="AU954" s="5"/>
    </row>
    <row r="955" ht="15.75" customHeight="1" spans="1:47">
      <c r="A955" s="2"/>
      <c r="F955" s="2"/>
      <c r="G955" s="2"/>
      <c r="K955" s="2"/>
      <c r="O955" s="2"/>
      <c r="P955" s="2"/>
      <c r="R955" s="2"/>
      <c r="T955" s="2"/>
      <c r="X955" s="2"/>
      <c r="Y955" s="2"/>
      <c r="Z955" s="2"/>
      <c r="AA955" s="2"/>
      <c r="AB955" s="2"/>
      <c r="AC955" s="2"/>
      <c r="AG955" s="2"/>
      <c r="AK955" s="2"/>
      <c r="AL955" s="2"/>
      <c r="AM955" s="2"/>
      <c r="AN955" s="3"/>
      <c r="AO955" s="2"/>
      <c r="AU955" s="5"/>
    </row>
    <row r="956" ht="15.75" customHeight="1" spans="1:47">
      <c r="A956" s="2"/>
      <c r="F956" s="2"/>
      <c r="G956" s="2"/>
      <c r="K956" s="2"/>
      <c r="O956" s="2"/>
      <c r="P956" s="2"/>
      <c r="R956" s="2"/>
      <c r="T956" s="2"/>
      <c r="X956" s="2"/>
      <c r="Y956" s="2"/>
      <c r="Z956" s="2"/>
      <c r="AA956" s="2"/>
      <c r="AB956" s="2"/>
      <c r="AC956" s="2"/>
      <c r="AG956" s="2"/>
      <c r="AK956" s="2"/>
      <c r="AL956" s="2"/>
      <c r="AM956" s="2"/>
      <c r="AN956" s="3"/>
      <c r="AO956" s="2"/>
      <c r="AU956" s="5"/>
    </row>
    <row r="957" ht="15.75" customHeight="1" spans="1:47">
      <c r="A957" s="2"/>
      <c r="F957" s="2"/>
      <c r="G957" s="2"/>
      <c r="K957" s="2"/>
      <c r="O957" s="2"/>
      <c r="P957" s="2"/>
      <c r="R957" s="2"/>
      <c r="T957" s="2"/>
      <c r="X957" s="2"/>
      <c r="Y957" s="2"/>
      <c r="Z957" s="2"/>
      <c r="AA957" s="2"/>
      <c r="AB957" s="2"/>
      <c r="AC957" s="2"/>
      <c r="AG957" s="2"/>
      <c r="AK957" s="2"/>
      <c r="AL957" s="2"/>
      <c r="AM957" s="2"/>
      <c r="AN957" s="3"/>
      <c r="AO957" s="2"/>
      <c r="AU957" s="5"/>
    </row>
    <row r="958" ht="15.75" customHeight="1" spans="1:47">
      <c r="A958" s="2"/>
      <c r="F958" s="2"/>
      <c r="G958" s="2"/>
      <c r="K958" s="2"/>
      <c r="O958" s="2"/>
      <c r="P958" s="2"/>
      <c r="R958" s="2"/>
      <c r="T958" s="2"/>
      <c r="X958" s="2"/>
      <c r="Y958" s="2"/>
      <c r="Z958" s="2"/>
      <c r="AA958" s="2"/>
      <c r="AB958" s="2"/>
      <c r="AC958" s="2"/>
      <c r="AG958" s="2"/>
      <c r="AK958" s="2"/>
      <c r="AL958" s="2"/>
      <c r="AM958" s="2"/>
      <c r="AN958" s="3"/>
      <c r="AO958" s="2"/>
      <c r="AU958" s="5"/>
    </row>
    <row r="959" ht="15.75" customHeight="1" spans="1:47">
      <c r="A959" s="2"/>
      <c r="F959" s="2"/>
      <c r="G959" s="2"/>
      <c r="K959" s="2"/>
      <c r="O959" s="2"/>
      <c r="P959" s="2"/>
      <c r="R959" s="2"/>
      <c r="T959" s="2"/>
      <c r="X959" s="2"/>
      <c r="Y959" s="2"/>
      <c r="Z959" s="2"/>
      <c r="AA959" s="2"/>
      <c r="AB959" s="2"/>
      <c r="AC959" s="2"/>
      <c r="AG959" s="2"/>
      <c r="AK959" s="2"/>
      <c r="AL959" s="2"/>
      <c r="AM959" s="2"/>
      <c r="AN959" s="3"/>
      <c r="AO959" s="2"/>
      <c r="AU959" s="5"/>
    </row>
    <row r="960" ht="15.75" customHeight="1" spans="1:47">
      <c r="A960" s="2"/>
      <c r="F960" s="2"/>
      <c r="G960" s="2"/>
      <c r="K960" s="2"/>
      <c r="O960" s="2"/>
      <c r="P960" s="2"/>
      <c r="R960" s="2"/>
      <c r="T960" s="2"/>
      <c r="X960" s="2"/>
      <c r="Y960" s="2"/>
      <c r="Z960" s="2"/>
      <c r="AA960" s="2"/>
      <c r="AB960" s="2"/>
      <c r="AC960" s="2"/>
      <c r="AG960" s="2"/>
      <c r="AK960" s="2"/>
      <c r="AL960" s="2"/>
      <c r="AM960" s="2"/>
      <c r="AN960" s="3"/>
      <c r="AO960" s="2"/>
      <c r="AU960" s="5"/>
    </row>
    <row r="961" ht="15.75" customHeight="1" spans="1:47">
      <c r="A961" s="2"/>
      <c r="F961" s="2"/>
      <c r="G961" s="2"/>
      <c r="K961" s="2"/>
      <c r="O961" s="2"/>
      <c r="P961" s="2"/>
      <c r="R961" s="2"/>
      <c r="T961" s="2"/>
      <c r="X961" s="2"/>
      <c r="Y961" s="2"/>
      <c r="Z961" s="2"/>
      <c r="AA961" s="2"/>
      <c r="AB961" s="2"/>
      <c r="AC961" s="2"/>
      <c r="AG961" s="2"/>
      <c r="AK961" s="2"/>
      <c r="AL961" s="2"/>
      <c r="AM961" s="2"/>
      <c r="AN961" s="3"/>
      <c r="AO961" s="2"/>
      <c r="AU961" s="5"/>
    </row>
    <row r="962" ht="15.75" customHeight="1" spans="1:47">
      <c r="A962" s="2"/>
      <c r="F962" s="2"/>
      <c r="G962" s="2"/>
      <c r="K962" s="2"/>
      <c r="O962" s="2"/>
      <c r="P962" s="2"/>
      <c r="R962" s="2"/>
      <c r="T962" s="2"/>
      <c r="X962" s="2"/>
      <c r="Y962" s="2"/>
      <c r="Z962" s="2"/>
      <c r="AA962" s="2"/>
      <c r="AB962" s="2"/>
      <c r="AC962" s="2"/>
      <c r="AG962" s="2"/>
      <c r="AK962" s="2"/>
      <c r="AL962" s="2"/>
      <c r="AM962" s="2"/>
      <c r="AN962" s="3"/>
      <c r="AO962" s="2"/>
      <c r="AU962" s="5"/>
    </row>
    <row r="963" ht="15.75" customHeight="1" spans="1:47">
      <c r="A963" s="2"/>
      <c r="F963" s="2"/>
      <c r="G963" s="2"/>
      <c r="K963" s="2"/>
      <c r="O963" s="2"/>
      <c r="P963" s="2"/>
      <c r="R963" s="2"/>
      <c r="T963" s="2"/>
      <c r="X963" s="2"/>
      <c r="Y963" s="2"/>
      <c r="Z963" s="2"/>
      <c r="AA963" s="2"/>
      <c r="AB963" s="2"/>
      <c r="AC963" s="2"/>
      <c r="AG963" s="2"/>
      <c r="AK963" s="2"/>
      <c r="AL963" s="2"/>
      <c r="AM963" s="2"/>
      <c r="AN963" s="3"/>
      <c r="AO963" s="2"/>
      <c r="AU963" s="5"/>
    </row>
    <row r="964" ht="15.75" customHeight="1" spans="1:47">
      <c r="A964" s="2"/>
      <c r="F964" s="2"/>
      <c r="G964" s="2"/>
      <c r="K964" s="2"/>
      <c r="O964" s="2"/>
      <c r="P964" s="2"/>
      <c r="R964" s="2"/>
      <c r="T964" s="2"/>
      <c r="X964" s="2"/>
      <c r="Y964" s="2"/>
      <c r="Z964" s="2"/>
      <c r="AA964" s="2"/>
      <c r="AB964" s="2"/>
      <c r="AC964" s="2"/>
      <c r="AG964" s="2"/>
      <c r="AK964" s="2"/>
      <c r="AL964" s="2"/>
      <c r="AM964" s="2"/>
      <c r="AN964" s="3"/>
      <c r="AO964" s="2"/>
      <c r="AU964" s="5"/>
    </row>
    <row r="965" ht="15.75" customHeight="1" spans="1:47">
      <c r="A965" s="2"/>
      <c r="F965" s="2"/>
      <c r="G965" s="2"/>
      <c r="K965" s="2"/>
      <c r="O965" s="2"/>
      <c r="P965" s="2"/>
      <c r="R965" s="2"/>
      <c r="T965" s="2"/>
      <c r="X965" s="2"/>
      <c r="Y965" s="2"/>
      <c r="Z965" s="2"/>
      <c r="AA965" s="2"/>
      <c r="AB965" s="2"/>
      <c r="AC965" s="2"/>
      <c r="AG965" s="2"/>
      <c r="AK965" s="2"/>
      <c r="AL965" s="2"/>
      <c r="AM965" s="2"/>
      <c r="AN965" s="3"/>
      <c r="AO965" s="2"/>
      <c r="AU965" s="5"/>
    </row>
    <row r="966" ht="15.75" customHeight="1" spans="1:47">
      <c r="A966" s="2"/>
      <c r="F966" s="2"/>
      <c r="G966" s="2"/>
      <c r="K966" s="2"/>
      <c r="O966" s="2"/>
      <c r="P966" s="2"/>
      <c r="R966" s="2"/>
      <c r="T966" s="2"/>
      <c r="X966" s="2"/>
      <c r="Y966" s="2"/>
      <c r="Z966" s="2"/>
      <c r="AA966" s="2"/>
      <c r="AB966" s="2"/>
      <c r="AC966" s="2"/>
      <c r="AG966" s="2"/>
      <c r="AK966" s="2"/>
      <c r="AL966" s="2"/>
      <c r="AM966" s="2"/>
      <c r="AN966" s="3"/>
      <c r="AO966" s="2"/>
      <c r="AU966" s="5"/>
    </row>
    <row r="967" ht="15.75" customHeight="1" spans="1:47">
      <c r="A967" s="2"/>
      <c r="F967" s="2"/>
      <c r="G967" s="2"/>
      <c r="K967" s="2"/>
      <c r="O967" s="2"/>
      <c r="P967" s="2"/>
      <c r="R967" s="2"/>
      <c r="T967" s="2"/>
      <c r="X967" s="2"/>
      <c r="Y967" s="2"/>
      <c r="Z967" s="2"/>
      <c r="AA967" s="2"/>
      <c r="AB967" s="2"/>
      <c r="AC967" s="2"/>
      <c r="AG967" s="2"/>
      <c r="AK967" s="2"/>
      <c r="AL967" s="2"/>
      <c r="AM967" s="2"/>
      <c r="AN967" s="3"/>
      <c r="AO967" s="2"/>
      <c r="AU967" s="5"/>
    </row>
    <row r="968" ht="15.75" customHeight="1" spans="1:47">
      <c r="A968" s="2"/>
      <c r="F968" s="2"/>
      <c r="G968" s="2"/>
      <c r="K968" s="2"/>
      <c r="O968" s="2"/>
      <c r="P968" s="2"/>
      <c r="R968" s="2"/>
      <c r="T968" s="2"/>
      <c r="X968" s="2"/>
      <c r="Y968" s="2"/>
      <c r="Z968" s="2"/>
      <c r="AA968" s="2"/>
      <c r="AB968" s="2"/>
      <c r="AC968" s="2"/>
      <c r="AG968" s="2"/>
      <c r="AK968" s="2"/>
      <c r="AL968" s="2"/>
      <c r="AM968" s="2"/>
      <c r="AN968" s="3"/>
      <c r="AO968" s="2"/>
      <c r="AU968" s="5"/>
    </row>
    <row r="969" ht="15.75" customHeight="1" spans="1:47">
      <c r="A969" s="2"/>
      <c r="F969" s="2"/>
      <c r="G969" s="2"/>
      <c r="K969" s="2"/>
      <c r="O969" s="2"/>
      <c r="P969" s="2"/>
      <c r="R969" s="2"/>
      <c r="T969" s="2"/>
      <c r="X969" s="2"/>
      <c r="Y969" s="2"/>
      <c r="Z969" s="2"/>
      <c r="AA969" s="2"/>
      <c r="AB969" s="2"/>
      <c r="AC969" s="2"/>
      <c r="AG969" s="2"/>
      <c r="AK969" s="2"/>
      <c r="AL969" s="2"/>
      <c r="AM969" s="2"/>
      <c r="AN969" s="3"/>
      <c r="AO969" s="2"/>
      <c r="AU969" s="5"/>
    </row>
    <row r="970" ht="15.75" customHeight="1" spans="1:47">
      <c r="A970" s="2"/>
      <c r="F970" s="2"/>
      <c r="G970" s="2"/>
      <c r="K970" s="2"/>
      <c r="O970" s="2"/>
      <c r="P970" s="2"/>
      <c r="R970" s="2"/>
      <c r="T970" s="2"/>
      <c r="X970" s="2"/>
      <c r="Y970" s="2"/>
      <c r="Z970" s="2"/>
      <c r="AA970" s="2"/>
      <c r="AB970" s="2"/>
      <c r="AC970" s="2"/>
      <c r="AG970" s="2"/>
      <c r="AK970" s="2"/>
      <c r="AL970" s="2"/>
      <c r="AM970" s="2"/>
      <c r="AN970" s="3"/>
      <c r="AO970" s="2"/>
      <c r="AU970" s="5"/>
    </row>
    <row r="971" ht="15.75" customHeight="1" spans="1:47">
      <c r="A971" s="2"/>
      <c r="F971" s="2"/>
      <c r="G971" s="2"/>
      <c r="K971" s="2"/>
      <c r="O971" s="2"/>
      <c r="P971" s="2"/>
      <c r="R971" s="2"/>
      <c r="T971" s="2"/>
      <c r="X971" s="2"/>
      <c r="Y971" s="2"/>
      <c r="Z971" s="2"/>
      <c r="AA971" s="2"/>
      <c r="AB971" s="2"/>
      <c r="AC971" s="2"/>
      <c r="AG971" s="2"/>
      <c r="AK971" s="2"/>
      <c r="AL971" s="2"/>
      <c r="AM971" s="2"/>
      <c r="AN971" s="3"/>
      <c r="AO971" s="2"/>
      <c r="AU971" s="5"/>
    </row>
    <row r="972" ht="15.75" customHeight="1" spans="1:47">
      <c r="A972" s="2"/>
      <c r="F972" s="2"/>
      <c r="G972" s="2"/>
      <c r="K972" s="2"/>
      <c r="O972" s="2"/>
      <c r="P972" s="2"/>
      <c r="R972" s="2"/>
      <c r="T972" s="2"/>
      <c r="X972" s="2"/>
      <c r="Y972" s="2"/>
      <c r="Z972" s="2"/>
      <c r="AA972" s="2"/>
      <c r="AB972" s="2"/>
      <c r="AC972" s="2"/>
      <c r="AG972" s="2"/>
      <c r="AK972" s="2"/>
      <c r="AL972" s="2"/>
      <c r="AM972" s="2"/>
      <c r="AN972" s="3"/>
      <c r="AO972" s="2"/>
      <c r="AU972" s="5"/>
    </row>
    <row r="973" ht="15.75" customHeight="1" spans="1:47">
      <c r="A973" s="2"/>
      <c r="F973" s="2"/>
      <c r="G973" s="2"/>
      <c r="K973" s="2"/>
      <c r="O973" s="2"/>
      <c r="P973" s="2"/>
      <c r="R973" s="2"/>
      <c r="T973" s="2"/>
      <c r="X973" s="2"/>
      <c r="Y973" s="2"/>
      <c r="Z973" s="2"/>
      <c r="AA973" s="2"/>
      <c r="AB973" s="2"/>
      <c r="AC973" s="2"/>
      <c r="AG973" s="2"/>
      <c r="AK973" s="2"/>
      <c r="AL973" s="2"/>
      <c r="AM973" s="2"/>
      <c r="AN973" s="3"/>
      <c r="AO973" s="2"/>
      <c r="AU973" s="5"/>
    </row>
    <row r="974" ht="15.75" customHeight="1" spans="1:47">
      <c r="A974" s="2"/>
      <c r="F974" s="2"/>
      <c r="G974" s="2"/>
      <c r="K974" s="2"/>
      <c r="O974" s="2"/>
      <c r="P974" s="2"/>
      <c r="R974" s="2"/>
      <c r="T974" s="2"/>
      <c r="X974" s="2"/>
      <c r="Y974" s="2"/>
      <c r="Z974" s="2"/>
      <c r="AA974" s="2"/>
      <c r="AB974" s="2"/>
      <c r="AC974" s="2"/>
      <c r="AG974" s="2"/>
      <c r="AK974" s="2"/>
      <c r="AL974" s="2"/>
      <c r="AM974" s="2"/>
      <c r="AN974" s="3"/>
      <c r="AO974" s="2"/>
      <c r="AU974" s="5"/>
    </row>
    <row r="975" ht="15.75" customHeight="1" spans="1:47">
      <c r="A975" s="2"/>
      <c r="F975" s="2"/>
      <c r="G975" s="2"/>
      <c r="K975" s="2"/>
      <c r="O975" s="2"/>
      <c r="P975" s="2"/>
      <c r="R975" s="2"/>
      <c r="T975" s="2"/>
      <c r="X975" s="2"/>
      <c r="Y975" s="2"/>
      <c r="Z975" s="2"/>
      <c r="AA975" s="2"/>
      <c r="AB975" s="2"/>
      <c r="AC975" s="2"/>
      <c r="AG975" s="2"/>
      <c r="AK975" s="2"/>
      <c r="AL975" s="2"/>
      <c r="AM975" s="2"/>
      <c r="AN975" s="3"/>
      <c r="AO975" s="2"/>
      <c r="AU975" s="5"/>
    </row>
    <row r="976" ht="15.75" customHeight="1" spans="1:47">
      <c r="A976" s="2"/>
      <c r="F976" s="2"/>
      <c r="G976" s="2"/>
      <c r="K976" s="2"/>
      <c r="O976" s="2"/>
      <c r="P976" s="2"/>
      <c r="R976" s="2"/>
      <c r="T976" s="2"/>
      <c r="X976" s="2"/>
      <c r="Y976" s="2"/>
      <c r="Z976" s="2"/>
      <c r="AA976" s="2"/>
      <c r="AB976" s="2"/>
      <c r="AC976" s="2"/>
      <c r="AG976" s="2"/>
      <c r="AK976" s="2"/>
      <c r="AL976" s="2"/>
      <c r="AM976" s="2"/>
      <c r="AN976" s="3"/>
      <c r="AO976" s="2"/>
      <c r="AU976" s="5"/>
    </row>
    <row r="977" ht="15.75" customHeight="1" spans="1:47">
      <c r="A977" s="2"/>
      <c r="F977" s="2"/>
      <c r="G977" s="2"/>
      <c r="K977" s="2"/>
      <c r="O977" s="2"/>
      <c r="P977" s="2"/>
      <c r="R977" s="2"/>
      <c r="T977" s="2"/>
      <c r="X977" s="2"/>
      <c r="Y977" s="2"/>
      <c r="Z977" s="2"/>
      <c r="AA977" s="2"/>
      <c r="AB977" s="2"/>
      <c r="AC977" s="2"/>
      <c r="AG977" s="2"/>
      <c r="AK977" s="2"/>
      <c r="AL977" s="2"/>
      <c r="AM977" s="2"/>
      <c r="AN977" s="3"/>
      <c r="AO977" s="2"/>
      <c r="AU977" s="5"/>
    </row>
    <row r="978" ht="15.75" customHeight="1" spans="1:47">
      <c r="A978" s="2"/>
      <c r="F978" s="2"/>
      <c r="G978" s="2"/>
      <c r="K978" s="2"/>
      <c r="O978" s="2"/>
      <c r="P978" s="2"/>
      <c r="R978" s="2"/>
      <c r="T978" s="2"/>
      <c r="X978" s="2"/>
      <c r="Y978" s="2"/>
      <c r="Z978" s="2"/>
      <c r="AA978" s="2"/>
      <c r="AB978" s="2"/>
      <c r="AC978" s="2"/>
      <c r="AG978" s="2"/>
      <c r="AK978" s="2"/>
      <c r="AL978" s="2"/>
      <c r="AM978" s="2"/>
      <c r="AN978" s="3"/>
      <c r="AO978" s="2"/>
      <c r="AU978" s="5"/>
    </row>
    <row r="979" ht="15.75" customHeight="1" spans="1:47">
      <c r="A979" s="2"/>
      <c r="F979" s="2"/>
      <c r="G979" s="2"/>
      <c r="K979" s="2"/>
      <c r="O979" s="2"/>
      <c r="P979" s="2"/>
      <c r="R979" s="2"/>
      <c r="T979" s="2"/>
      <c r="X979" s="2"/>
      <c r="Y979" s="2"/>
      <c r="Z979" s="2"/>
      <c r="AA979" s="2"/>
      <c r="AB979" s="2"/>
      <c r="AC979" s="2"/>
      <c r="AG979" s="2"/>
      <c r="AK979" s="2"/>
      <c r="AL979" s="2"/>
      <c r="AM979" s="2"/>
      <c r="AN979" s="3"/>
      <c r="AO979" s="2"/>
      <c r="AU979" s="5"/>
    </row>
    <row r="980" ht="15.75" customHeight="1" spans="1:47">
      <c r="A980" s="2"/>
      <c r="F980" s="2"/>
      <c r="G980" s="2"/>
      <c r="K980" s="2"/>
      <c r="O980" s="2"/>
      <c r="P980" s="2"/>
      <c r="R980" s="2"/>
      <c r="T980" s="2"/>
      <c r="X980" s="2"/>
      <c r="Y980" s="2"/>
      <c r="Z980" s="2"/>
      <c r="AA980" s="2"/>
      <c r="AB980" s="2"/>
      <c r="AC980" s="2"/>
      <c r="AG980" s="2"/>
      <c r="AK980" s="2"/>
      <c r="AL980" s="2"/>
      <c r="AM980" s="2"/>
      <c r="AN980" s="3"/>
      <c r="AO980" s="2"/>
      <c r="AU980" s="5"/>
    </row>
    <row r="981" ht="15.75" customHeight="1" spans="1:47">
      <c r="A981" s="2"/>
      <c r="F981" s="2"/>
      <c r="G981" s="2"/>
      <c r="K981" s="2"/>
      <c r="O981" s="2"/>
      <c r="P981" s="2"/>
      <c r="R981" s="2"/>
      <c r="T981" s="2"/>
      <c r="X981" s="2"/>
      <c r="Y981" s="2"/>
      <c r="Z981" s="2"/>
      <c r="AA981" s="2"/>
      <c r="AB981" s="2"/>
      <c r="AC981" s="2"/>
      <c r="AG981" s="2"/>
      <c r="AK981" s="2"/>
      <c r="AL981" s="2"/>
      <c r="AM981" s="2"/>
      <c r="AN981" s="3"/>
      <c r="AO981" s="2"/>
      <c r="AU981" s="5"/>
    </row>
    <row r="982" ht="15.75" customHeight="1" spans="1:47">
      <c r="A982" s="2"/>
      <c r="F982" s="2"/>
      <c r="G982" s="2"/>
      <c r="K982" s="2"/>
      <c r="O982" s="2"/>
      <c r="P982" s="2"/>
      <c r="R982" s="2"/>
      <c r="T982" s="2"/>
      <c r="X982" s="2"/>
      <c r="Y982" s="2"/>
      <c r="Z982" s="2"/>
      <c r="AA982" s="2"/>
      <c r="AB982" s="2"/>
      <c r="AC982" s="2"/>
      <c r="AG982" s="2"/>
      <c r="AK982" s="2"/>
      <c r="AL982" s="2"/>
      <c r="AM982" s="2"/>
      <c r="AN982" s="3"/>
      <c r="AO982" s="2"/>
      <c r="AU982" s="5"/>
    </row>
    <row r="983" ht="15.75" customHeight="1" spans="1:47">
      <c r="A983" s="2"/>
      <c r="F983" s="2"/>
      <c r="G983" s="2"/>
      <c r="K983" s="2"/>
      <c r="O983" s="2"/>
      <c r="P983" s="2"/>
      <c r="R983" s="2"/>
      <c r="T983" s="2"/>
      <c r="X983" s="2"/>
      <c r="Y983" s="2"/>
      <c r="Z983" s="2"/>
      <c r="AA983" s="2"/>
      <c r="AB983" s="2"/>
      <c r="AC983" s="2"/>
      <c r="AG983" s="2"/>
      <c r="AK983" s="2"/>
      <c r="AL983" s="2"/>
      <c r="AM983" s="2"/>
      <c r="AN983" s="3"/>
      <c r="AO983" s="2"/>
      <c r="AU983" s="5"/>
    </row>
    <row r="984" ht="15.75" customHeight="1" spans="1:47">
      <c r="A984" s="2"/>
      <c r="F984" s="2"/>
      <c r="G984" s="2"/>
      <c r="K984" s="2"/>
      <c r="O984" s="2"/>
      <c r="P984" s="2"/>
      <c r="R984" s="2"/>
      <c r="T984" s="2"/>
      <c r="X984" s="2"/>
      <c r="Y984" s="2"/>
      <c r="Z984" s="2"/>
      <c r="AA984" s="2"/>
      <c r="AB984" s="2"/>
      <c r="AC984" s="2"/>
      <c r="AG984" s="2"/>
      <c r="AK984" s="2"/>
      <c r="AL984" s="2"/>
      <c r="AM984" s="2"/>
      <c r="AN984" s="3"/>
      <c r="AO984" s="2"/>
      <c r="AU984" s="5"/>
    </row>
    <row r="985" ht="15.75" customHeight="1" spans="1:47">
      <c r="A985" s="2"/>
      <c r="F985" s="2"/>
      <c r="G985" s="2"/>
      <c r="K985" s="2"/>
      <c r="O985" s="2"/>
      <c r="P985" s="2"/>
      <c r="R985" s="2"/>
      <c r="T985" s="2"/>
      <c r="X985" s="2"/>
      <c r="Y985" s="2"/>
      <c r="Z985" s="2"/>
      <c r="AA985" s="2"/>
      <c r="AB985" s="2"/>
      <c r="AC985" s="2"/>
      <c r="AG985" s="2"/>
      <c r="AK985" s="2"/>
      <c r="AL985" s="2"/>
      <c r="AM985" s="2"/>
      <c r="AN985" s="3"/>
      <c r="AO985" s="2"/>
      <c r="AU985" s="5"/>
    </row>
    <row r="986" ht="15.75" customHeight="1" spans="1:47">
      <c r="A986" s="2"/>
      <c r="F986" s="2"/>
      <c r="G986" s="2"/>
      <c r="K986" s="2"/>
      <c r="O986" s="2"/>
      <c r="P986" s="2"/>
      <c r="R986" s="2"/>
      <c r="T986" s="2"/>
      <c r="X986" s="2"/>
      <c r="Y986" s="2"/>
      <c r="Z986" s="2"/>
      <c r="AA986" s="2"/>
      <c r="AB986" s="2"/>
      <c r="AC986" s="2"/>
      <c r="AG986" s="2"/>
      <c r="AK986" s="2"/>
      <c r="AL986" s="2"/>
      <c r="AM986" s="2"/>
      <c r="AN986" s="3"/>
      <c r="AO986" s="2"/>
      <c r="AU986" s="5"/>
    </row>
    <row r="987" ht="15.75" customHeight="1" spans="1:47">
      <c r="A987" s="2"/>
      <c r="F987" s="2"/>
      <c r="G987" s="2"/>
      <c r="K987" s="2"/>
      <c r="O987" s="2"/>
      <c r="P987" s="2"/>
      <c r="R987" s="2"/>
      <c r="T987" s="2"/>
      <c r="X987" s="2"/>
      <c r="Y987" s="2"/>
      <c r="Z987" s="2"/>
      <c r="AA987" s="2"/>
      <c r="AB987" s="2"/>
      <c r="AC987" s="2"/>
      <c r="AG987" s="2"/>
      <c r="AK987" s="2"/>
      <c r="AL987" s="2"/>
      <c r="AM987" s="2"/>
      <c r="AN987" s="3"/>
      <c r="AO987" s="2"/>
      <c r="AU987" s="5"/>
    </row>
    <row r="988" ht="15.75" customHeight="1" spans="1:47">
      <c r="A988" s="2"/>
      <c r="F988" s="2"/>
      <c r="G988" s="2"/>
      <c r="K988" s="2"/>
      <c r="O988" s="2"/>
      <c r="P988" s="2"/>
      <c r="R988" s="2"/>
      <c r="T988" s="2"/>
      <c r="X988" s="2"/>
      <c r="Y988" s="2"/>
      <c r="Z988" s="2"/>
      <c r="AA988" s="2"/>
      <c r="AB988" s="2"/>
      <c r="AC988" s="2"/>
      <c r="AG988" s="2"/>
      <c r="AK988" s="2"/>
      <c r="AL988" s="2"/>
      <c r="AM988" s="2"/>
      <c r="AN988" s="3"/>
      <c r="AO988" s="2"/>
      <c r="AU988" s="5"/>
    </row>
    <row r="989" ht="15.75" customHeight="1" spans="1:47">
      <c r="A989" s="2"/>
      <c r="F989" s="2"/>
      <c r="G989" s="2"/>
      <c r="K989" s="2"/>
      <c r="O989" s="2"/>
      <c r="P989" s="2"/>
      <c r="R989" s="2"/>
      <c r="T989" s="2"/>
      <c r="X989" s="2"/>
      <c r="Y989" s="2"/>
      <c r="Z989" s="2"/>
      <c r="AA989" s="2"/>
      <c r="AB989" s="2"/>
      <c r="AC989" s="2"/>
      <c r="AG989" s="2"/>
      <c r="AK989" s="2"/>
      <c r="AL989" s="2"/>
      <c r="AM989" s="2"/>
      <c r="AN989" s="3"/>
      <c r="AO989" s="2"/>
      <c r="AU989" s="5"/>
    </row>
    <row r="990" ht="15.75" customHeight="1" spans="1:47">
      <c r="A990" s="2"/>
      <c r="F990" s="2"/>
      <c r="G990" s="2"/>
      <c r="K990" s="2"/>
      <c r="O990" s="2"/>
      <c r="P990" s="2"/>
      <c r="R990" s="2"/>
      <c r="T990" s="2"/>
      <c r="X990" s="2"/>
      <c r="Y990" s="2"/>
      <c r="Z990" s="2"/>
      <c r="AA990" s="2"/>
      <c r="AB990" s="2"/>
      <c r="AC990" s="2"/>
      <c r="AG990" s="2"/>
      <c r="AK990" s="2"/>
      <c r="AL990" s="2"/>
      <c r="AM990" s="2"/>
      <c r="AN990" s="3"/>
      <c r="AO990" s="2"/>
      <c r="AU990" s="5"/>
    </row>
    <row r="991" ht="15.75" customHeight="1" spans="1:47">
      <c r="A991" s="2"/>
      <c r="F991" s="2"/>
      <c r="G991" s="2"/>
      <c r="K991" s="2"/>
      <c r="O991" s="2"/>
      <c r="P991" s="2"/>
      <c r="R991" s="2"/>
      <c r="T991" s="2"/>
      <c r="X991" s="2"/>
      <c r="Y991" s="2"/>
      <c r="Z991" s="2"/>
      <c r="AA991" s="2"/>
      <c r="AB991" s="2"/>
      <c r="AC991" s="2"/>
      <c r="AG991" s="2"/>
      <c r="AK991" s="2"/>
      <c r="AL991" s="2"/>
      <c r="AM991" s="2"/>
      <c r="AN991" s="3"/>
      <c r="AO991" s="2"/>
      <c r="AU991" s="5"/>
    </row>
    <row r="992" ht="15.75" customHeight="1" spans="1:47">
      <c r="A992" s="2"/>
      <c r="F992" s="2"/>
      <c r="G992" s="2"/>
      <c r="K992" s="2"/>
      <c r="O992" s="2"/>
      <c r="P992" s="2"/>
      <c r="R992" s="2"/>
      <c r="T992" s="2"/>
      <c r="X992" s="2"/>
      <c r="Y992" s="2"/>
      <c r="Z992" s="2"/>
      <c r="AA992" s="2"/>
      <c r="AB992" s="2"/>
      <c r="AC992" s="2"/>
      <c r="AG992" s="2"/>
      <c r="AK992" s="2"/>
      <c r="AL992" s="2"/>
      <c r="AM992" s="2"/>
      <c r="AN992" s="3"/>
      <c r="AO992" s="2"/>
      <c r="AU992" s="5"/>
    </row>
    <row r="993" ht="15.75" customHeight="1" spans="1:47">
      <c r="A993" s="2"/>
      <c r="F993" s="2"/>
      <c r="G993" s="2"/>
      <c r="K993" s="2"/>
      <c r="O993" s="2"/>
      <c r="P993" s="2"/>
      <c r="R993" s="2"/>
      <c r="T993" s="2"/>
      <c r="X993" s="2"/>
      <c r="Y993" s="2"/>
      <c r="Z993" s="2"/>
      <c r="AA993" s="2"/>
      <c r="AB993" s="2"/>
      <c r="AC993" s="2"/>
      <c r="AG993" s="2"/>
      <c r="AK993" s="2"/>
      <c r="AL993" s="2"/>
      <c r="AM993" s="2"/>
      <c r="AN993" s="3"/>
      <c r="AO993" s="2"/>
      <c r="AU993" s="5"/>
    </row>
    <row r="994" ht="15.75" customHeight="1" spans="1:47">
      <c r="A994" s="2"/>
      <c r="F994" s="2"/>
      <c r="G994" s="2"/>
      <c r="K994" s="2"/>
      <c r="O994" s="2"/>
      <c r="P994" s="2"/>
      <c r="R994" s="2"/>
      <c r="T994" s="2"/>
      <c r="X994" s="2"/>
      <c r="Y994" s="2"/>
      <c r="Z994" s="2"/>
      <c r="AA994" s="2"/>
      <c r="AB994" s="2"/>
      <c r="AC994" s="2"/>
      <c r="AG994" s="2"/>
      <c r="AK994" s="2"/>
      <c r="AL994" s="2"/>
      <c r="AM994" s="2"/>
      <c r="AN994" s="3"/>
      <c r="AO994" s="2"/>
      <c r="AU994" s="5"/>
    </row>
    <row r="995" ht="15.75" customHeight="1" spans="1:47">
      <c r="A995" s="2"/>
      <c r="F995" s="2"/>
      <c r="G995" s="2"/>
      <c r="K995" s="2"/>
      <c r="O995" s="2"/>
      <c r="P995" s="2"/>
      <c r="R995" s="2"/>
      <c r="T995" s="2"/>
      <c r="X995" s="2"/>
      <c r="Y995" s="2"/>
      <c r="Z995" s="2"/>
      <c r="AA995" s="2"/>
      <c r="AB995" s="2"/>
      <c r="AC995" s="2"/>
      <c r="AG995" s="2"/>
      <c r="AK995" s="2"/>
      <c r="AL995" s="2"/>
      <c r="AM995" s="2"/>
      <c r="AN995" s="3"/>
      <c r="AO995" s="2"/>
      <c r="AU995" s="5"/>
    </row>
    <row r="996" ht="15.75" customHeight="1" spans="1:47">
      <c r="A996" s="2"/>
      <c r="F996" s="2"/>
      <c r="G996" s="2"/>
      <c r="K996" s="2"/>
      <c r="O996" s="2"/>
      <c r="P996" s="2"/>
      <c r="R996" s="2"/>
      <c r="T996" s="2"/>
      <c r="X996" s="2"/>
      <c r="Y996" s="2"/>
      <c r="Z996" s="2"/>
      <c r="AA996" s="2"/>
      <c r="AB996" s="2"/>
      <c r="AC996" s="2"/>
      <c r="AG996" s="2"/>
      <c r="AK996" s="2"/>
      <c r="AL996" s="2"/>
      <c r="AM996" s="2"/>
      <c r="AN996" s="3"/>
      <c r="AO996" s="2"/>
      <c r="AU996" s="5"/>
    </row>
    <row r="997" ht="15.75" customHeight="1" spans="1:47">
      <c r="A997" s="2"/>
      <c r="F997" s="2"/>
      <c r="G997" s="2"/>
      <c r="K997" s="2"/>
      <c r="O997" s="2"/>
      <c r="P997" s="2"/>
      <c r="R997" s="2"/>
      <c r="T997" s="2"/>
      <c r="X997" s="2"/>
      <c r="Y997" s="2"/>
      <c r="Z997" s="2"/>
      <c r="AA997" s="2"/>
      <c r="AB997" s="2"/>
      <c r="AC997" s="2"/>
      <c r="AG997" s="2"/>
      <c r="AK997" s="2"/>
      <c r="AL997" s="2"/>
      <c r="AM997" s="2"/>
      <c r="AN997" s="3"/>
      <c r="AO997" s="2"/>
      <c r="AU997" s="5"/>
    </row>
    <row r="998" ht="15.75" customHeight="1" spans="1:47">
      <c r="A998" s="2"/>
      <c r="F998" s="2"/>
      <c r="G998" s="2"/>
      <c r="K998" s="2"/>
      <c r="O998" s="2"/>
      <c r="P998" s="2"/>
      <c r="R998" s="2"/>
      <c r="T998" s="2"/>
      <c r="X998" s="2"/>
      <c r="Y998" s="2"/>
      <c r="Z998" s="2"/>
      <c r="AA998" s="2"/>
      <c r="AB998" s="2"/>
      <c r="AC998" s="2"/>
      <c r="AG998" s="2"/>
      <c r="AK998" s="2"/>
      <c r="AL998" s="2"/>
      <c r="AM998" s="2"/>
      <c r="AN998" s="3"/>
      <c r="AO998" s="2"/>
      <c r="AU998" s="5"/>
    </row>
    <row r="999" ht="15.75" customHeight="1" spans="1:47">
      <c r="A999" s="2"/>
      <c r="F999" s="2"/>
      <c r="G999" s="2"/>
      <c r="K999" s="2"/>
      <c r="O999" s="2"/>
      <c r="P999" s="2"/>
      <c r="R999" s="2"/>
      <c r="T999" s="2"/>
      <c r="X999" s="2"/>
      <c r="Y999" s="2"/>
      <c r="Z999" s="2"/>
      <c r="AA999" s="2"/>
      <c r="AB999" s="2"/>
      <c r="AC999" s="2"/>
      <c r="AG999" s="2"/>
      <c r="AK999" s="2"/>
      <c r="AL999" s="2"/>
      <c r="AM999" s="2"/>
      <c r="AN999" s="3"/>
      <c r="AO999" s="2"/>
      <c r="AU999" s="5"/>
    </row>
  </sheetData>
  <mergeCells count="10">
    <mergeCell ref="A2:E2"/>
    <mergeCell ref="G2:L2"/>
    <mergeCell ref="O2:W2"/>
    <mergeCell ref="AC2:AF2"/>
    <mergeCell ref="AN2:AO2"/>
    <mergeCell ref="AP2:AR2"/>
    <mergeCell ref="AV2:AX2"/>
    <mergeCell ref="AZ2:BB2"/>
    <mergeCell ref="BC2:BE2"/>
    <mergeCell ref="BF2:BJ2"/>
  </mergeCells>
  <dataValidations count="22">
    <dataValidation type="list" allowBlank="1" showInputMessage="1" showErrorMessage="1" sqref="BX4:BX1048576">
      <formula1>'Data Validation'!$AN$2:$AN$11</formula1>
    </dataValidation>
    <dataValidation type="list" allowBlank="1" showErrorMessage="1" sqref="AU4:AU999">
      <formula1>'Data Validation'!$G$13</formula1>
    </dataValidation>
    <dataValidation type="list" allowBlank="1" sqref="AO4:AO999">
      <formula1>'Data Validation'!$D$2:$D$25</formula1>
    </dataValidation>
    <dataValidation type="list" allowBlank="1" showErrorMessage="1" sqref="AN4:AN999">
      <formula1>'Data Validation'!$F$2:$F$57</formula1>
    </dataValidation>
    <dataValidation type="list" allowBlank="1" showErrorMessage="1" sqref="AK4:AK999">
      <formula1>'Data Validation'!$T$2:$T$40</formula1>
    </dataValidation>
    <dataValidation type="list" allowBlank="1" showErrorMessage="1" sqref="AM4:AM999">
      <formula1>'Data Validation'!$V$14:$V$15</formula1>
    </dataValidation>
    <dataValidation type="list" allowBlank="1" sqref="AD4:AD1048576">
      <formula1>'Data Validation'!$AD$2:$AD$1021</formula1>
    </dataValidation>
    <dataValidation type="list" allowBlank="1" showErrorMessage="1" sqref="AC4:AC999">
      <formula1>'Data Validation'!$G$2:$G$7</formula1>
    </dataValidation>
    <dataValidation type="list" allowBlank="1" showErrorMessage="1" sqref="AA4:AA999">
      <formula1>'Data Validation'!$M$2:$M$4</formula1>
    </dataValidation>
    <dataValidation type="list" allowBlank="1" showErrorMessage="1" sqref="Z4:Z999 AB4:AB999 AG4:AG999 AL4:AL999">
      <formula1>'Data Validation'!$C$2</formula1>
    </dataValidation>
    <dataValidation type="list" allowBlank="1" showInputMessage="1" showErrorMessage="1" sqref="X5:X1014">
      <formula1>'Data Validation'!$L$2:$L$8</formula1>
    </dataValidation>
    <dataValidation type="list" allowBlank="1" showErrorMessage="1" sqref="Y4:Y5 Y7:Y999">
      <formula1>'Data Validation'!$L$13:$L$14</formula1>
    </dataValidation>
    <dataValidation type="list" allowBlank="1" sqref="O4:O1048576 T4:T1048576">
      <formula1>'Data Validation'!$O$2:$O$13</formula1>
    </dataValidation>
    <dataValidation type="list" allowBlank="1" sqref="F4:F999">
      <formula1>'Data Validation'!$T$2:$T$40</formula1>
    </dataValidation>
    <dataValidation type="list" allowBlank="1" showErrorMessage="1" sqref="K5:K999">
      <formula1>'Data Validation'!$R$1:$R$45</formula1>
    </dataValidation>
    <dataValidation type="list" allowBlank="1" showInputMessage="1" showErrorMessage="1" sqref="BW1 BW4:BW1048576">
      <formula1>'Data Validation'!$AM$2:$AM$3</formula1>
    </dataValidation>
    <dataValidation type="list" allowBlank="1" showInputMessage="1" showErrorMessage="1" sqref="A4:A1048576">
      <formula1>'Data Validation'!$V$2:$V$7</formula1>
    </dataValidation>
    <dataValidation type="list" allowBlank="1" showErrorMessage="1" sqref="G4:G999">
      <formula1>'Data Validation'!$A$2:$A$3</formula1>
    </dataValidation>
    <dataValidation type="list" allowBlank="1" showErrorMessage="1" sqref="K4">
      <formula1>'Data Validation'!$R$1:$R$46</formula1>
    </dataValidation>
    <dataValidation type="list" allowBlank="1" sqref="P4:P1048576 R4:R1048576">
      <formula1>'Data Validation'!$P$2:$P$13</formula1>
    </dataValidation>
    <dataValidation type="list" allowBlank="1" showInputMessage="1" showErrorMessage="1" sqref="AS4:AS1014">
      <formula1>'Data Validation'!$AJ$2:$AJ$3</formula1>
    </dataValidation>
    <dataValidation type="list" allowBlank="1" showErrorMessage="1" sqref="X4">
      <formula1>'Data Validation'!$L$2:$L$8</formula1>
    </dataValidation>
  </dataValidations>
  <pageMargins left="0.7" right="0.7" top="0.75" bottom="0.75" header="0.511811023622047" footer="0.511811023622047"/>
  <pageSetup paperSize="1" orientation="landscape"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82"/>
  <sheetViews>
    <sheetView workbookViewId="0">
      <pane ySplit="1" topLeftCell="A2" activePane="bottomLeft" state="frozen"/>
      <selection/>
      <selection pane="bottomLeft" activeCell="C2" sqref="C2"/>
    </sheetView>
  </sheetViews>
  <sheetFormatPr defaultColWidth="14.5" defaultRowHeight="63" customHeight="1"/>
  <cols>
    <col min="1" max="1" width="28.5" style="99" customWidth="1"/>
    <col min="2" max="2" width="25.5" style="99" customWidth="1"/>
    <col min="3" max="3" width="38.6640625" style="100" customWidth="1"/>
    <col min="4" max="4" width="27" style="99" customWidth="1"/>
    <col min="5" max="5" width="26.8359375" style="99" customWidth="1"/>
    <col min="6" max="6" width="45.1640625" style="99" customWidth="1"/>
    <col min="7" max="26" width="8.6640625" style="99" customWidth="1"/>
    <col min="27" max="16384" width="14.5" style="99"/>
  </cols>
  <sheetData>
    <row r="1" customHeight="1" spans="1:26">
      <c r="A1" s="101" t="s">
        <v>90</v>
      </c>
      <c r="B1" s="101" t="s">
        <v>91</v>
      </c>
      <c r="C1" s="101" t="s">
        <v>92</v>
      </c>
      <c r="D1" s="101" t="s">
        <v>93</v>
      </c>
      <c r="E1" s="101" t="s">
        <v>94</v>
      </c>
      <c r="F1" s="101" t="s">
        <v>95</v>
      </c>
      <c r="G1" s="128"/>
      <c r="H1" s="128"/>
      <c r="I1" s="128"/>
      <c r="J1" s="128"/>
      <c r="K1" s="128"/>
      <c r="L1" s="128"/>
      <c r="M1" s="128"/>
      <c r="N1" s="128"/>
      <c r="O1" s="128"/>
      <c r="P1" s="128"/>
      <c r="Q1" s="128"/>
      <c r="R1" s="128"/>
      <c r="S1" s="128"/>
      <c r="T1" s="128"/>
      <c r="U1" s="128"/>
      <c r="V1" s="128"/>
      <c r="W1" s="128"/>
      <c r="X1" s="128"/>
      <c r="Y1" s="128"/>
      <c r="Z1" s="128"/>
    </row>
    <row r="2" customHeight="1" spans="1:6">
      <c r="A2" s="102" t="s">
        <v>14</v>
      </c>
      <c r="B2" s="103" t="s">
        <v>96</v>
      </c>
      <c r="C2" s="104" t="s">
        <v>97</v>
      </c>
      <c r="D2" s="105"/>
      <c r="E2" s="104" t="s">
        <v>98</v>
      </c>
      <c r="F2" s="105"/>
    </row>
    <row r="3" customHeight="1" spans="1:6">
      <c r="A3" s="102" t="s">
        <v>99</v>
      </c>
      <c r="B3" s="103" t="s">
        <v>96</v>
      </c>
      <c r="C3" s="104" t="s">
        <v>100</v>
      </c>
      <c r="D3" s="105"/>
      <c r="E3" s="106" t="s">
        <v>101</v>
      </c>
      <c r="F3" s="105"/>
    </row>
    <row r="4" customHeight="1" spans="1:6">
      <c r="A4" s="102" t="s">
        <v>102</v>
      </c>
      <c r="B4" s="103" t="s">
        <v>103</v>
      </c>
      <c r="C4" s="106" t="s">
        <v>102</v>
      </c>
      <c r="D4" s="103" t="s">
        <v>104</v>
      </c>
      <c r="E4" s="129">
        <v>42939</v>
      </c>
      <c r="F4" s="103"/>
    </row>
    <row r="5" customHeight="1" spans="1:6">
      <c r="A5" s="102" t="s">
        <v>105</v>
      </c>
      <c r="B5" s="103" t="s">
        <v>103</v>
      </c>
      <c r="C5" s="106" t="s">
        <v>105</v>
      </c>
      <c r="D5" s="103" t="s">
        <v>106</v>
      </c>
      <c r="E5" s="103" t="s">
        <v>107</v>
      </c>
      <c r="F5" s="103" t="s">
        <v>108</v>
      </c>
    </row>
    <row r="6" customHeight="1" spans="1:6">
      <c r="A6" s="102" t="s">
        <v>17</v>
      </c>
      <c r="B6" s="103" t="s">
        <v>96</v>
      </c>
      <c r="C6" s="103" t="s">
        <v>109</v>
      </c>
      <c r="D6" s="103" t="s">
        <v>110</v>
      </c>
      <c r="E6" s="103" t="s">
        <v>111</v>
      </c>
      <c r="F6" s="103" t="s">
        <v>112</v>
      </c>
    </row>
    <row r="7" customHeight="1" spans="1:6">
      <c r="A7" s="102" t="s">
        <v>18</v>
      </c>
      <c r="B7" s="106" t="s">
        <v>113</v>
      </c>
      <c r="C7" s="103" t="s">
        <v>114</v>
      </c>
      <c r="D7" s="107" t="s">
        <v>115</v>
      </c>
      <c r="E7" s="107" t="s">
        <v>116</v>
      </c>
      <c r="F7" s="103"/>
    </row>
    <row r="8" customHeight="1" spans="1:6">
      <c r="A8" s="102" t="s">
        <v>117</v>
      </c>
      <c r="B8" s="103" t="s">
        <v>103</v>
      </c>
      <c r="C8" s="103" t="s">
        <v>118</v>
      </c>
      <c r="D8" s="103" t="s">
        <v>119</v>
      </c>
      <c r="E8" s="103" t="s">
        <v>120</v>
      </c>
      <c r="F8" s="103" t="s">
        <v>121</v>
      </c>
    </row>
    <row r="9" customHeight="1" spans="1:6">
      <c r="A9" s="102" t="s">
        <v>20</v>
      </c>
      <c r="B9" s="103" t="s">
        <v>103</v>
      </c>
      <c r="C9" s="103" t="s">
        <v>122</v>
      </c>
      <c r="D9" s="103" t="s">
        <v>123</v>
      </c>
      <c r="E9" s="103" t="s">
        <v>124</v>
      </c>
      <c r="F9" s="103"/>
    </row>
    <row r="10" customHeight="1" spans="1:6">
      <c r="A10" s="102" t="s">
        <v>21</v>
      </c>
      <c r="B10" s="103" t="s">
        <v>125</v>
      </c>
      <c r="C10" s="103" t="s">
        <v>126</v>
      </c>
      <c r="D10" s="103" t="s">
        <v>127</v>
      </c>
      <c r="E10" s="103" t="s">
        <v>128</v>
      </c>
      <c r="F10" s="103"/>
    </row>
    <row r="11" customHeight="1" spans="1:6">
      <c r="A11" s="102" t="s">
        <v>22</v>
      </c>
      <c r="B11" s="103" t="s">
        <v>129</v>
      </c>
      <c r="C11" s="103" t="s">
        <v>130</v>
      </c>
      <c r="D11" s="103" t="s">
        <v>131</v>
      </c>
      <c r="E11" s="103">
        <v>19059020</v>
      </c>
      <c r="F11" s="103" t="s">
        <v>132</v>
      </c>
    </row>
    <row r="12" customHeight="1" spans="1:6">
      <c r="A12" s="102" t="s">
        <v>23</v>
      </c>
      <c r="B12" s="103" t="s">
        <v>133</v>
      </c>
      <c r="C12" s="103" t="s">
        <v>134</v>
      </c>
      <c r="D12" s="103" t="s">
        <v>135</v>
      </c>
      <c r="E12" s="103">
        <v>2</v>
      </c>
      <c r="F12" s="103"/>
    </row>
    <row r="13" customHeight="1" spans="1:6">
      <c r="A13" s="102" t="s">
        <v>24</v>
      </c>
      <c r="B13" s="103" t="s">
        <v>133</v>
      </c>
      <c r="C13" s="103" t="s">
        <v>136</v>
      </c>
      <c r="D13" s="103" t="s">
        <v>137</v>
      </c>
      <c r="E13" s="103" t="s">
        <v>138</v>
      </c>
      <c r="F13" s="103"/>
    </row>
    <row r="14" customHeight="1" spans="1:6">
      <c r="A14" s="102" t="s">
        <v>25</v>
      </c>
      <c r="B14" s="103" t="s">
        <v>133</v>
      </c>
      <c r="C14" s="103" t="s">
        <v>25</v>
      </c>
      <c r="D14" s="103" t="s">
        <v>135</v>
      </c>
      <c r="E14" s="103">
        <v>18000</v>
      </c>
      <c r="F14" s="103"/>
    </row>
    <row r="15" customHeight="1" spans="1:6">
      <c r="A15" s="102" t="s">
        <v>26</v>
      </c>
      <c r="B15" s="103" t="s">
        <v>139</v>
      </c>
      <c r="C15" s="103" t="s">
        <v>140</v>
      </c>
      <c r="D15" s="103" t="s">
        <v>135</v>
      </c>
      <c r="E15" s="103">
        <v>500</v>
      </c>
      <c r="F15" s="103"/>
    </row>
    <row r="16" customHeight="1" spans="1:6">
      <c r="A16" s="102" t="s">
        <v>28</v>
      </c>
      <c r="B16" s="103" t="s">
        <v>103</v>
      </c>
      <c r="C16" s="103" t="s">
        <v>141</v>
      </c>
      <c r="D16" s="103" t="s">
        <v>135</v>
      </c>
      <c r="E16" s="103">
        <v>9</v>
      </c>
      <c r="F16" s="103"/>
    </row>
    <row r="17" customHeight="1" spans="1:6">
      <c r="A17" s="102" t="s">
        <v>142</v>
      </c>
      <c r="B17" s="103" t="s">
        <v>103</v>
      </c>
      <c r="C17" s="103" t="s">
        <v>143</v>
      </c>
      <c r="D17" s="103" t="s">
        <v>135</v>
      </c>
      <c r="E17" s="103">
        <v>35500</v>
      </c>
      <c r="F17" s="103"/>
    </row>
    <row r="18" customHeight="1" spans="1:6">
      <c r="A18" s="102" t="s">
        <v>29</v>
      </c>
      <c r="B18" s="103" t="s">
        <v>144</v>
      </c>
      <c r="C18" s="103" t="s">
        <v>145</v>
      </c>
      <c r="D18" s="103" t="s">
        <v>135</v>
      </c>
      <c r="E18" s="103">
        <v>9</v>
      </c>
      <c r="F18" s="103"/>
    </row>
    <row r="19" customHeight="1" spans="1:6">
      <c r="A19" s="102" t="s">
        <v>30</v>
      </c>
      <c r="B19" s="103" t="s">
        <v>144</v>
      </c>
      <c r="C19" s="103" t="s">
        <v>30</v>
      </c>
      <c r="D19" s="103" t="s">
        <v>135</v>
      </c>
      <c r="E19" s="103">
        <v>3195</v>
      </c>
      <c r="F19" s="103"/>
    </row>
    <row r="20" customHeight="1" spans="1:6">
      <c r="A20" s="102" t="s">
        <v>31</v>
      </c>
      <c r="B20" s="103" t="s">
        <v>144</v>
      </c>
      <c r="C20" s="103" t="s">
        <v>146</v>
      </c>
      <c r="D20" s="103" t="s">
        <v>135</v>
      </c>
      <c r="E20" s="103">
        <v>9</v>
      </c>
      <c r="F20" s="103"/>
    </row>
    <row r="21" customHeight="1" spans="1:6">
      <c r="A21" s="102" t="s">
        <v>32</v>
      </c>
      <c r="B21" s="103" t="s">
        <v>144</v>
      </c>
      <c r="C21" s="103" t="s">
        <v>147</v>
      </c>
      <c r="D21" s="103" t="s">
        <v>135</v>
      </c>
      <c r="E21" s="103">
        <v>3195</v>
      </c>
      <c r="F21" s="103"/>
    </row>
    <row r="22" customHeight="1" spans="1:6">
      <c r="A22" s="102" t="s">
        <v>33</v>
      </c>
      <c r="B22" s="103" t="s">
        <v>144</v>
      </c>
      <c r="C22" s="103" t="s">
        <v>148</v>
      </c>
      <c r="D22" s="103" t="s">
        <v>135</v>
      </c>
      <c r="E22" s="103">
        <v>18</v>
      </c>
      <c r="F22" s="103"/>
    </row>
    <row r="23" customHeight="1" spans="1:6">
      <c r="A23" s="102" t="s">
        <v>34</v>
      </c>
      <c r="B23" s="103" t="s">
        <v>144</v>
      </c>
      <c r="C23" s="103" t="s">
        <v>34</v>
      </c>
      <c r="D23" s="103" t="s">
        <v>135</v>
      </c>
      <c r="E23" s="103">
        <v>6390</v>
      </c>
      <c r="F23" s="103"/>
    </row>
    <row r="24" customHeight="1" spans="1:6">
      <c r="A24" s="102" t="s">
        <v>35</v>
      </c>
      <c r="B24" s="103" t="s">
        <v>144</v>
      </c>
      <c r="C24" s="103" t="s">
        <v>149</v>
      </c>
      <c r="D24" s="103" t="s">
        <v>135</v>
      </c>
      <c r="E24" s="103">
        <v>2</v>
      </c>
      <c r="F24" s="103"/>
    </row>
    <row r="25" customHeight="1" spans="1:6">
      <c r="A25" s="102" t="s">
        <v>36</v>
      </c>
      <c r="B25" s="108" t="s">
        <v>144</v>
      </c>
      <c r="C25" s="103" t="s">
        <v>36</v>
      </c>
      <c r="D25" s="103" t="s">
        <v>135</v>
      </c>
      <c r="E25" s="103">
        <v>710</v>
      </c>
      <c r="F25" s="103"/>
    </row>
    <row r="26" customHeight="1" spans="1:6">
      <c r="A26" s="109" t="s">
        <v>150</v>
      </c>
      <c r="B26" s="104" t="s">
        <v>151</v>
      </c>
      <c r="C26" s="104" t="s">
        <v>152</v>
      </c>
      <c r="D26" s="106" t="s">
        <v>153</v>
      </c>
      <c r="E26" s="106" t="s">
        <v>154</v>
      </c>
      <c r="F26" s="103"/>
    </row>
    <row r="27" customHeight="1" spans="1:6">
      <c r="A27" s="109" t="s">
        <v>155</v>
      </c>
      <c r="B27" s="104" t="s">
        <v>151</v>
      </c>
      <c r="C27" s="104" t="s">
        <v>156</v>
      </c>
      <c r="D27" s="103" t="s">
        <v>106</v>
      </c>
      <c r="E27" s="130" t="s">
        <v>157</v>
      </c>
      <c r="F27" s="103"/>
    </row>
    <row r="28" customHeight="1" spans="1:6">
      <c r="A28" s="109" t="s">
        <v>158</v>
      </c>
      <c r="B28" s="104" t="s">
        <v>151</v>
      </c>
      <c r="C28" s="104" t="s">
        <v>159</v>
      </c>
      <c r="D28" s="106" t="s">
        <v>160</v>
      </c>
      <c r="E28" s="106" t="s">
        <v>161</v>
      </c>
      <c r="F28" s="103"/>
    </row>
    <row r="29" customHeight="1" spans="1:6">
      <c r="A29" s="109" t="s">
        <v>37</v>
      </c>
      <c r="B29" s="108" t="s">
        <v>96</v>
      </c>
      <c r="C29" s="110" t="s">
        <v>162</v>
      </c>
      <c r="D29" s="110"/>
      <c r="E29" s="103" t="s">
        <v>163</v>
      </c>
      <c r="F29" s="103"/>
    </row>
    <row r="30" customHeight="1" spans="1:6">
      <c r="A30" s="111" t="s">
        <v>38</v>
      </c>
      <c r="B30" s="103" t="s">
        <v>144</v>
      </c>
      <c r="C30" s="112" t="s">
        <v>164</v>
      </c>
      <c r="D30" s="103" t="s">
        <v>165</v>
      </c>
      <c r="E30" s="103" t="s">
        <v>166</v>
      </c>
      <c r="F30" s="103"/>
    </row>
    <row r="31" customHeight="1" spans="1:6">
      <c r="A31" s="102" t="s">
        <v>39</v>
      </c>
      <c r="B31" s="103" t="s">
        <v>167</v>
      </c>
      <c r="C31" s="113" t="s">
        <v>168</v>
      </c>
      <c r="D31" s="113" t="s">
        <v>169</v>
      </c>
      <c r="E31" s="103" t="s">
        <v>166</v>
      </c>
      <c r="F31" s="103"/>
    </row>
    <row r="32" customHeight="1" spans="1:6">
      <c r="A32" s="102" t="s">
        <v>41</v>
      </c>
      <c r="B32" s="103" t="s">
        <v>170</v>
      </c>
      <c r="C32" s="103" t="s">
        <v>171</v>
      </c>
      <c r="D32" s="103" t="s">
        <v>169</v>
      </c>
      <c r="E32" s="103" t="s">
        <v>166</v>
      </c>
      <c r="F32" s="103"/>
    </row>
    <row r="33" customHeight="1" spans="1:6">
      <c r="A33" s="102" t="s">
        <v>40</v>
      </c>
      <c r="B33" s="103" t="s">
        <v>172</v>
      </c>
      <c r="C33" s="103" t="s">
        <v>173</v>
      </c>
      <c r="D33" s="103" t="s">
        <v>137</v>
      </c>
      <c r="E33" s="103" t="s">
        <v>174</v>
      </c>
      <c r="F33" s="103"/>
    </row>
    <row r="34" customHeight="1" spans="1:6">
      <c r="A34" s="102" t="s">
        <v>55</v>
      </c>
      <c r="B34" s="103" t="s">
        <v>175</v>
      </c>
      <c r="C34" s="103" t="s">
        <v>176</v>
      </c>
      <c r="D34" s="103" t="s">
        <v>177</v>
      </c>
      <c r="E34" s="129">
        <v>42403</v>
      </c>
      <c r="F34" s="103" t="s">
        <v>178</v>
      </c>
    </row>
    <row r="35" customHeight="1" spans="1:6">
      <c r="A35" s="102" t="s">
        <v>56</v>
      </c>
      <c r="B35" s="103" t="s">
        <v>175</v>
      </c>
      <c r="C35" s="103" t="s">
        <v>179</v>
      </c>
      <c r="D35" s="103" t="s">
        <v>106</v>
      </c>
      <c r="E35" s="103" t="s">
        <v>180</v>
      </c>
      <c r="F35" s="103"/>
    </row>
    <row r="36" customHeight="1" spans="1:6">
      <c r="A36" s="102" t="s">
        <v>57</v>
      </c>
      <c r="B36" s="103" t="s">
        <v>181</v>
      </c>
      <c r="C36" s="103" t="s">
        <v>182</v>
      </c>
      <c r="D36" s="107" t="s">
        <v>183</v>
      </c>
      <c r="E36" s="107" t="s">
        <v>116</v>
      </c>
      <c r="F36" s="103"/>
    </row>
    <row r="37" customHeight="1" spans="1:6">
      <c r="A37" s="102" t="s">
        <v>61</v>
      </c>
      <c r="B37" s="103" t="s">
        <v>184</v>
      </c>
      <c r="C37" s="103" t="s">
        <v>185</v>
      </c>
      <c r="D37" s="103" t="s">
        <v>104</v>
      </c>
      <c r="E37" s="129">
        <v>42930</v>
      </c>
      <c r="F37" s="103"/>
    </row>
    <row r="38" customHeight="1" spans="1:6">
      <c r="A38" s="102" t="s">
        <v>62</v>
      </c>
      <c r="B38" s="103" t="s">
        <v>184</v>
      </c>
      <c r="C38" s="103" t="s">
        <v>186</v>
      </c>
      <c r="D38" s="103" t="s">
        <v>106</v>
      </c>
      <c r="E38" s="103" t="s">
        <v>187</v>
      </c>
      <c r="F38" s="103"/>
    </row>
    <row r="39" customHeight="1" spans="1:6">
      <c r="A39" s="102" t="s">
        <v>188</v>
      </c>
      <c r="B39" s="103" t="s">
        <v>184</v>
      </c>
      <c r="C39" s="106" t="s">
        <v>189</v>
      </c>
      <c r="D39" s="103" t="s">
        <v>135</v>
      </c>
      <c r="E39" s="103">
        <v>2000</v>
      </c>
      <c r="F39" s="103"/>
    </row>
    <row r="40" customHeight="1" spans="1:6">
      <c r="A40" s="102" t="s">
        <v>42</v>
      </c>
      <c r="B40" s="103" t="s">
        <v>190</v>
      </c>
      <c r="C40" s="107" t="s">
        <v>191</v>
      </c>
      <c r="D40" s="103" t="s">
        <v>110</v>
      </c>
      <c r="E40" s="103" t="s">
        <v>192</v>
      </c>
      <c r="F40" s="103"/>
    </row>
    <row r="41" customHeight="1" spans="1:6">
      <c r="A41" s="102" t="s">
        <v>43</v>
      </c>
      <c r="B41" s="103" t="s">
        <v>193</v>
      </c>
      <c r="C41" s="103" t="s">
        <v>194</v>
      </c>
      <c r="D41" s="107" t="s">
        <v>195</v>
      </c>
      <c r="E41" s="103">
        <v>123331</v>
      </c>
      <c r="F41" s="103"/>
    </row>
    <row r="42" customHeight="1" spans="1:6">
      <c r="A42" s="102" t="s">
        <v>44</v>
      </c>
      <c r="B42" s="103" t="s">
        <v>193</v>
      </c>
      <c r="C42" s="103" t="s">
        <v>196</v>
      </c>
      <c r="D42" s="107" t="s">
        <v>197</v>
      </c>
      <c r="E42" s="103">
        <v>1242321</v>
      </c>
      <c r="F42" s="103" t="s">
        <v>198</v>
      </c>
    </row>
    <row r="43" customHeight="1" spans="1:6">
      <c r="A43" s="102" t="s">
        <v>45</v>
      </c>
      <c r="B43" s="103" t="s">
        <v>193</v>
      </c>
      <c r="C43" s="103" t="s">
        <v>199</v>
      </c>
      <c r="D43" s="107" t="s">
        <v>200</v>
      </c>
      <c r="E43" s="129">
        <v>42433</v>
      </c>
      <c r="F43" s="103"/>
    </row>
    <row r="44" customHeight="1" spans="1:6">
      <c r="A44" s="102" t="s">
        <v>46</v>
      </c>
      <c r="B44" s="103" t="s">
        <v>96</v>
      </c>
      <c r="C44" s="103" t="s">
        <v>201</v>
      </c>
      <c r="D44" s="103" t="s">
        <v>165</v>
      </c>
      <c r="E44" s="129" t="s">
        <v>166</v>
      </c>
      <c r="F44" s="103"/>
    </row>
    <row r="45" customHeight="1" spans="1:6">
      <c r="A45" s="102" t="s">
        <v>47</v>
      </c>
      <c r="B45" s="103" t="s">
        <v>96</v>
      </c>
      <c r="C45" s="103" t="s">
        <v>202</v>
      </c>
      <c r="D45" s="107" t="s">
        <v>183</v>
      </c>
      <c r="E45" s="107" t="s">
        <v>116</v>
      </c>
      <c r="F45" s="103"/>
    </row>
    <row r="46" customHeight="1" spans="1:6">
      <c r="A46" s="102" t="s">
        <v>48</v>
      </c>
      <c r="B46" s="103" t="s">
        <v>203</v>
      </c>
      <c r="C46" s="103" t="s">
        <v>204</v>
      </c>
      <c r="D46" s="103" t="s">
        <v>205</v>
      </c>
      <c r="E46" s="103" t="s">
        <v>206</v>
      </c>
      <c r="F46" s="103"/>
    </row>
    <row r="47" customHeight="1" spans="1:6">
      <c r="A47" s="102" t="s">
        <v>49</v>
      </c>
      <c r="B47" s="103" t="s">
        <v>203</v>
      </c>
      <c r="C47" s="103" t="s">
        <v>207</v>
      </c>
      <c r="D47" s="103" t="s">
        <v>208</v>
      </c>
      <c r="E47" s="103" t="s">
        <v>209</v>
      </c>
      <c r="F47" s="103"/>
    </row>
    <row r="48" customHeight="1" spans="1:6">
      <c r="A48" s="102" t="s">
        <v>50</v>
      </c>
      <c r="B48" s="103" t="s">
        <v>203</v>
      </c>
      <c r="C48" s="103" t="s">
        <v>210</v>
      </c>
      <c r="D48" s="103" t="s">
        <v>119</v>
      </c>
      <c r="E48" s="103" t="s">
        <v>211</v>
      </c>
      <c r="F48" s="103"/>
    </row>
    <row r="49" customHeight="1" spans="1:6">
      <c r="A49" s="102" t="s">
        <v>51</v>
      </c>
      <c r="B49" s="103" t="s">
        <v>212</v>
      </c>
      <c r="C49" s="103" t="s">
        <v>213</v>
      </c>
      <c r="D49" s="103" t="s">
        <v>169</v>
      </c>
      <c r="E49" s="103" t="s">
        <v>166</v>
      </c>
      <c r="F49" s="103"/>
    </row>
    <row r="50" customHeight="1" spans="1:6">
      <c r="A50" s="102" t="s">
        <v>214</v>
      </c>
      <c r="B50" s="103" t="s">
        <v>215</v>
      </c>
      <c r="C50" s="103" t="s">
        <v>216</v>
      </c>
      <c r="D50" s="103" t="s">
        <v>165</v>
      </c>
      <c r="E50" s="103" t="s">
        <v>166</v>
      </c>
      <c r="F50" s="103"/>
    </row>
    <row r="51" customHeight="1" spans="1:6">
      <c r="A51" s="102" t="s">
        <v>217</v>
      </c>
      <c r="B51" s="114" t="s">
        <v>218</v>
      </c>
      <c r="C51" s="114" t="s">
        <v>219</v>
      </c>
      <c r="D51" s="114" t="s">
        <v>220</v>
      </c>
      <c r="E51" s="131">
        <v>42917</v>
      </c>
      <c r="F51" s="114" t="s">
        <v>221</v>
      </c>
    </row>
    <row r="52" customHeight="1" spans="1:6">
      <c r="A52" s="115" t="s">
        <v>222</v>
      </c>
      <c r="B52" s="114" t="s">
        <v>218</v>
      </c>
      <c r="C52" s="114" t="s">
        <v>223</v>
      </c>
      <c r="D52" s="114" t="s">
        <v>220</v>
      </c>
      <c r="E52" s="128" t="s">
        <v>224</v>
      </c>
      <c r="F52" s="114"/>
    </row>
    <row r="53" customHeight="1" spans="1:6">
      <c r="A53" s="116" t="s">
        <v>59</v>
      </c>
      <c r="B53" s="108" t="s">
        <v>96</v>
      </c>
      <c r="C53" s="117" t="s">
        <v>225</v>
      </c>
      <c r="D53" s="107" t="s">
        <v>115</v>
      </c>
      <c r="E53" s="107" t="s">
        <v>116</v>
      </c>
      <c r="F53" s="103"/>
    </row>
    <row r="54" customHeight="1" spans="1:6">
      <c r="A54" s="118" t="s">
        <v>60</v>
      </c>
      <c r="B54" s="108" t="s">
        <v>96</v>
      </c>
      <c r="C54" s="117" t="s">
        <v>226</v>
      </c>
      <c r="D54" s="114"/>
      <c r="E54" s="132">
        <v>0.65</v>
      </c>
      <c r="F54" s="103"/>
    </row>
    <row r="55" customHeight="1" spans="1:6">
      <c r="A55" s="119" t="s">
        <v>227</v>
      </c>
      <c r="B55" s="108" t="s">
        <v>96</v>
      </c>
      <c r="C55" s="120" t="s">
        <v>228</v>
      </c>
      <c r="D55" s="120" t="s">
        <v>104</v>
      </c>
      <c r="E55" s="133">
        <v>42939</v>
      </c>
      <c r="F55" s="103"/>
    </row>
    <row r="56" customHeight="1" spans="1:6">
      <c r="A56" s="121" t="s">
        <v>229</v>
      </c>
      <c r="B56" s="108" t="s">
        <v>96</v>
      </c>
      <c r="C56" s="120" t="s">
        <v>230</v>
      </c>
      <c r="D56" s="120" t="s">
        <v>106</v>
      </c>
      <c r="E56" s="120" t="s">
        <v>107</v>
      </c>
      <c r="F56" s="103"/>
    </row>
    <row r="57" customHeight="1" spans="1:6">
      <c r="A57" s="121" t="s">
        <v>231</v>
      </c>
      <c r="B57" s="108" t="s">
        <v>96</v>
      </c>
      <c r="C57" s="120" t="s">
        <v>232</v>
      </c>
      <c r="D57" s="107" t="s">
        <v>115</v>
      </c>
      <c r="E57" s="107" t="s">
        <v>116</v>
      </c>
      <c r="F57" s="103"/>
    </row>
    <row r="58" customHeight="1" spans="1:6">
      <c r="A58" s="121" t="s">
        <v>81</v>
      </c>
      <c r="B58" s="108" t="s">
        <v>96</v>
      </c>
      <c r="C58" s="103" t="s">
        <v>233</v>
      </c>
      <c r="D58" s="103" t="s">
        <v>110</v>
      </c>
      <c r="E58" s="103" t="s">
        <v>111</v>
      </c>
      <c r="F58" s="103"/>
    </row>
    <row r="59" customHeight="1" spans="1:6">
      <c r="A59" s="121" t="s">
        <v>234</v>
      </c>
      <c r="B59" s="108" t="s">
        <v>96</v>
      </c>
      <c r="C59" s="103" t="s">
        <v>235</v>
      </c>
      <c r="D59" s="103" t="s">
        <v>236</v>
      </c>
      <c r="E59" s="103" t="s">
        <v>237</v>
      </c>
      <c r="F59" s="103"/>
    </row>
    <row r="60" customHeight="1" spans="1:6">
      <c r="A60" s="122" t="s">
        <v>64</v>
      </c>
      <c r="B60" s="108" t="s">
        <v>96</v>
      </c>
      <c r="C60" s="114" t="s">
        <v>238</v>
      </c>
      <c r="D60" s="114" t="s">
        <v>135</v>
      </c>
      <c r="E60" s="114">
        <v>6390</v>
      </c>
      <c r="F60" s="103"/>
    </row>
    <row r="61" customHeight="1" spans="1:6">
      <c r="A61" s="123" t="s">
        <v>239</v>
      </c>
      <c r="B61" s="108"/>
      <c r="C61" s="103"/>
      <c r="D61" s="103"/>
      <c r="E61" s="103"/>
      <c r="F61" s="103"/>
    </row>
    <row r="62" customHeight="1" spans="1:6">
      <c r="A62" s="124" t="s">
        <v>86</v>
      </c>
      <c r="B62" s="108"/>
      <c r="C62" s="103"/>
      <c r="D62" s="103"/>
      <c r="E62" s="103"/>
      <c r="F62" s="103"/>
    </row>
    <row r="63" customHeight="1" spans="1:5">
      <c r="A63" s="125" t="s">
        <v>65</v>
      </c>
      <c r="B63" s="106" t="s">
        <v>96</v>
      </c>
      <c r="C63" s="106" t="s">
        <v>240</v>
      </c>
      <c r="D63" s="126" t="s">
        <v>165</v>
      </c>
      <c r="E63" s="163" t="s">
        <v>241</v>
      </c>
    </row>
    <row r="64" customHeight="1" spans="1:5">
      <c r="A64" s="125" t="s">
        <v>66</v>
      </c>
      <c r="B64" s="106" t="s">
        <v>96</v>
      </c>
      <c r="C64" s="106" t="s">
        <v>242</v>
      </c>
      <c r="D64" s="127" t="s">
        <v>177</v>
      </c>
      <c r="E64" s="164" t="s">
        <v>243</v>
      </c>
    </row>
    <row r="65" customHeight="1" spans="1:5">
      <c r="A65" s="125" t="s">
        <v>67</v>
      </c>
      <c r="B65" s="106" t="s">
        <v>96</v>
      </c>
      <c r="C65" s="106" t="s">
        <v>244</v>
      </c>
      <c r="D65" s="127" t="s">
        <v>177</v>
      </c>
      <c r="E65" s="164" t="s">
        <v>245</v>
      </c>
    </row>
    <row r="66" customHeight="1" spans="1:5">
      <c r="A66" s="125" t="s">
        <v>246</v>
      </c>
      <c r="B66" s="106" t="s">
        <v>96</v>
      </c>
      <c r="C66" s="106" t="s">
        <v>247</v>
      </c>
      <c r="D66" s="127" t="s">
        <v>177</v>
      </c>
      <c r="E66" s="163" t="s">
        <v>248</v>
      </c>
    </row>
    <row r="67" customHeight="1" spans="1:5">
      <c r="A67" s="125" t="s">
        <v>249</v>
      </c>
      <c r="B67" s="106" t="s">
        <v>96</v>
      </c>
      <c r="C67" s="106" t="s">
        <v>250</v>
      </c>
      <c r="D67" s="126" t="s">
        <v>165</v>
      </c>
      <c r="E67" s="134" t="s">
        <v>251</v>
      </c>
    </row>
    <row r="68" customHeight="1" spans="1:5">
      <c r="A68" s="125" t="s">
        <v>68</v>
      </c>
      <c r="B68" s="106" t="s">
        <v>96</v>
      </c>
      <c r="C68" s="106" t="s">
        <v>252</v>
      </c>
      <c r="D68" s="126" t="s">
        <v>165</v>
      </c>
      <c r="E68" s="106" t="s">
        <v>253</v>
      </c>
    </row>
    <row r="69" customHeight="1" spans="1:5">
      <c r="A69" s="125" t="s">
        <v>69</v>
      </c>
      <c r="B69" s="106" t="s">
        <v>96</v>
      </c>
      <c r="C69" s="136" t="s">
        <v>254</v>
      </c>
      <c r="D69" s="126" t="s">
        <v>165</v>
      </c>
      <c r="E69" s="163" t="s">
        <v>255</v>
      </c>
    </row>
    <row r="70" customHeight="1" spans="1:5">
      <c r="A70" s="125" t="s">
        <v>70</v>
      </c>
      <c r="B70" s="106" t="s">
        <v>96</v>
      </c>
      <c r="C70" s="136" t="s">
        <v>256</v>
      </c>
      <c r="D70" s="126" t="s">
        <v>165</v>
      </c>
      <c r="E70" s="163" t="s">
        <v>257</v>
      </c>
    </row>
    <row r="71" customHeight="1" spans="1:5">
      <c r="A71" s="125" t="s">
        <v>71</v>
      </c>
      <c r="B71" s="106" t="s">
        <v>96</v>
      </c>
      <c r="C71" s="126" t="s">
        <v>258</v>
      </c>
      <c r="D71" s="106" t="s">
        <v>165</v>
      </c>
      <c r="E71" s="134" t="s">
        <v>259</v>
      </c>
    </row>
    <row r="72" customHeight="1" spans="1:5">
      <c r="A72" s="125" t="s">
        <v>72</v>
      </c>
      <c r="B72" s="106" t="s">
        <v>96</v>
      </c>
      <c r="C72" s="126" t="s">
        <v>260</v>
      </c>
      <c r="D72" s="106" t="s">
        <v>165</v>
      </c>
      <c r="E72" s="134" t="s">
        <v>261</v>
      </c>
    </row>
    <row r="73" customHeight="1" spans="1:5">
      <c r="A73" s="125" t="s">
        <v>73</v>
      </c>
      <c r="B73" s="106" t="s">
        <v>96</v>
      </c>
      <c r="C73" s="126" t="s">
        <v>262</v>
      </c>
      <c r="D73" s="106" t="s">
        <v>165</v>
      </c>
      <c r="E73" s="134" t="s">
        <v>263</v>
      </c>
    </row>
    <row r="74" customHeight="1" spans="1:5">
      <c r="A74" s="125" t="s">
        <v>74</v>
      </c>
      <c r="B74" s="106" t="s">
        <v>96</v>
      </c>
      <c r="C74" s="104" t="s">
        <v>264</v>
      </c>
      <c r="D74" s="106" t="s">
        <v>165</v>
      </c>
      <c r="E74" s="134" t="s">
        <v>265</v>
      </c>
    </row>
    <row r="75" customHeight="1" spans="1:5">
      <c r="A75" s="125" t="s">
        <v>75</v>
      </c>
      <c r="B75" s="106" t="s">
        <v>96</v>
      </c>
      <c r="C75" s="136" t="s">
        <v>266</v>
      </c>
      <c r="D75" s="106" t="s">
        <v>165</v>
      </c>
      <c r="E75" s="134" t="s">
        <v>267</v>
      </c>
    </row>
    <row r="76" customHeight="1" spans="1:5">
      <c r="A76" s="125" t="s">
        <v>268</v>
      </c>
      <c r="B76" s="106" t="s">
        <v>96</v>
      </c>
      <c r="C76" s="136" t="s">
        <v>269</v>
      </c>
      <c r="D76" s="106" t="s">
        <v>165</v>
      </c>
      <c r="E76" s="134" t="s">
        <v>270</v>
      </c>
    </row>
    <row r="77" customHeight="1" spans="1:5">
      <c r="A77" s="125" t="s">
        <v>271</v>
      </c>
      <c r="B77" s="106" t="s">
        <v>96</v>
      </c>
      <c r="C77" s="136" t="s">
        <v>272</v>
      </c>
      <c r="D77" s="106" t="s">
        <v>165</v>
      </c>
      <c r="E77" s="163" t="s">
        <v>273</v>
      </c>
    </row>
    <row r="78" customHeight="1" spans="1:5">
      <c r="A78" s="125" t="s">
        <v>274</v>
      </c>
      <c r="B78" s="106" t="s">
        <v>96</v>
      </c>
      <c r="C78" s="106" t="s">
        <v>275</v>
      </c>
      <c r="D78" s="106" t="s">
        <v>165</v>
      </c>
      <c r="E78" s="163" t="s">
        <v>276</v>
      </c>
    </row>
    <row r="79" customHeight="1" spans="1:5">
      <c r="A79" s="125" t="s">
        <v>277</v>
      </c>
      <c r="B79" s="106" t="s">
        <v>96</v>
      </c>
      <c r="C79" s="106" t="s">
        <v>278</v>
      </c>
      <c r="D79" s="106" t="s">
        <v>165</v>
      </c>
      <c r="E79" s="163" t="s">
        <v>279</v>
      </c>
    </row>
    <row r="80" customHeight="1" spans="1:5">
      <c r="A80" s="125" t="s">
        <v>280</v>
      </c>
      <c r="B80" s="106" t="s">
        <v>96</v>
      </c>
      <c r="C80" s="106" t="s">
        <v>281</v>
      </c>
      <c r="D80" s="106" t="s">
        <v>165</v>
      </c>
      <c r="E80" s="163" t="s">
        <v>282</v>
      </c>
    </row>
    <row r="81" customHeight="1" spans="1:5">
      <c r="A81" s="125" t="s">
        <v>283</v>
      </c>
      <c r="B81" s="106" t="s">
        <v>96</v>
      </c>
      <c r="C81" s="106" t="s">
        <v>284</v>
      </c>
      <c r="D81" s="106" t="s">
        <v>165</v>
      </c>
      <c r="E81" s="163" t="s">
        <v>285</v>
      </c>
    </row>
    <row r="82" customHeight="1" spans="1:5">
      <c r="A82" s="125" t="s">
        <v>286</v>
      </c>
      <c r="B82" s="106" t="s">
        <v>96</v>
      </c>
      <c r="C82" s="106" t="s">
        <v>287</v>
      </c>
      <c r="E82" s="134" t="s">
        <v>288</v>
      </c>
    </row>
  </sheetData>
  <pageMargins left="0.7" right="0.7" top="0.75" bottom="0.75" header="0.511811023622047" footer="0.511811023622047"/>
  <pageSetup paperSize="1"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0"/>
  <sheetViews>
    <sheetView showGridLines="0" zoomScale="65" zoomScaleNormal="65" workbookViewId="0">
      <selection activeCell="A1" sqref="A1"/>
    </sheetView>
  </sheetViews>
  <sheetFormatPr defaultColWidth="14.5" defaultRowHeight="14"/>
  <cols>
    <col min="1" max="26" width="8.6640625" customWidth="1"/>
  </cols>
  <sheetData>
    <row r="1" spans="1:17">
      <c r="A1" s="84"/>
      <c r="B1" s="84"/>
      <c r="C1" s="84"/>
      <c r="D1" s="84"/>
      <c r="E1" s="84"/>
      <c r="F1" s="84"/>
      <c r="G1" s="84"/>
      <c r="H1" s="84"/>
      <c r="I1" s="84"/>
      <c r="J1" s="84"/>
      <c r="K1" s="84"/>
      <c r="L1" s="84"/>
      <c r="M1" s="84"/>
      <c r="N1" s="84"/>
      <c r="O1" s="84"/>
      <c r="P1" s="84"/>
      <c r="Q1" s="84"/>
    </row>
    <row r="2" spans="1:17">
      <c r="A2" s="84"/>
      <c r="B2" s="84"/>
      <c r="C2" s="84"/>
      <c r="D2" s="84"/>
      <c r="E2" s="84"/>
      <c r="F2" s="84"/>
      <c r="G2" s="84"/>
      <c r="H2" s="84"/>
      <c r="I2" s="84"/>
      <c r="J2" s="84"/>
      <c r="K2" s="84"/>
      <c r="L2" s="84"/>
      <c r="M2" s="84"/>
      <c r="N2" s="84"/>
      <c r="O2" s="84"/>
      <c r="P2" s="84"/>
      <c r="Q2" s="84"/>
    </row>
    <row r="3" spans="1:17">
      <c r="A3" s="85"/>
      <c r="B3" s="86"/>
      <c r="C3" s="86"/>
      <c r="D3" s="86"/>
      <c r="E3" s="86"/>
      <c r="F3" s="84"/>
      <c r="G3" s="84"/>
      <c r="H3" s="84"/>
      <c r="I3" s="84"/>
      <c r="J3" s="7"/>
      <c r="K3" s="7"/>
      <c r="L3" s="7"/>
      <c r="M3" s="7"/>
      <c r="N3" s="85"/>
      <c r="O3" s="85"/>
      <c r="P3" s="85"/>
      <c r="Q3" s="85"/>
    </row>
    <row r="4" spans="1:17">
      <c r="A4" s="84"/>
      <c r="B4" s="84"/>
      <c r="C4" s="84"/>
      <c r="D4" s="84"/>
      <c r="E4" s="84"/>
      <c r="F4" s="84"/>
      <c r="G4" s="84"/>
      <c r="H4" s="84"/>
      <c r="I4" s="84"/>
      <c r="J4" s="84"/>
      <c r="K4" s="84"/>
      <c r="L4" s="84"/>
      <c r="M4" s="84"/>
      <c r="N4" s="84"/>
      <c r="O4" s="84"/>
      <c r="P4" s="84"/>
      <c r="Q4" s="84"/>
    </row>
    <row r="5" ht="18.4" spans="1:17">
      <c r="A5" s="87"/>
      <c r="B5" s="88" t="s">
        <v>289</v>
      </c>
      <c r="C5" s="88"/>
      <c r="D5" s="88"/>
      <c r="E5" s="88"/>
      <c r="F5" s="88"/>
      <c r="G5" s="88"/>
      <c r="H5" s="88"/>
      <c r="I5" s="88"/>
      <c r="J5" s="88"/>
      <c r="K5" s="88"/>
      <c r="L5" s="88"/>
      <c r="M5" s="88"/>
      <c r="N5" s="98"/>
      <c r="O5" s="98"/>
      <c r="P5" s="98"/>
      <c r="Q5" s="87"/>
    </row>
    <row r="6" spans="1:17">
      <c r="A6" s="84"/>
      <c r="B6" s="84"/>
      <c r="C6" s="84"/>
      <c r="D6" s="84"/>
      <c r="E6" s="84"/>
      <c r="F6" s="84"/>
      <c r="G6" s="84"/>
      <c r="H6" s="84"/>
      <c r="I6" s="84"/>
      <c r="J6" s="84"/>
      <c r="K6" s="84"/>
      <c r="L6" s="84"/>
      <c r="M6" s="84"/>
      <c r="N6" s="84"/>
      <c r="O6" s="84"/>
      <c r="P6" s="84"/>
      <c r="Q6" s="84"/>
    </row>
    <row r="7" spans="1:17">
      <c r="A7" s="84"/>
      <c r="B7" s="89" t="s">
        <v>290</v>
      </c>
      <c r="C7" s="89"/>
      <c r="D7" s="89"/>
      <c r="E7" s="89"/>
      <c r="F7" s="89"/>
      <c r="G7" s="89"/>
      <c r="H7" s="89"/>
      <c r="I7" s="89"/>
      <c r="J7" s="89"/>
      <c r="K7" s="89"/>
      <c r="L7" s="89"/>
      <c r="M7" s="89"/>
      <c r="N7" s="84"/>
      <c r="O7" s="84"/>
      <c r="P7" s="84"/>
      <c r="Q7" s="84"/>
    </row>
    <row r="8" ht="15" customHeight="1" spans="1:17">
      <c r="A8" s="84"/>
      <c r="B8" s="90" t="s">
        <v>291</v>
      </c>
      <c r="C8" s="90"/>
      <c r="D8" s="90"/>
      <c r="E8" s="90"/>
      <c r="F8" s="90"/>
      <c r="G8" s="90"/>
      <c r="H8" s="90"/>
      <c r="I8" s="90"/>
      <c r="J8" s="90"/>
      <c r="K8" s="90"/>
      <c r="L8" s="89"/>
      <c r="M8" s="89"/>
      <c r="N8" s="84"/>
      <c r="O8" s="84"/>
      <c r="P8" s="84"/>
      <c r="Q8" s="84"/>
    </row>
    <row r="9" spans="1:17">
      <c r="A9" s="84"/>
      <c r="B9" s="84" t="s">
        <v>292</v>
      </c>
      <c r="C9" s="84"/>
      <c r="D9" s="84"/>
      <c r="E9" s="84"/>
      <c r="F9" s="84"/>
      <c r="G9" s="84"/>
      <c r="H9" s="84"/>
      <c r="I9" s="84"/>
      <c r="J9" s="84"/>
      <c r="K9" s="84"/>
      <c r="L9" s="97"/>
      <c r="M9" s="97"/>
      <c r="N9" s="84"/>
      <c r="O9" s="84"/>
      <c r="P9" s="84"/>
      <c r="Q9" s="84"/>
    </row>
    <row r="10" spans="1:17">
      <c r="A10" s="84"/>
      <c r="B10" s="84"/>
      <c r="C10" s="84"/>
      <c r="D10" s="84"/>
      <c r="E10" s="84"/>
      <c r="F10" s="84"/>
      <c r="G10" s="84"/>
      <c r="H10" s="84"/>
      <c r="I10" s="84"/>
      <c r="J10" s="84"/>
      <c r="K10" s="84"/>
      <c r="L10" s="84"/>
      <c r="M10" s="84"/>
      <c r="N10" s="84"/>
      <c r="O10" s="84"/>
      <c r="P10" s="84"/>
      <c r="Q10" s="84"/>
    </row>
    <row r="11" spans="1:17">
      <c r="A11" s="84"/>
      <c r="B11" s="89" t="s">
        <v>293</v>
      </c>
      <c r="C11" s="89"/>
      <c r="D11" s="89"/>
      <c r="E11" s="89"/>
      <c r="F11" s="89"/>
      <c r="G11" s="89"/>
      <c r="H11" s="89"/>
      <c r="I11" s="89"/>
      <c r="J11" s="89"/>
      <c r="K11" s="89"/>
      <c r="L11" s="89"/>
      <c r="M11" s="89"/>
      <c r="N11" s="84"/>
      <c r="O11" s="84"/>
      <c r="P11" s="84"/>
      <c r="Q11" s="84"/>
    </row>
    <row r="12" spans="1:17">
      <c r="A12" s="84"/>
      <c r="B12" s="91" t="s">
        <v>294</v>
      </c>
      <c r="C12" s="92" t="s">
        <v>295</v>
      </c>
      <c r="D12" s="92"/>
      <c r="E12" s="92"/>
      <c r="F12" s="92"/>
      <c r="G12" s="92"/>
      <c r="H12" s="92"/>
      <c r="I12" s="92"/>
      <c r="J12" s="92"/>
      <c r="K12" s="92"/>
      <c r="L12" s="92"/>
      <c r="M12" s="92"/>
      <c r="N12" s="84"/>
      <c r="O12" s="84"/>
      <c r="P12" s="84"/>
      <c r="Q12" s="84"/>
    </row>
    <row r="13" spans="1:17">
      <c r="A13" s="84"/>
      <c r="B13" s="91"/>
      <c r="C13" s="92" t="s">
        <v>296</v>
      </c>
      <c r="D13" s="92"/>
      <c r="E13" s="92"/>
      <c r="F13" s="92"/>
      <c r="G13" s="92"/>
      <c r="H13" s="92"/>
      <c r="I13" s="92"/>
      <c r="J13" s="92"/>
      <c r="K13" s="92"/>
      <c r="L13" s="92"/>
      <c r="M13" s="92"/>
      <c r="N13" s="84"/>
      <c r="O13" s="84"/>
      <c r="P13" s="84"/>
      <c r="Q13" s="84"/>
    </row>
    <row r="14" spans="1:17">
      <c r="A14" s="84"/>
      <c r="B14" s="84"/>
      <c r="C14" s="93"/>
      <c r="D14" s="93"/>
      <c r="E14" s="96"/>
      <c r="F14" s="96"/>
      <c r="G14" s="96"/>
      <c r="H14" s="96"/>
      <c r="I14" s="96"/>
      <c r="J14" s="96"/>
      <c r="K14" s="96"/>
      <c r="L14" s="96"/>
      <c r="M14" s="96"/>
      <c r="N14" s="84"/>
      <c r="O14" s="84"/>
      <c r="P14" s="84"/>
      <c r="Q14" s="84"/>
    </row>
    <row r="15" spans="1:17">
      <c r="A15" s="84"/>
      <c r="B15" s="91" t="s">
        <v>297</v>
      </c>
      <c r="C15" s="94" t="s">
        <v>298</v>
      </c>
      <c r="D15" s="94"/>
      <c r="E15" s="94"/>
      <c r="F15" s="94"/>
      <c r="G15" s="94"/>
      <c r="H15" s="94"/>
      <c r="I15" s="94"/>
      <c r="J15" s="94"/>
      <c r="K15" s="94"/>
      <c r="L15" s="84"/>
      <c r="M15" s="84"/>
      <c r="N15" s="84"/>
      <c r="O15" s="84"/>
      <c r="P15" s="84"/>
      <c r="Q15" s="84"/>
    </row>
    <row r="16" spans="1:17">
      <c r="A16" s="84"/>
      <c r="B16" s="84"/>
      <c r="C16" s="84"/>
      <c r="D16" s="84"/>
      <c r="E16" s="84"/>
      <c r="F16" s="84"/>
      <c r="G16" s="84"/>
      <c r="H16" s="84"/>
      <c r="I16" s="84"/>
      <c r="J16" s="84"/>
      <c r="K16" s="84"/>
      <c r="L16" s="84"/>
      <c r="M16" s="84"/>
      <c r="N16" s="84"/>
      <c r="O16" s="84"/>
      <c r="P16" s="84"/>
      <c r="Q16" s="84"/>
    </row>
    <row r="17" spans="1:17">
      <c r="A17" s="84"/>
      <c r="B17" s="84"/>
      <c r="C17" s="95" t="str">
        <f>HYPERLINK("https://gst.cleartax.in/","Go to GST Software")</f>
        <v>Go to GST Software</v>
      </c>
      <c r="D17" s="95"/>
      <c r="E17" s="95"/>
      <c r="F17" s="95"/>
      <c r="G17" s="95"/>
      <c r="H17" s="95"/>
      <c r="I17" s="95"/>
      <c r="J17" s="95"/>
      <c r="K17" s="84"/>
      <c r="L17" s="84"/>
      <c r="M17" s="84"/>
      <c r="N17" s="84"/>
      <c r="O17" s="84"/>
      <c r="P17" s="84"/>
      <c r="Q17" s="84"/>
    </row>
    <row r="18" spans="1:17">
      <c r="A18" s="84"/>
      <c r="B18" s="84"/>
      <c r="C18" s="95"/>
      <c r="D18" s="95"/>
      <c r="E18" s="95"/>
      <c r="F18" s="95"/>
      <c r="G18" s="95"/>
      <c r="H18" s="95"/>
      <c r="I18" s="95"/>
      <c r="J18" s="95"/>
      <c r="K18" s="84"/>
      <c r="L18" s="84"/>
      <c r="M18" s="84"/>
      <c r="N18" s="84"/>
      <c r="O18" s="84"/>
      <c r="P18" s="84"/>
      <c r="Q18" s="84"/>
    </row>
    <row r="19" spans="1:17">
      <c r="A19" s="84"/>
      <c r="B19" s="84"/>
      <c r="C19" s="84"/>
      <c r="D19" s="84"/>
      <c r="E19" s="84"/>
      <c r="F19" s="84"/>
      <c r="G19" s="84"/>
      <c r="H19" s="84"/>
      <c r="I19" s="84"/>
      <c r="J19" s="84"/>
      <c r="K19" s="84"/>
      <c r="L19" s="84"/>
      <c r="M19" s="84"/>
      <c r="N19" s="84"/>
      <c r="O19" s="84"/>
      <c r="P19" s="84"/>
      <c r="Q19" s="84"/>
    </row>
    <row r="20" spans="1:17">
      <c r="A20" s="84"/>
      <c r="B20" s="84"/>
      <c r="C20" s="84"/>
      <c r="D20" s="84"/>
      <c r="E20" s="84"/>
      <c r="F20" s="84"/>
      <c r="G20" s="84"/>
      <c r="H20" s="84"/>
      <c r="I20" s="84"/>
      <c r="J20" s="84"/>
      <c r="K20" s="84"/>
      <c r="L20" s="84"/>
      <c r="M20" s="84"/>
      <c r="N20" s="84"/>
      <c r="O20" s="84"/>
      <c r="P20" s="84"/>
      <c r="Q20" s="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3:E3"/>
    <mergeCell ref="B5:M5"/>
    <mergeCell ref="N5:P5"/>
    <mergeCell ref="B7:M7"/>
    <mergeCell ref="B8:K8"/>
    <mergeCell ref="B11:M11"/>
    <mergeCell ref="C12:M12"/>
    <mergeCell ref="C13:M13"/>
    <mergeCell ref="C15:K15"/>
    <mergeCell ref="C17:J18"/>
  </mergeCells>
  <pageMargins left="0.7" right="0.7" top="0.75" bottom="0.75" header="0.511811023622047" footer="0.511811023622047"/>
  <pageSetup paperSize="1" orientation="landscape"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0"/>
  <sheetViews>
    <sheetView zoomScale="65" zoomScaleNormal="65" workbookViewId="0">
      <selection activeCell="A1" sqref="A1"/>
    </sheetView>
  </sheetViews>
  <sheetFormatPr defaultColWidth="14.5" defaultRowHeight="14"/>
  <cols>
    <col min="1" max="2" width="40.3359375" customWidth="1"/>
    <col min="3" max="3" width="14" customWidth="1"/>
    <col min="4" max="4" width="11.5" customWidth="1"/>
    <col min="5" max="5" width="23" customWidth="1"/>
    <col min="6" max="6" width="13.5" customWidth="1"/>
    <col min="7" max="12" width="13.6640625" customWidth="1"/>
    <col min="13" max="13" width="29.5" customWidth="1"/>
    <col min="14" max="14" width="27.3359375" customWidth="1"/>
    <col min="15" max="15" width="26.1640625" customWidth="1"/>
    <col min="16" max="16" width="19" customWidth="1"/>
    <col min="17" max="17" width="43.6640625" customWidth="1"/>
    <col min="18" max="26" width="8.6640625" customWidth="1"/>
  </cols>
  <sheetData>
    <row r="1" spans="1:17">
      <c r="A1" s="79" t="s">
        <v>299</v>
      </c>
      <c r="B1" s="79" t="s">
        <v>300</v>
      </c>
      <c r="C1" s="79" t="s">
        <v>301</v>
      </c>
      <c r="D1" s="79" t="s">
        <v>302</v>
      </c>
      <c r="E1" s="79" t="s">
        <v>303</v>
      </c>
      <c r="F1" s="79" t="s">
        <v>304</v>
      </c>
      <c r="G1" s="79" t="s">
        <v>305</v>
      </c>
      <c r="H1" s="79" t="s">
        <v>306</v>
      </c>
      <c r="I1" s="79" t="s">
        <v>307</v>
      </c>
      <c r="J1" s="79" t="s">
        <v>308</v>
      </c>
      <c r="K1" s="79" t="s">
        <v>309</v>
      </c>
      <c r="L1" s="79" t="s">
        <v>310</v>
      </c>
      <c r="M1" s="79" t="s">
        <v>311</v>
      </c>
      <c r="N1" s="79" t="s">
        <v>312</v>
      </c>
      <c r="O1" s="79" t="s">
        <v>313</v>
      </c>
      <c r="P1" s="79" t="s">
        <v>314</v>
      </c>
      <c r="Q1" s="79" t="s">
        <v>315</v>
      </c>
    </row>
    <row r="2" spans="1:17">
      <c r="A2" s="80" t="s">
        <v>316</v>
      </c>
      <c r="B2" s="80" t="s">
        <v>316</v>
      </c>
      <c r="C2" s="80" t="s">
        <v>317</v>
      </c>
      <c r="D2" s="80" t="s">
        <v>318</v>
      </c>
      <c r="E2" s="82" t="str">
        <f>HYPERLINK("http://in.an/","IN.AN")</f>
        <v>IN.AN</v>
      </c>
      <c r="F2" s="80" t="s">
        <v>319</v>
      </c>
      <c r="G2" s="80"/>
      <c r="H2" s="80"/>
      <c r="I2" s="80"/>
      <c r="J2" s="80"/>
      <c r="K2" s="80"/>
      <c r="L2" s="80"/>
      <c r="M2" s="80" t="s">
        <v>320</v>
      </c>
      <c r="N2" s="80" t="s">
        <v>321</v>
      </c>
      <c r="O2" s="80" t="s">
        <v>322</v>
      </c>
      <c r="P2" s="80" t="s">
        <v>323</v>
      </c>
      <c r="Q2" s="83" t="s">
        <v>324</v>
      </c>
    </row>
    <row r="3" spans="1:17">
      <c r="A3" s="80" t="s">
        <v>325</v>
      </c>
      <c r="B3" s="80" t="s">
        <v>325</v>
      </c>
      <c r="C3" s="80" t="s">
        <v>326</v>
      </c>
      <c r="D3" s="80" t="s">
        <v>327</v>
      </c>
      <c r="E3" s="82" t="str">
        <f>HYPERLINK("http://in.ap/","IN.AP")</f>
        <v>IN.AP</v>
      </c>
      <c r="F3" s="80" t="s">
        <v>328</v>
      </c>
      <c r="G3" s="80"/>
      <c r="H3" s="80"/>
      <c r="I3" s="80"/>
      <c r="J3" s="80"/>
      <c r="K3" s="80"/>
      <c r="L3" s="80"/>
      <c r="M3" s="80"/>
      <c r="N3" s="80"/>
      <c r="O3" s="80" t="s">
        <v>329</v>
      </c>
      <c r="P3" s="80" t="s">
        <v>330</v>
      </c>
      <c r="Q3" s="83" t="s">
        <v>331</v>
      </c>
    </row>
    <row r="4" spans="1:17">
      <c r="A4" s="80" t="s">
        <v>332</v>
      </c>
      <c r="B4" s="80" t="s">
        <v>332</v>
      </c>
      <c r="C4" s="80" t="s">
        <v>333</v>
      </c>
      <c r="D4" s="80" t="s">
        <v>334</v>
      </c>
      <c r="E4" s="82" t="str">
        <f>HYPERLINK("http://in.ar/","IN.AR")</f>
        <v>IN.AR</v>
      </c>
      <c r="F4" s="80" t="s">
        <v>335</v>
      </c>
      <c r="G4" s="80"/>
      <c r="H4" s="80"/>
      <c r="I4" s="80"/>
      <c r="J4" s="80"/>
      <c r="K4" s="80"/>
      <c r="L4" s="80"/>
      <c r="M4" s="80"/>
      <c r="N4" s="80"/>
      <c r="O4" s="80"/>
      <c r="P4" s="80"/>
      <c r="Q4" s="83" t="s">
        <v>336</v>
      </c>
    </row>
    <row r="5" spans="1:17">
      <c r="A5" s="80" t="s">
        <v>337</v>
      </c>
      <c r="B5" s="80" t="s">
        <v>337</v>
      </c>
      <c r="C5" s="80" t="s">
        <v>338</v>
      </c>
      <c r="D5" s="80" t="s">
        <v>339</v>
      </c>
      <c r="E5" s="82" t="str">
        <f>HYPERLINK("http://in.as/","IN.AS")</f>
        <v>IN.AS</v>
      </c>
      <c r="F5" s="80" t="s">
        <v>340</v>
      </c>
      <c r="G5" s="80"/>
      <c r="H5" s="80"/>
      <c r="I5" s="80"/>
      <c r="J5" s="80"/>
      <c r="K5" s="80"/>
      <c r="L5" s="80"/>
      <c r="M5" s="80"/>
      <c r="N5" s="80"/>
      <c r="O5" s="80"/>
      <c r="P5" s="80"/>
      <c r="Q5" s="83" t="s">
        <v>341</v>
      </c>
    </row>
    <row r="6" spans="1:17">
      <c r="A6" s="80" t="s">
        <v>342</v>
      </c>
      <c r="B6" s="80" t="s">
        <v>342</v>
      </c>
      <c r="C6" s="80" t="s">
        <v>343</v>
      </c>
      <c r="D6" s="80" t="s">
        <v>344</v>
      </c>
      <c r="E6" s="82" t="str">
        <f>HYPERLINK("http://in.br/","IN.BR")</f>
        <v>IN.BR</v>
      </c>
      <c r="F6" s="80" t="s">
        <v>345</v>
      </c>
      <c r="G6" s="80"/>
      <c r="H6" s="80"/>
      <c r="I6" s="80"/>
      <c r="J6" s="80"/>
      <c r="K6" s="80"/>
      <c r="L6" s="80"/>
      <c r="M6" s="80"/>
      <c r="N6" s="80"/>
      <c r="O6" s="80"/>
      <c r="P6" s="80"/>
      <c r="Q6" s="83" t="s">
        <v>346</v>
      </c>
    </row>
    <row r="7" spans="1:17">
      <c r="A7" s="80" t="s">
        <v>347</v>
      </c>
      <c r="B7" s="80" t="s">
        <v>347</v>
      </c>
      <c r="C7" s="80" t="s">
        <v>348</v>
      </c>
      <c r="D7" s="80" t="s">
        <v>349</v>
      </c>
      <c r="E7" s="82" t="str">
        <f>HYPERLINK("http://in.ch/","IN.CH")</f>
        <v>IN.CH</v>
      </c>
      <c r="F7" s="80" t="s">
        <v>350</v>
      </c>
      <c r="G7" s="80" t="s">
        <v>351</v>
      </c>
      <c r="H7" s="80" t="s">
        <v>352</v>
      </c>
      <c r="I7" s="80" t="s">
        <v>353</v>
      </c>
      <c r="J7" s="80"/>
      <c r="K7" s="80"/>
      <c r="L7" s="80"/>
      <c r="M7" s="80"/>
      <c r="N7" s="80"/>
      <c r="O7" s="80"/>
      <c r="P7" s="80"/>
      <c r="Q7" s="83" t="s">
        <v>354</v>
      </c>
    </row>
    <row r="8" spans="1:17">
      <c r="A8" s="80" t="s">
        <v>355</v>
      </c>
      <c r="B8" s="80" t="s">
        <v>355</v>
      </c>
      <c r="C8" s="80" t="s">
        <v>356</v>
      </c>
      <c r="D8" s="80" t="s">
        <v>357</v>
      </c>
      <c r="E8" s="82" t="str">
        <f>HYPERLINK("http://in.ct/","IN.CT")</f>
        <v>IN.CT</v>
      </c>
      <c r="F8" s="80" t="s">
        <v>358</v>
      </c>
      <c r="G8" s="80" t="s">
        <v>359</v>
      </c>
      <c r="H8" s="80" t="s">
        <v>360</v>
      </c>
      <c r="I8" s="82" t="str">
        <f>HYPERLINK("http://in.cg/","IN.CG")</f>
        <v>IN.CG</v>
      </c>
      <c r="J8" s="80"/>
      <c r="K8" s="80"/>
      <c r="L8" s="80"/>
      <c r="M8" s="80"/>
      <c r="N8" s="80"/>
      <c r="O8" s="80"/>
      <c r="P8" s="80"/>
      <c r="Q8" s="83" t="s">
        <v>361</v>
      </c>
    </row>
    <row r="9" spans="1:17">
      <c r="A9" s="80" t="s">
        <v>362</v>
      </c>
      <c r="B9" s="80" t="s">
        <v>362</v>
      </c>
      <c r="C9" s="80" t="s">
        <v>363</v>
      </c>
      <c r="D9" s="80" t="s">
        <v>364</v>
      </c>
      <c r="E9" s="82" t="str">
        <f>HYPERLINK("http://in.dn/","IN.DN")</f>
        <v>IN.DN</v>
      </c>
      <c r="F9" s="80"/>
      <c r="G9" s="80"/>
      <c r="H9" s="80"/>
      <c r="I9" s="80"/>
      <c r="J9" s="80"/>
      <c r="K9" s="80"/>
      <c r="L9" s="82"/>
      <c r="M9" s="80"/>
      <c r="N9" s="80"/>
      <c r="O9" s="80"/>
      <c r="P9" s="80"/>
      <c r="Q9" s="83" t="s">
        <v>365</v>
      </c>
    </row>
    <row r="10" spans="1:17">
      <c r="A10" s="80" t="s">
        <v>366</v>
      </c>
      <c r="B10" s="80" t="s">
        <v>366</v>
      </c>
      <c r="C10" s="80" t="s">
        <v>367</v>
      </c>
      <c r="D10" s="80" t="s">
        <v>368</v>
      </c>
      <c r="E10" s="82" t="str">
        <f>HYPERLINK("http://in.dl/","IN.DL")</f>
        <v>IN.DL</v>
      </c>
      <c r="F10" s="80" t="s">
        <v>369</v>
      </c>
      <c r="G10" s="80"/>
      <c r="H10" s="80"/>
      <c r="I10" s="80"/>
      <c r="J10" s="80"/>
      <c r="K10" s="80"/>
      <c r="L10" s="80"/>
      <c r="M10" s="80"/>
      <c r="N10" s="80"/>
      <c r="O10" s="80"/>
      <c r="P10" s="80"/>
      <c r="Q10" s="83" t="s">
        <v>370</v>
      </c>
    </row>
    <row r="11" spans="1:17">
      <c r="A11" s="80" t="s">
        <v>371</v>
      </c>
      <c r="B11" s="80" t="s">
        <v>371</v>
      </c>
      <c r="C11" s="80" t="s">
        <v>372</v>
      </c>
      <c r="D11" s="80" t="s">
        <v>373</v>
      </c>
      <c r="E11" s="82" t="str">
        <f>HYPERLINK("http://in.ga/","IN.GA")</f>
        <v>IN.GA</v>
      </c>
      <c r="F11" s="80" t="s">
        <v>374</v>
      </c>
      <c r="G11" s="80"/>
      <c r="H11" s="80"/>
      <c r="I11" s="80"/>
      <c r="J11" s="80"/>
      <c r="K11" s="80"/>
      <c r="L11" s="80"/>
      <c r="M11" s="80"/>
      <c r="N11" s="80"/>
      <c r="O11" s="80"/>
      <c r="P11" s="80"/>
      <c r="Q11" s="83" t="s">
        <v>375</v>
      </c>
    </row>
    <row r="12" spans="1:17">
      <c r="A12" s="80" t="s">
        <v>376</v>
      </c>
      <c r="B12" s="80" t="s">
        <v>376</v>
      </c>
      <c r="C12" s="80" t="s">
        <v>377</v>
      </c>
      <c r="D12" s="80" t="s">
        <v>378</v>
      </c>
      <c r="E12" s="82" t="str">
        <f>HYPERLINK("http://in.gj/","IN.GJ")</f>
        <v>IN.GJ</v>
      </c>
      <c r="F12" s="80" t="s">
        <v>379</v>
      </c>
      <c r="G12" s="80" t="s">
        <v>380</v>
      </c>
      <c r="H12" s="80" t="s">
        <v>381</v>
      </c>
      <c r="I12" s="80" t="s">
        <v>382</v>
      </c>
      <c r="J12" s="80"/>
      <c r="K12" s="80"/>
      <c r="L12" s="80"/>
      <c r="M12" s="80"/>
      <c r="N12" s="80"/>
      <c r="O12" s="80"/>
      <c r="P12" s="80"/>
      <c r="Q12" s="83" t="s">
        <v>383</v>
      </c>
    </row>
    <row r="13" spans="1:17">
      <c r="A13" s="80" t="s">
        <v>384</v>
      </c>
      <c r="B13" s="80" t="s">
        <v>384</v>
      </c>
      <c r="C13" s="80" t="s">
        <v>385</v>
      </c>
      <c r="D13" s="80" t="s">
        <v>386</v>
      </c>
      <c r="E13" s="82" t="str">
        <f>HYPERLINK("http://in.hr/","IN.HR")</f>
        <v>IN.HR</v>
      </c>
      <c r="F13" s="80" t="s">
        <v>387</v>
      </c>
      <c r="G13" s="80"/>
      <c r="H13" s="80"/>
      <c r="I13" s="80"/>
      <c r="J13" s="80"/>
      <c r="K13" s="80"/>
      <c r="L13" s="80"/>
      <c r="M13" s="80"/>
      <c r="N13" s="80"/>
      <c r="O13" s="80"/>
      <c r="P13" s="80"/>
      <c r="Q13" s="83" t="s">
        <v>388</v>
      </c>
    </row>
    <row r="14" spans="1:17">
      <c r="A14" s="80" t="s">
        <v>389</v>
      </c>
      <c r="B14" s="80" t="s">
        <v>389</v>
      </c>
      <c r="C14" s="80" t="s">
        <v>390</v>
      </c>
      <c r="D14" s="80" t="s">
        <v>391</v>
      </c>
      <c r="E14" s="82" t="str">
        <f>HYPERLINK("http://in.hp/","IN.HP")</f>
        <v>IN.HP</v>
      </c>
      <c r="F14" s="80" t="s">
        <v>392</v>
      </c>
      <c r="G14" s="80"/>
      <c r="H14" s="80"/>
      <c r="I14" s="80"/>
      <c r="J14" s="80"/>
      <c r="K14" s="80"/>
      <c r="L14" s="80"/>
      <c r="M14" s="80"/>
      <c r="N14" s="80"/>
      <c r="O14" s="80" t="s">
        <v>393</v>
      </c>
      <c r="P14" s="80" t="s">
        <v>394</v>
      </c>
      <c r="Q14" s="83" t="s">
        <v>395</v>
      </c>
    </row>
    <row r="15" spans="1:17">
      <c r="A15" s="80" t="s">
        <v>396</v>
      </c>
      <c r="B15" s="80" t="s">
        <v>396</v>
      </c>
      <c r="C15" s="80" t="s">
        <v>397</v>
      </c>
      <c r="D15" s="80" t="s">
        <v>398</v>
      </c>
      <c r="E15" s="82" t="str">
        <f>HYPERLINK("http://in.jk/","IN.JK")</f>
        <v>IN.JK</v>
      </c>
      <c r="F15" s="80" t="s">
        <v>399</v>
      </c>
      <c r="G15" s="80"/>
      <c r="H15" s="80"/>
      <c r="I15" s="80"/>
      <c r="J15" s="80"/>
      <c r="K15" s="80"/>
      <c r="L15" s="80"/>
      <c r="M15" s="80" t="s">
        <v>400</v>
      </c>
      <c r="N15" s="80"/>
      <c r="O15" s="80" t="s">
        <v>401</v>
      </c>
      <c r="P15" s="80" t="s">
        <v>402</v>
      </c>
      <c r="Q15" s="83" t="s">
        <v>120</v>
      </c>
    </row>
    <row r="16" spans="1:17">
      <c r="A16" s="80" t="s">
        <v>403</v>
      </c>
      <c r="B16" s="80" t="s">
        <v>403</v>
      </c>
      <c r="C16" s="80" t="s">
        <v>404</v>
      </c>
      <c r="D16" s="80" t="s">
        <v>405</v>
      </c>
      <c r="E16" s="82" t="str">
        <f>HYPERLINK("http://in.jh/","IN.JH")</f>
        <v>IN.JH</v>
      </c>
      <c r="F16" s="80" t="s">
        <v>406</v>
      </c>
      <c r="G16" s="80"/>
      <c r="H16" s="80"/>
      <c r="I16" s="80"/>
      <c r="J16" s="80"/>
      <c r="K16" s="80"/>
      <c r="L16" s="80"/>
      <c r="M16" s="80"/>
      <c r="N16" s="80"/>
      <c r="O16" s="80"/>
      <c r="P16" s="80"/>
      <c r="Q16" s="83" t="s">
        <v>407</v>
      </c>
    </row>
    <row r="17" spans="1:17">
      <c r="A17" s="80" t="s">
        <v>408</v>
      </c>
      <c r="B17" s="80" t="s">
        <v>408</v>
      </c>
      <c r="C17" s="80" t="s">
        <v>409</v>
      </c>
      <c r="D17" s="80" t="s">
        <v>410</v>
      </c>
      <c r="E17" s="82" t="str">
        <f>HYPERLINK("http://in.ka/","IN.KA")</f>
        <v>IN.KA</v>
      </c>
      <c r="F17" s="80" t="s">
        <v>411</v>
      </c>
      <c r="G17" s="80" t="s">
        <v>412</v>
      </c>
      <c r="H17" s="80" t="s">
        <v>413</v>
      </c>
      <c r="I17" s="80" t="s">
        <v>414</v>
      </c>
      <c r="J17" s="80"/>
      <c r="K17" s="80"/>
      <c r="L17" s="80"/>
      <c r="M17" s="80"/>
      <c r="N17" s="80"/>
      <c r="O17" s="80"/>
      <c r="P17" s="80"/>
      <c r="Q17" s="83" t="s">
        <v>415</v>
      </c>
    </row>
    <row r="18" spans="1:17">
      <c r="A18" s="80" t="s">
        <v>416</v>
      </c>
      <c r="B18" s="80" t="s">
        <v>416</v>
      </c>
      <c r="C18" s="80" t="s">
        <v>417</v>
      </c>
      <c r="D18" s="80" t="s">
        <v>418</v>
      </c>
      <c r="E18" s="82" t="str">
        <f>HYPERLINK("http://in.kl/","IN.KL")</f>
        <v>IN.KL</v>
      </c>
      <c r="F18" s="80" t="s">
        <v>419</v>
      </c>
      <c r="G18" s="80" t="s">
        <v>420</v>
      </c>
      <c r="H18" s="80" t="s">
        <v>421</v>
      </c>
      <c r="I18" s="80" t="s">
        <v>422</v>
      </c>
      <c r="J18" s="80"/>
      <c r="K18" s="80"/>
      <c r="L18" s="80"/>
      <c r="M18" s="80"/>
      <c r="N18" s="80"/>
      <c r="O18" s="80"/>
      <c r="P18" s="80"/>
      <c r="Q18" s="83" t="s">
        <v>423</v>
      </c>
    </row>
    <row r="19" spans="1:17">
      <c r="A19" s="80" t="s">
        <v>424</v>
      </c>
      <c r="B19" s="80" t="s">
        <v>424</v>
      </c>
      <c r="C19" s="80" t="s">
        <v>425</v>
      </c>
      <c r="D19" s="80" t="s">
        <v>426</v>
      </c>
      <c r="E19" s="82" t="str">
        <f>HYPERLINK("http://in.ld/","IN.LD")</f>
        <v>IN.LD</v>
      </c>
      <c r="F19" s="80" t="s">
        <v>427</v>
      </c>
      <c r="G19" s="80" t="s">
        <v>428</v>
      </c>
      <c r="H19" s="80"/>
      <c r="I19" s="80"/>
      <c r="J19" s="80"/>
      <c r="K19" s="80"/>
      <c r="L19" s="80"/>
      <c r="M19" s="80"/>
      <c r="N19" s="80"/>
      <c r="O19" s="80"/>
      <c r="P19" s="80"/>
      <c r="Q19" s="83" t="s">
        <v>429</v>
      </c>
    </row>
    <row r="20" spans="1:17">
      <c r="A20" s="80" t="s">
        <v>430</v>
      </c>
      <c r="B20" s="80" t="s">
        <v>430</v>
      </c>
      <c r="C20" s="80" t="s">
        <v>431</v>
      </c>
      <c r="D20" s="80" t="s">
        <v>432</v>
      </c>
      <c r="E20" s="82" t="str">
        <f>HYPERLINK("http://in.mp/","IN.MP")</f>
        <v>IN.MP</v>
      </c>
      <c r="F20" s="80" t="s">
        <v>433</v>
      </c>
      <c r="G20" s="80"/>
      <c r="H20" s="80"/>
      <c r="I20" s="80"/>
      <c r="J20" s="80"/>
      <c r="K20" s="80"/>
      <c r="L20" s="80"/>
      <c r="M20" s="80"/>
      <c r="N20" s="80"/>
      <c r="O20" s="80" t="s">
        <v>434</v>
      </c>
      <c r="P20" s="80"/>
      <c r="Q20" s="83" t="s">
        <v>435</v>
      </c>
    </row>
    <row r="21" ht="15.75" customHeight="1" spans="1:17">
      <c r="A21" s="80" t="s">
        <v>436</v>
      </c>
      <c r="B21" s="80" t="s">
        <v>436</v>
      </c>
      <c r="C21" s="80" t="s">
        <v>437</v>
      </c>
      <c r="D21" s="80" t="s">
        <v>438</v>
      </c>
      <c r="E21" s="82" t="str">
        <f>HYPERLINK("http://in.mh/","IN.MH")</f>
        <v>IN.MH</v>
      </c>
      <c r="F21" s="80" t="s">
        <v>439</v>
      </c>
      <c r="G21" s="80" t="s">
        <v>440</v>
      </c>
      <c r="H21" s="80" t="s">
        <v>441</v>
      </c>
      <c r="I21" s="80" t="s">
        <v>442</v>
      </c>
      <c r="J21" s="80"/>
      <c r="K21" s="80"/>
      <c r="L21" s="80"/>
      <c r="M21" s="80"/>
      <c r="N21" s="80"/>
      <c r="O21" s="80"/>
      <c r="P21" s="80"/>
      <c r="Q21" s="83" t="s">
        <v>443</v>
      </c>
    </row>
    <row r="22" ht="15.75" customHeight="1" spans="1:17">
      <c r="A22" s="80" t="s">
        <v>444</v>
      </c>
      <c r="B22" s="80" t="s">
        <v>444</v>
      </c>
      <c r="C22" s="80" t="s">
        <v>445</v>
      </c>
      <c r="D22" s="80" t="s">
        <v>446</v>
      </c>
      <c r="E22" s="82" t="str">
        <f>HYPERLINK("http://in.mn/","IN.MN")</f>
        <v>IN.MN</v>
      </c>
      <c r="F22" s="80" t="s">
        <v>447</v>
      </c>
      <c r="G22" s="80" t="s">
        <v>448</v>
      </c>
      <c r="H22" s="80" t="s">
        <v>449</v>
      </c>
      <c r="I22" s="80" t="s">
        <v>450</v>
      </c>
      <c r="J22" s="80"/>
      <c r="K22" s="80"/>
      <c r="L22" s="80"/>
      <c r="M22" s="80"/>
      <c r="N22" s="80"/>
      <c r="O22" s="80"/>
      <c r="P22" s="80"/>
      <c r="Q22" s="83" t="s">
        <v>451</v>
      </c>
    </row>
    <row r="23" ht="15.75" customHeight="1" spans="1:17">
      <c r="A23" s="80" t="s">
        <v>452</v>
      </c>
      <c r="B23" s="80" t="s">
        <v>452</v>
      </c>
      <c r="C23" s="80" t="s">
        <v>453</v>
      </c>
      <c r="D23" s="80" t="s">
        <v>454</v>
      </c>
      <c r="E23" s="82" t="str">
        <f>HYPERLINK("http://in.ml/","IN.ML")</f>
        <v>IN.ML</v>
      </c>
      <c r="F23" s="80" t="s">
        <v>455</v>
      </c>
      <c r="G23" s="80" t="s">
        <v>456</v>
      </c>
      <c r="H23" s="80" t="s">
        <v>457</v>
      </c>
      <c r="I23" s="80" t="s">
        <v>458</v>
      </c>
      <c r="J23" s="80"/>
      <c r="K23" s="80"/>
      <c r="L23" s="80"/>
      <c r="M23" s="80"/>
      <c r="N23" s="80"/>
      <c r="O23" s="80"/>
      <c r="P23" s="80"/>
      <c r="Q23" s="83" t="s">
        <v>459</v>
      </c>
    </row>
    <row r="24" ht="15.75" customHeight="1" spans="1:17">
      <c r="A24" s="80" t="s">
        <v>460</v>
      </c>
      <c r="B24" s="80" t="s">
        <v>460</v>
      </c>
      <c r="C24" s="80" t="s">
        <v>461</v>
      </c>
      <c r="D24" s="80" t="s">
        <v>462</v>
      </c>
      <c r="E24" s="82" t="str">
        <f>HYPERLINK("http://in.mz/","IN.MZ")</f>
        <v>IN.MZ</v>
      </c>
      <c r="F24" s="80" t="s">
        <v>463</v>
      </c>
      <c r="G24" s="80" t="s">
        <v>464</v>
      </c>
      <c r="H24" s="80" t="s">
        <v>465</v>
      </c>
      <c r="I24" s="80" t="s">
        <v>466</v>
      </c>
      <c r="J24" s="80"/>
      <c r="K24" s="80"/>
      <c r="L24" s="80"/>
      <c r="M24" s="80"/>
      <c r="N24" s="80"/>
      <c r="O24" s="80"/>
      <c r="P24" s="80"/>
      <c r="Q24" s="83" t="s">
        <v>467</v>
      </c>
    </row>
    <row r="25" ht="15.75" customHeight="1" spans="1:17">
      <c r="A25" s="80" t="s">
        <v>468</v>
      </c>
      <c r="B25" s="80" t="s">
        <v>468</v>
      </c>
      <c r="C25" s="80" t="s">
        <v>469</v>
      </c>
      <c r="D25" s="80" t="s">
        <v>470</v>
      </c>
      <c r="E25" s="82" t="str">
        <f>HYPERLINK("http://in.nl/","IN.NL")</f>
        <v>IN.NL</v>
      </c>
      <c r="F25" s="80" t="s">
        <v>471</v>
      </c>
      <c r="G25" s="80" t="s">
        <v>472</v>
      </c>
      <c r="H25" s="80" t="s">
        <v>473</v>
      </c>
      <c r="I25" s="80" t="s">
        <v>474</v>
      </c>
      <c r="J25" s="80"/>
      <c r="K25" s="80"/>
      <c r="L25" s="80"/>
      <c r="M25" s="80"/>
      <c r="N25" s="80"/>
      <c r="O25" s="80"/>
      <c r="P25" s="80"/>
      <c r="Q25" s="83" t="s">
        <v>475</v>
      </c>
    </row>
    <row r="26" ht="15.75" customHeight="1" spans="1:17">
      <c r="A26" s="80" t="s">
        <v>476</v>
      </c>
      <c r="B26" s="80" t="s">
        <v>476</v>
      </c>
      <c r="C26" s="80" t="s">
        <v>477</v>
      </c>
      <c r="D26" s="80" t="s">
        <v>478</v>
      </c>
      <c r="E26" s="82" t="str">
        <f>HYPERLINK("http://in.or/","IN.OR")</f>
        <v>IN.OR</v>
      </c>
      <c r="F26" s="80" t="s">
        <v>479</v>
      </c>
      <c r="G26" s="80" t="s">
        <v>480</v>
      </c>
      <c r="H26" s="80" t="s">
        <v>481</v>
      </c>
      <c r="I26" s="82" t="str">
        <f>HYPERLINK("http://in.od/","IN.OD")</f>
        <v>IN.OD</v>
      </c>
      <c r="J26" s="80"/>
      <c r="K26" s="80"/>
      <c r="L26" s="80"/>
      <c r="M26" s="80" t="s">
        <v>482</v>
      </c>
      <c r="N26" s="80"/>
      <c r="O26" s="80"/>
      <c r="P26" s="80"/>
      <c r="Q26" s="83" t="s">
        <v>483</v>
      </c>
    </row>
    <row r="27" ht="15.75" customHeight="1" spans="1:17">
      <c r="A27" s="80" t="s">
        <v>484</v>
      </c>
      <c r="B27" s="80" t="s">
        <v>484</v>
      </c>
      <c r="C27" s="80" t="s">
        <v>485</v>
      </c>
      <c r="D27" s="80" t="s">
        <v>486</v>
      </c>
      <c r="E27" s="82" t="str">
        <f>HYPERLINK("http://in.py/","IN.PY")</f>
        <v>IN.PY</v>
      </c>
      <c r="F27" s="80" t="s">
        <v>487</v>
      </c>
      <c r="G27" s="80" t="s">
        <v>488</v>
      </c>
      <c r="H27" s="80" t="s">
        <v>489</v>
      </c>
      <c r="I27" s="80" t="s">
        <v>490</v>
      </c>
      <c r="J27" s="80"/>
      <c r="K27" s="80"/>
      <c r="L27" s="80"/>
      <c r="M27" s="80"/>
      <c r="N27" s="80"/>
      <c r="O27" s="80"/>
      <c r="P27" s="80"/>
      <c r="Q27" s="83" t="s">
        <v>491</v>
      </c>
    </row>
    <row r="28" ht="15.75" customHeight="1" spans="1:17">
      <c r="A28" s="80" t="s">
        <v>492</v>
      </c>
      <c r="B28" s="80" t="s">
        <v>492</v>
      </c>
      <c r="C28" s="80" t="s">
        <v>493</v>
      </c>
      <c r="D28" s="80" t="s">
        <v>494</v>
      </c>
      <c r="E28" s="82" t="str">
        <f>HYPERLINK("http://in.pb/","IN.PB")</f>
        <v>IN.PB</v>
      </c>
      <c r="F28" s="80" t="s">
        <v>495</v>
      </c>
      <c r="G28" s="80"/>
      <c r="H28" s="80"/>
      <c r="I28" s="80"/>
      <c r="J28" s="80"/>
      <c r="K28" s="80"/>
      <c r="L28" s="80"/>
      <c r="M28" s="80"/>
      <c r="N28" s="80"/>
      <c r="O28" s="80"/>
      <c r="P28" s="80"/>
      <c r="Q28" s="83" t="s">
        <v>496</v>
      </c>
    </row>
    <row r="29" ht="15.75" customHeight="1" spans="1:17">
      <c r="A29" s="80" t="s">
        <v>497</v>
      </c>
      <c r="B29" s="80" t="s">
        <v>497</v>
      </c>
      <c r="C29" s="80" t="s">
        <v>498</v>
      </c>
      <c r="D29" s="80" t="s">
        <v>499</v>
      </c>
      <c r="E29" s="82" t="str">
        <f>HYPERLINK("http://in.rj/","IN.RJ")</f>
        <v>IN.RJ</v>
      </c>
      <c r="F29" s="80" t="s">
        <v>500</v>
      </c>
      <c r="G29" s="80" t="s">
        <v>501</v>
      </c>
      <c r="H29" s="80" t="s">
        <v>502</v>
      </c>
      <c r="I29" s="80" t="s">
        <v>503</v>
      </c>
      <c r="J29" s="80"/>
      <c r="K29" s="80"/>
      <c r="L29" s="80"/>
      <c r="M29" s="80"/>
      <c r="N29" s="80"/>
      <c r="O29" s="80"/>
      <c r="P29" s="80"/>
      <c r="Q29" s="83" t="s">
        <v>504</v>
      </c>
    </row>
    <row r="30" ht="15.75" customHeight="1" spans="1:17">
      <c r="A30" s="80" t="s">
        <v>505</v>
      </c>
      <c r="B30" s="80" t="s">
        <v>505</v>
      </c>
      <c r="C30" s="80" t="s">
        <v>506</v>
      </c>
      <c r="D30" s="80" t="s">
        <v>507</v>
      </c>
      <c r="E30" s="82" t="str">
        <f>HYPERLINK("http://in.sk/","IN.SK")</f>
        <v>IN.SK</v>
      </c>
      <c r="F30" s="80" t="s">
        <v>508</v>
      </c>
      <c r="G30" s="80" t="s">
        <v>509</v>
      </c>
      <c r="H30" s="80" t="s">
        <v>510</v>
      </c>
      <c r="I30" s="80" t="s">
        <v>511</v>
      </c>
      <c r="J30" s="80"/>
      <c r="K30" s="80"/>
      <c r="L30" s="80"/>
      <c r="M30" s="80"/>
      <c r="N30" s="80"/>
      <c r="O30" s="80"/>
      <c r="P30" s="80"/>
      <c r="Q30" s="83" t="s">
        <v>512</v>
      </c>
    </row>
    <row r="31" ht="15.75" customHeight="1" spans="1:17">
      <c r="A31" s="80" t="s">
        <v>513</v>
      </c>
      <c r="B31" s="80" t="s">
        <v>513</v>
      </c>
      <c r="C31" s="80" t="s">
        <v>514</v>
      </c>
      <c r="D31" s="80" t="s">
        <v>515</v>
      </c>
      <c r="E31" s="82" t="str">
        <f>HYPERLINK("http://in.tn/","IN.TN")</f>
        <v>IN.TN</v>
      </c>
      <c r="F31" s="80" t="s">
        <v>516</v>
      </c>
      <c r="G31" s="80"/>
      <c r="H31" s="80"/>
      <c r="I31" s="80"/>
      <c r="J31" s="80"/>
      <c r="K31" s="80"/>
      <c r="L31" s="80"/>
      <c r="M31" s="80"/>
      <c r="N31" s="80"/>
      <c r="O31" s="80" t="s">
        <v>517</v>
      </c>
      <c r="P31" s="80"/>
      <c r="Q31" s="83" t="s">
        <v>518</v>
      </c>
    </row>
    <row r="32" ht="15.75" customHeight="1" spans="1:17">
      <c r="A32" s="80" t="s">
        <v>519</v>
      </c>
      <c r="B32" s="80" t="s">
        <v>519</v>
      </c>
      <c r="C32" s="80" t="s">
        <v>520</v>
      </c>
      <c r="D32" s="80" t="s">
        <v>521</v>
      </c>
      <c r="E32" s="82" t="str">
        <f>HYPERLINK("http://in.tg/","IN.TG")</f>
        <v>IN.TG</v>
      </c>
      <c r="F32" s="80" t="s">
        <v>522</v>
      </c>
      <c r="G32" s="80" t="s">
        <v>523</v>
      </c>
      <c r="H32" s="80" t="s">
        <v>524</v>
      </c>
      <c r="I32" s="82" t="str">
        <f>HYPERLINK("http://in.ts/","IN.TS")</f>
        <v>IN.TS</v>
      </c>
      <c r="J32" s="80"/>
      <c r="K32" s="80"/>
      <c r="L32" s="80"/>
      <c r="M32" s="80"/>
      <c r="N32" s="80"/>
      <c r="O32" s="80"/>
      <c r="P32" s="80"/>
      <c r="Q32" s="83" t="s">
        <v>525</v>
      </c>
    </row>
    <row r="33" ht="15.75" customHeight="1" spans="1:17">
      <c r="A33" s="80" t="s">
        <v>526</v>
      </c>
      <c r="B33" s="80" t="s">
        <v>526</v>
      </c>
      <c r="C33" s="80" t="s">
        <v>527</v>
      </c>
      <c r="D33" s="80" t="s">
        <v>528</v>
      </c>
      <c r="E33" s="82" t="str">
        <f>HYPERLINK("http://in.tr/","IN.TR")</f>
        <v>IN.TR</v>
      </c>
      <c r="F33" s="80" t="s">
        <v>529</v>
      </c>
      <c r="G33" s="80" t="s">
        <v>530</v>
      </c>
      <c r="H33" s="80" t="s">
        <v>531</v>
      </c>
      <c r="I33" s="80" t="s">
        <v>532</v>
      </c>
      <c r="J33" s="80"/>
      <c r="K33" s="80"/>
      <c r="L33" s="80"/>
      <c r="M33" s="80"/>
      <c r="N33" s="80"/>
      <c r="O33" s="80"/>
      <c r="P33" s="80"/>
      <c r="Q33" s="83" t="s">
        <v>533</v>
      </c>
    </row>
    <row r="34" ht="15.75" customHeight="1" spans="1:17">
      <c r="A34" s="80" t="s">
        <v>534</v>
      </c>
      <c r="B34" s="80" t="s">
        <v>534</v>
      </c>
      <c r="C34" s="80" t="s">
        <v>535</v>
      </c>
      <c r="D34" s="80" t="s">
        <v>536</v>
      </c>
      <c r="E34" s="82" t="str">
        <f>HYPERLINK("http://in.up/","IN.UP")</f>
        <v>IN.UP</v>
      </c>
      <c r="F34" s="80" t="s">
        <v>537</v>
      </c>
      <c r="G34" s="80"/>
      <c r="H34" s="80"/>
      <c r="I34" s="80"/>
      <c r="J34" s="80"/>
      <c r="K34" s="80"/>
      <c r="L34" s="80"/>
      <c r="M34" s="80"/>
      <c r="N34" s="80"/>
      <c r="O34" s="80" t="s">
        <v>538</v>
      </c>
      <c r="P34" s="80"/>
      <c r="Q34" s="83" t="s">
        <v>539</v>
      </c>
    </row>
    <row r="35" ht="15.75" customHeight="1" spans="1:17">
      <c r="A35" s="80" t="s">
        <v>540</v>
      </c>
      <c r="B35" s="80" t="s">
        <v>540</v>
      </c>
      <c r="C35" s="80" t="s">
        <v>541</v>
      </c>
      <c r="D35" s="80" t="s">
        <v>542</v>
      </c>
      <c r="E35" s="82" t="str">
        <f>HYPERLINK("http://in.ut/","IN.UT")</f>
        <v>IN.UT</v>
      </c>
      <c r="F35" s="80" t="s">
        <v>543</v>
      </c>
      <c r="G35" s="80" t="s">
        <v>544</v>
      </c>
      <c r="H35" s="80" t="s">
        <v>545</v>
      </c>
      <c r="I35" s="82" t="str">
        <f>HYPERLINK("http://in.uk/","IN.UK")</f>
        <v>IN.UK</v>
      </c>
      <c r="J35" s="80" t="s">
        <v>546</v>
      </c>
      <c r="K35" s="80" t="s">
        <v>547</v>
      </c>
      <c r="L35" s="80" t="s">
        <v>547</v>
      </c>
      <c r="M35" s="80"/>
      <c r="N35" s="80"/>
      <c r="O35" s="80"/>
      <c r="P35" s="80"/>
      <c r="Q35" s="83" t="s">
        <v>548</v>
      </c>
    </row>
    <row r="36" ht="15.75" customHeight="1" spans="1:17">
      <c r="A36" s="80" t="s">
        <v>549</v>
      </c>
      <c r="B36" s="80" t="s">
        <v>549</v>
      </c>
      <c r="C36" s="80" t="s">
        <v>550</v>
      </c>
      <c r="D36" s="80" t="s">
        <v>551</v>
      </c>
      <c r="E36" s="82" t="str">
        <f>HYPERLINK("http://in.wb/","IN.WB")</f>
        <v>IN.WB</v>
      </c>
      <c r="F36" s="80" t="s">
        <v>552</v>
      </c>
      <c r="G36" s="80"/>
      <c r="H36" s="80"/>
      <c r="I36" s="80"/>
      <c r="J36" s="80"/>
      <c r="K36" s="80"/>
      <c r="L36" s="80"/>
      <c r="M36" s="80"/>
      <c r="N36" s="80"/>
      <c r="O36" s="80"/>
      <c r="P36" s="80"/>
      <c r="Q36" s="83" t="s">
        <v>553</v>
      </c>
    </row>
    <row r="37" ht="15.75" customHeight="1" spans="1:17">
      <c r="A37" s="80" t="s">
        <v>554</v>
      </c>
      <c r="B37" s="80" t="s">
        <v>554</v>
      </c>
      <c r="C37" s="81">
        <v>97</v>
      </c>
      <c r="D37" s="80" t="s">
        <v>555</v>
      </c>
      <c r="E37" s="82" t="str">
        <f>HYPERLINK("http://in.ot/","IN.OT")</f>
        <v>IN.OT</v>
      </c>
      <c r="F37" s="80" t="s">
        <v>556</v>
      </c>
      <c r="G37" s="80"/>
      <c r="H37" s="80"/>
      <c r="I37" s="80"/>
      <c r="J37" s="80"/>
      <c r="K37" s="80"/>
      <c r="L37" s="80"/>
      <c r="M37" s="80"/>
      <c r="N37" s="80"/>
      <c r="O37" s="80" t="s">
        <v>557</v>
      </c>
      <c r="P37" s="80" t="s">
        <v>558</v>
      </c>
      <c r="Q37" s="83" t="s">
        <v>559</v>
      </c>
    </row>
    <row r="38" ht="15.75" customHeight="1" spans="1:17">
      <c r="A38" s="80" t="s">
        <v>560</v>
      </c>
      <c r="B38" s="80" t="s">
        <v>560</v>
      </c>
      <c r="C38" s="81">
        <v>38</v>
      </c>
      <c r="D38" s="80" t="s">
        <v>426</v>
      </c>
      <c r="E38" s="82"/>
      <c r="F38" s="80" t="s">
        <v>561</v>
      </c>
      <c r="G38" s="80"/>
      <c r="H38" s="80"/>
      <c r="I38" s="80"/>
      <c r="J38" s="80"/>
      <c r="K38" s="80"/>
      <c r="L38" s="80"/>
      <c r="M38" s="80"/>
      <c r="N38" s="80"/>
      <c r="O38" s="80"/>
      <c r="P38" s="80"/>
      <c r="Q38" s="83" t="s">
        <v>562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511811023622047" footer="0.511811023622047"/>
  <pageSetup paperSize="1" orientation="landscape"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40"/>
  <sheetViews>
    <sheetView showGridLines="0" zoomScale="65" zoomScaleNormal="65" topLeftCell="B476" workbookViewId="0">
      <selection activeCell="B223" sqref="B223"/>
    </sheetView>
  </sheetViews>
  <sheetFormatPr defaultColWidth="14.5" defaultRowHeight="14"/>
  <cols>
    <col min="1" max="1" width="22.6640625" hidden="1" customWidth="1"/>
    <col min="2" max="2" width="41" customWidth="1"/>
    <col min="3" max="3" width="36.5" customWidth="1"/>
    <col min="4" max="4" width="44.6640625" customWidth="1"/>
    <col min="5" max="5" width="11.5" hidden="1" customWidth="1"/>
    <col min="6" max="9" width="9.1640625" customWidth="1"/>
  </cols>
  <sheetData>
    <row r="1" ht="15.95" spans="1:9">
      <c r="A1" s="42"/>
      <c r="B1" s="43" t="s">
        <v>563</v>
      </c>
      <c r="C1" s="44" t="s">
        <v>564</v>
      </c>
      <c r="D1" s="44" t="s">
        <v>565</v>
      </c>
      <c r="E1" s="48"/>
      <c r="F1" s="49"/>
      <c r="G1" s="49"/>
      <c r="H1" s="49"/>
      <c r="I1" s="49"/>
    </row>
    <row r="2" ht="15.95" spans="1:9">
      <c r="A2" s="42"/>
      <c r="B2" s="45" t="s">
        <v>566</v>
      </c>
      <c r="C2" s="46" t="s">
        <v>567</v>
      </c>
      <c r="D2" s="46" t="s">
        <v>568</v>
      </c>
      <c r="E2" s="48"/>
      <c r="F2" s="49"/>
      <c r="G2" s="49"/>
      <c r="H2" s="49"/>
      <c r="I2" s="49"/>
    </row>
    <row r="3" ht="15.55" spans="1:9">
      <c r="A3" s="47"/>
      <c r="B3" s="45" t="s">
        <v>566</v>
      </c>
      <c r="C3" s="46" t="s">
        <v>569</v>
      </c>
      <c r="D3" s="46" t="s">
        <v>570</v>
      </c>
      <c r="E3" s="50"/>
      <c r="F3" s="49"/>
      <c r="G3" s="49"/>
      <c r="H3" s="49"/>
      <c r="I3" s="49"/>
    </row>
    <row r="4" ht="24.75" spans="1:9">
      <c r="A4" s="47"/>
      <c r="B4" s="45" t="s">
        <v>571</v>
      </c>
      <c r="C4" s="46" t="s">
        <v>572</v>
      </c>
      <c r="D4" s="46" t="s">
        <v>573</v>
      </c>
      <c r="E4" s="50"/>
      <c r="F4" s="49"/>
      <c r="G4" s="49"/>
      <c r="H4" s="49"/>
      <c r="I4" s="49"/>
    </row>
    <row r="5" ht="24.75" spans="1:9">
      <c r="A5" s="47"/>
      <c r="B5" s="45" t="s">
        <v>571</v>
      </c>
      <c r="C5" s="46" t="s">
        <v>572</v>
      </c>
      <c r="D5" s="46" t="s">
        <v>574</v>
      </c>
      <c r="E5" s="50"/>
      <c r="F5" s="49"/>
      <c r="G5" s="49"/>
      <c r="H5" s="49"/>
      <c r="I5" s="49"/>
    </row>
    <row r="6" ht="24.75" spans="1:9">
      <c r="A6" s="47"/>
      <c r="B6" s="45" t="s">
        <v>571</v>
      </c>
      <c r="C6" s="46" t="s">
        <v>572</v>
      </c>
      <c r="D6" s="46" t="s">
        <v>575</v>
      </c>
      <c r="E6" s="50"/>
      <c r="F6" s="49"/>
      <c r="G6" s="49"/>
      <c r="H6" s="49"/>
      <c r="I6" s="49"/>
    </row>
    <row r="7" ht="24.75" spans="1:9">
      <c r="A7" s="47"/>
      <c r="B7" s="45" t="s">
        <v>571</v>
      </c>
      <c r="C7" s="46" t="s">
        <v>572</v>
      </c>
      <c r="D7" s="46" t="s">
        <v>576</v>
      </c>
      <c r="E7" s="51"/>
      <c r="F7" s="49"/>
      <c r="G7" s="49"/>
      <c r="H7" s="49"/>
      <c r="I7" s="49"/>
    </row>
    <row r="8" ht="24.75" spans="1:9">
      <c r="A8" s="47"/>
      <c r="B8" s="45" t="s">
        <v>571</v>
      </c>
      <c r="C8" s="46" t="s">
        <v>577</v>
      </c>
      <c r="D8" s="46" t="s">
        <v>578</v>
      </c>
      <c r="E8" s="51"/>
      <c r="F8" s="49"/>
      <c r="G8" s="49"/>
      <c r="H8" s="49"/>
      <c r="I8" s="49"/>
    </row>
    <row r="9" ht="24.75" spans="1:9">
      <c r="A9" s="47"/>
      <c r="B9" s="45" t="s">
        <v>571</v>
      </c>
      <c r="C9" s="46" t="s">
        <v>577</v>
      </c>
      <c r="D9" s="46" t="s">
        <v>579</v>
      </c>
      <c r="E9" s="51"/>
      <c r="F9" s="49"/>
      <c r="G9" s="49"/>
      <c r="H9" s="49"/>
      <c r="I9" s="49"/>
    </row>
    <row r="10" ht="24.75" spans="1:9">
      <c r="A10" s="47"/>
      <c r="B10" s="45" t="s">
        <v>571</v>
      </c>
      <c r="C10" s="46" t="s">
        <v>577</v>
      </c>
      <c r="D10" s="46" t="s">
        <v>580</v>
      </c>
      <c r="E10" s="50"/>
      <c r="F10" s="49"/>
      <c r="G10" s="49"/>
      <c r="H10" s="49"/>
      <c r="I10" s="49"/>
    </row>
    <row r="11" ht="24.75" spans="1:9">
      <c r="A11" s="47"/>
      <c r="B11" s="45" t="s">
        <v>571</v>
      </c>
      <c r="C11" s="46" t="s">
        <v>577</v>
      </c>
      <c r="D11" s="46" t="s">
        <v>581</v>
      </c>
      <c r="E11" s="38"/>
      <c r="F11" s="49"/>
      <c r="G11" s="49"/>
      <c r="H11" s="49"/>
      <c r="I11" s="49"/>
    </row>
    <row r="12" ht="24.75" spans="1:9">
      <c r="A12" s="47"/>
      <c r="B12" s="45" t="s">
        <v>571</v>
      </c>
      <c r="C12" s="46" t="s">
        <v>582</v>
      </c>
      <c r="D12" s="46" t="s">
        <v>583</v>
      </c>
      <c r="E12" s="38"/>
      <c r="F12" s="49"/>
      <c r="G12" s="49"/>
      <c r="H12" s="49"/>
      <c r="I12" s="49"/>
    </row>
    <row r="13" ht="24.75" spans="1:9">
      <c r="A13" s="47"/>
      <c r="B13" s="45" t="s">
        <v>571</v>
      </c>
      <c r="C13" s="46" t="s">
        <v>582</v>
      </c>
      <c r="D13" s="46" t="s">
        <v>584</v>
      </c>
      <c r="E13" s="38"/>
      <c r="F13" s="49"/>
      <c r="G13" s="49"/>
      <c r="H13" s="49"/>
      <c r="I13" s="49"/>
    </row>
    <row r="14" ht="24.75" spans="1:9">
      <c r="A14" s="47"/>
      <c r="B14" s="45" t="s">
        <v>571</v>
      </c>
      <c r="C14" s="46" t="s">
        <v>582</v>
      </c>
      <c r="D14" s="46" t="s">
        <v>585</v>
      </c>
      <c r="E14" s="38"/>
      <c r="F14" s="49"/>
      <c r="G14" s="49"/>
      <c r="H14" s="49"/>
      <c r="I14" s="49"/>
    </row>
    <row r="15" ht="24.75" spans="1:9">
      <c r="A15" s="47"/>
      <c r="B15" s="45" t="s">
        <v>571</v>
      </c>
      <c r="C15" s="46" t="s">
        <v>582</v>
      </c>
      <c r="D15" s="46" t="s">
        <v>586</v>
      </c>
      <c r="E15" s="38"/>
      <c r="F15" s="49"/>
      <c r="G15" s="49"/>
      <c r="H15" s="49"/>
      <c r="I15" s="53"/>
    </row>
    <row r="16" ht="24.75" spans="1:9">
      <c r="A16" s="47"/>
      <c r="B16" s="45" t="s">
        <v>571</v>
      </c>
      <c r="C16" s="46" t="s">
        <v>587</v>
      </c>
      <c r="D16" s="46" t="s">
        <v>588</v>
      </c>
      <c r="E16" s="52"/>
      <c r="F16" s="49"/>
      <c r="G16" s="49"/>
      <c r="H16" s="49"/>
      <c r="I16" s="49"/>
    </row>
    <row r="17" ht="24.75" spans="1:9">
      <c r="A17" s="47"/>
      <c r="B17" s="45" t="s">
        <v>571</v>
      </c>
      <c r="C17" s="46" t="s">
        <v>587</v>
      </c>
      <c r="D17" s="46" t="s">
        <v>589</v>
      </c>
      <c r="E17" s="52"/>
      <c r="F17" s="49"/>
      <c r="G17" s="49"/>
      <c r="H17" s="49"/>
      <c r="I17" s="49"/>
    </row>
    <row r="18" ht="24.75" spans="1:9">
      <c r="A18" s="47"/>
      <c r="B18" s="45" t="s">
        <v>571</v>
      </c>
      <c r="C18" s="46" t="s">
        <v>587</v>
      </c>
      <c r="D18" s="46" t="s">
        <v>590</v>
      </c>
      <c r="E18" s="38"/>
      <c r="F18" s="49"/>
      <c r="G18" s="49"/>
      <c r="H18" s="49"/>
      <c r="I18" s="49"/>
    </row>
    <row r="19" ht="24.75" spans="1:9">
      <c r="A19" s="47"/>
      <c r="B19" s="45" t="s">
        <v>571</v>
      </c>
      <c r="C19" s="46" t="s">
        <v>587</v>
      </c>
      <c r="D19" s="46" t="s">
        <v>591</v>
      </c>
      <c r="E19" s="38"/>
      <c r="F19" s="49"/>
      <c r="G19" s="49"/>
      <c r="H19" s="49"/>
      <c r="I19" s="49"/>
    </row>
    <row r="20" ht="15.55" spans="1:9">
      <c r="A20" s="47"/>
      <c r="B20" s="45" t="s">
        <v>592</v>
      </c>
      <c r="C20" s="46" t="s">
        <v>593</v>
      </c>
      <c r="D20" s="46" t="s">
        <v>594</v>
      </c>
      <c r="E20" s="38"/>
      <c r="F20" s="49"/>
      <c r="G20" s="49"/>
      <c r="H20" s="49"/>
      <c r="I20" s="49"/>
    </row>
    <row r="21" ht="15.75" customHeight="1" spans="1:9">
      <c r="A21" s="47"/>
      <c r="B21" s="45" t="s">
        <v>592</v>
      </c>
      <c r="C21" s="46" t="s">
        <v>593</v>
      </c>
      <c r="D21" s="46" t="s">
        <v>595</v>
      </c>
      <c r="E21" s="38"/>
      <c r="F21" s="49"/>
      <c r="G21" s="49"/>
      <c r="H21" s="49"/>
      <c r="I21" s="49"/>
    </row>
    <row r="22" ht="15.75" customHeight="1" spans="1:9">
      <c r="A22" s="47"/>
      <c r="B22" s="45" t="s">
        <v>592</v>
      </c>
      <c r="C22" s="46" t="s">
        <v>593</v>
      </c>
      <c r="D22" s="46" t="s">
        <v>596</v>
      </c>
      <c r="E22" s="38"/>
      <c r="F22" s="49"/>
      <c r="G22" s="49"/>
      <c r="H22" s="49"/>
      <c r="I22" s="49"/>
    </row>
    <row r="23" ht="15.75" customHeight="1" spans="1:9">
      <c r="A23" s="47"/>
      <c r="B23" s="45" t="s">
        <v>592</v>
      </c>
      <c r="C23" s="46" t="s">
        <v>593</v>
      </c>
      <c r="D23" s="46" t="s">
        <v>597</v>
      </c>
      <c r="E23" s="38"/>
      <c r="F23" s="49"/>
      <c r="G23" s="49"/>
      <c r="H23" s="49"/>
      <c r="I23" s="49"/>
    </row>
    <row r="24" ht="15.75" customHeight="1" spans="1:9">
      <c r="A24" s="47"/>
      <c r="B24" s="45" t="s">
        <v>592</v>
      </c>
      <c r="C24" s="46" t="s">
        <v>593</v>
      </c>
      <c r="D24" s="46" t="s">
        <v>598</v>
      </c>
      <c r="E24" s="52"/>
      <c r="F24" s="49"/>
      <c r="G24" s="49"/>
      <c r="H24" s="49"/>
      <c r="I24" s="49"/>
    </row>
    <row r="25" ht="15.75" customHeight="1" spans="1:9">
      <c r="A25" s="47"/>
      <c r="B25" s="45" t="s">
        <v>592</v>
      </c>
      <c r="C25" s="46" t="s">
        <v>593</v>
      </c>
      <c r="D25" s="46" t="s">
        <v>599</v>
      </c>
      <c r="E25" s="38"/>
      <c r="F25" s="49"/>
      <c r="G25" s="49"/>
      <c r="H25" s="49"/>
      <c r="I25" s="49"/>
    </row>
    <row r="26" ht="15.75" customHeight="1" spans="1:9">
      <c r="A26" s="47"/>
      <c r="B26" s="45" t="s">
        <v>592</v>
      </c>
      <c r="C26" s="46" t="s">
        <v>600</v>
      </c>
      <c r="D26" s="46" t="s">
        <v>601</v>
      </c>
      <c r="E26" s="38"/>
      <c r="F26" s="49"/>
      <c r="G26" s="49"/>
      <c r="H26" s="49"/>
      <c r="I26" s="49"/>
    </row>
    <row r="27" ht="15.75" customHeight="1" spans="1:9">
      <c r="A27" s="47"/>
      <c r="B27" s="45" t="s">
        <v>592</v>
      </c>
      <c r="C27" s="46" t="s">
        <v>600</v>
      </c>
      <c r="D27" s="46" t="s">
        <v>602</v>
      </c>
      <c r="E27" s="38"/>
      <c r="F27" s="49"/>
      <c r="G27" s="49"/>
      <c r="H27" s="49"/>
      <c r="I27" s="49"/>
    </row>
    <row r="28" ht="15.75" customHeight="1" spans="1:9">
      <c r="A28" s="47"/>
      <c r="B28" s="45" t="s">
        <v>592</v>
      </c>
      <c r="C28" s="46" t="s">
        <v>600</v>
      </c>
      <c r="D28" s="46" t="s">
        <v>603</v>
      </c>
      <c r="E28" s="38"/>
      <c r="F28" s="49"/>
      <c r="G28" s="49"/>
      <c r="H28" s="49"/>
      <c r="I28" s="49"/>
    </row>
    <row r="29" ht="15.75" customHeight="1" spans="1:9">
      <c r="A29" s="47"/>
      <c r="B29" s="45" t="s">
        <v>592</v>
      </c>
      <c r="C29" s="46" t="s">
        <v>600</v>
      </c>
      <c r="D29" s="46" t="s">
        <v>601</v>
      </c>
      <c r="E29" s="38"/>
      <c r="F29" s="49"/>
      <c r="G29" s="49"/>
      <c r="H29" s="49"/>
      <c r="I29" s="49"/>
    </row>
    <row r="30" ht="15.75" customHeight="1" spans="1:9">
      <c r="A30" s="47"/>
      <c r="B30" s="45" t="s">
        <v>592</v>
      </c>
      <c r="C30" s="46" t="s">
        <v>600</v>
      </c>
      <c r="D30" s="46" t="s">
        <v>604</v>
      </c>
      <c r="E30" s="38"/>
      <c r="F30" s="49"/>
      <c r="G30" s="49"/>
      <c r="H30" s="49"/>
      <c r="I30" s="49"/>
    </row>
    <row r="31" ht="15.75" customHeight="1" spans="1:9">
      <c r="A31" s="47"/>
      <c r="B31" s="45" t="s">
        <v>592</v>
      </c>
      <c r="C31" s="46" t="s">
        <v>600</v>
      </c>
      <c r="D31" s="46" t="s">
        <v>605</v>
      </c>
      <c r="E31" s="38"/>
      <c r="F31" s="49"/>
      <c r="G31" s="49"/>
      <c r="H31" s="49"/>
      <c r="I31" s="49"/>
    </row>
    <row r="32" ht="15.75" customHeight="1" spans="1:9">
      <c r="A32" s="47"/>
      <c r="B32" s="45" t="s">
        <v>592</v>
      </c>
      <c r="C32" s="46" t="s">
        <v>606</v>
      </c>
      <c r="D32" s="46" t="s">
        <v>607</v>
      </c>
      <c r="E32" s="38"/>
      <c r="F32" s="49"/>
      <c r="G32" s="49"/>
      <c r="H32" s="49"/>
      <c r="I32" s="49"/>
    </row>
    <row r="33" ht="15.75" customHeight="1" spans="1:9">
      <c r="A33" s="47"/>
      <c r="B33" s="45" t="s">
        <v>592</v>
      </c>
      <c r="C33" s="46" t="s">
        <v>606</v>
      </c>
      <c r="D33" s="46" t="s">
        <v>608</v>
      </c>
      <c r="E33" s="38"/>
      <c r="F33" s="49"/>
      <c r="G33" s="49"/>
      <c r="H33" s="49"/>
      <c r="I33" s="49"/>
    </row>
    <row r="34" ht="15.75" customHeight="1" spans="1:9">
      <c r="A34" s="47"/>
      <c r="B34" s="45" t="s">
        <v>592</v>
      </c>
      <c r="C34" s="46" t="s">
        <v>606</v>
      </c>
      <c r="D34" s="46" t="s">
        <v>609</v>
      </c>
      <c r="E34" s="38"/>
      <c r="F34" s="49"/>
      <c r="G34" s="49"/>
      <c r="H34" s="49"/>
      <c r="I34" s="49"/>
    </row>
    <row r="35" ht="15.75" customHeight="1" spans="1:9">
      <c r="A35" s="47"/>
      <c r="B35" s="45" t="s">
        <v>592</v>
      </c>
      <c r="C35" s="46" t="s">
        <v>606</v>
      </c>
      <c r="D35" s="46" t="s">
        <v>610</v>
      </c>
      <c r="E35" s="52"/>
      <c r="F35" s="49"/>
      <c r="G35" s="49"/>
      <c r="H35" s="49"/>
      <c r="I35" s="49"/>
    </row>
    <row r="36" ht="15.75" customHeight="1" spans="1:9">
      <c r="A36" s="47"/>
      <c r="B36" s="45" t="s">
        <v>592</v>
      </c>
      <c r="C36" s="46" t="s">
        <v>611</v>
      </c>
      <c r="D36" s="46" t="s">
        <v>612</v>
      </c>
      <c r="E36" s="38"/>
      <c r="F36" s="49"/>
      <c r="G36" s="49"/>
      <c r="H36" s="49"/>
      <c r="I36" s="49"/>
    </row>
    <row r="37" ht="15.75" customHeight="1" spans="1:9">
      <c r="A37" s="47"/>
      <c r="B37" s="45" t="s">
        <v>592</v>
      </c>
      <c r="C37" s="46" t="s">
        <v>611</v>
      </c>
      <c r="D37" s="46" t="s">
        <v>613</v>
      </c>
      <c r="E37" s="38"/>
      <c r="F37" s="49"/>
      <c r="G37" s="49"/>
      <c r="H37" s="49"/>
      <c r="I37" s="49"/>
    </row>
    <row r="38" ht="15.75" customHeight="1" spans="1:9">
      <c r="A38" s="47"/>
      <c r="B38" s="45" t="s">
        <v>592</v>
      </c>
      <c r="C38" s="46" t="s">
        <v>611</v>
      </c>
      <c r="D38" s="46" t="s">
        <v>614</v>
      </c>
      <c r="E38" s="38"/>
      <c r="F38" s="49"/>
      <c r="G38" s="49"/>
      <c r="H38" s="49"/>
      <c r="I38" s="49"/>
    </row>
    <row r="39" ht="15.75" customHeight="1" spans="1:9">
      <c r="A39" s="47"/>
      <c r="B39" s="45" t="s">
        <v>592</v>
      </c>
      <c r="C39" s="46" t="s">
        <v>611</v>
      </c>
      <c r="D39" s="46" t="s">
        <v>615</v>
      </c>
      <c r="E39" s="38"/>
      <c r="F39" s="49"/>
      <c r="G39" s="49"/>
      <c r="H39" s="49"/>
      <c r="I39" s="49"/>
    </row>
    <row r="40" ht="15.75" customHeight="1" spans="1:9">
      <c r="A40" s="47"/>
      <c r="B40" s="45" t="s">
        <v>592</v>
      </c>
      <c r="C40" s="46" t="s">
        <v>611</v>
      </c>
      <c r="D40" s="46" t="s">
        <v>616</v>
      </c>
      <c r="E40" s="38"/>
      <c r="F40" s="49"/>
      <c r="G40" s="49"/>
      <c r="H40" s="49"/>
      <c r="I40" s="49"/>
    </row>
    <row r="41" ht="15.75" customHeight="1" spans="1:9">
      <c r="A41" s="47"/>
      <c r="B41" s="45" t="s">
        <v>592</v>
      </c>
      <c r="C41" s="46" t="s">
        <v>611</v>
      </c>
      <c r="D41" s="46" t="s">
        <v>617</v>
      </c>
      <c r="E41" s="38"/>
      <c r="F41" s="49"/>
      <c r="G41" s="49"/>
      <c r="H41" s="49"/>
      <c r="I41" s="49"/>
    </row>
    <row r="42" ht="15.75" customHeight="1" spans="1:9">
      <c r="A42" s="47"/>
      <c r="B42" s="45" t="s">
        <v>592</v>
      </c>
      <c r="C42" s="46" t="s">
        <v>618</v>
      </c>
      <c r="D42" s="46" t="s">
        <v>619</v>
      </c>
      <c r="E42" s="38"/>
      <c r="F42" s="49"/>
      <c r="G42" s="49"/>
      <c r="H42" s="49"/>
      <c r="I42" s="49"/>
    </row>
    <row r="43" ht="15.75" customHeight="1" spans="1:9">
      <c r="A43" s="47"/>
      <c r="B43" s="45" t="s">
        <v>592</v>
      </c>
      <c r="C43" s="46" t="s">
        <v>618</v>
      </c>
      <c r="D43" s="46" t="s">
        <v>620</v>
      </c>
      <c r="E43" s="38"/>
      <c r="F43" s="49"/>
      <c r="G43" s="49"/>
      <c r="H43" s="49"/>
      <c r="I43" s="49"/>
    </row>
    <row r="44" ht="15.75" customHeight="1" spans="1:9">
      <c r="A44" s="47"/>
      <c r="B44" s="45" t="s">
        <v>592</v>
      </c>
      <c r="C44" s="46" t="s">
        <v>618</v>
      </c>
      <c r="D44" s="46" t="s">
        <v>621</v>
      </c>
      <c r="E44" s="38"/>
      <c r="F44" s="49"/>
      <c r="G44" s="49"/>
      <c r="H44" s="49"/>
      <c r="I44" s="49"/>
    </row>
    <row r="45" ht="15.75" customHeight="1" spans="1:9">
      <c r="A45" s="47"/>
      <c r="B45" s="45" t="s">
        <v>592</v>
      </c>
      <c r="C45" s="46" t="s">
        <v>618</v>
      </c>
      <c r="D45" s="46" t="s">
        <v>622</v>
      </c>
      <c r="E45" s="52"/>
      <c r="F45" s="49"/>
      <c r="G45" s="49"/>
      <c r="H45" s="49"/>
      <c r="I45" s="49"/>
    </row>
    <row r="46" ht="15.75" customHeight="1" spans="1:9">
      <c r="A46" s="47"/>
      <c r="B46" s="45" t="s">
        <v>592</v>
      </c>
      <c r="C46" s="46" t="s">
        <v>618</v>
      </c>
      <c r="D46" s="46" t="s">
        <v>623</v>
      </c>
      <c r="E46" s="38"/>
      <c r="F46" s="49"/>
      <c r="G46" s="49"/>
      <c r="H46" s="49"/>
      <c r="I46" s="49"/>
    </row>
    <row r="47" ht="15.75" customHeight="1" spans="1:9">
      <c r="A47" s="47"/>
      <c r="B47" s="45" t="s">
        <v>592</v>
      </c>
      <c r="C47" s="46" t="s">
        <v>618</v>
      </c>
      <c r="D47" s="46" t="s">
        <v>624</v>
      </c>
      <c r="E47" s="38"/>
      <c r="F47" s="49"/>
      <c r="G47" s="49"/>
      <c r="H47" s="49"/>
      <c r="I47" s="49"/>
    </row>
    <row r="48" ht="15.55" spans="1:9">
      <c r="A48" s="47"/>
      <c r="B48" s="45" t="s">
        <v>592</v>
      </c>
      <c r="C48" s="46" t="s">
        <v>625</v>
      </c>
      <c r="D48" s="46" t="s">
        <v>626</v>
      </c>
      <c r="E48" s="38"/>
      <c r="F48" s="49"/>
      <c r="G48" s="49"/>
      <c r="H48" s="49"/>
      <c r="I48" s="49"/>
    </row>
    <row r="49" ht="15.55" spans="1:9">
      <c r="A49" s="47"/>
      <c r="B49" s="45" t="s">
        <v>592</v>
      </c>
      <c r="C49" s="46" t="s">
        <v>625</v>
      </c>
      <c r="D49" s="46" t="s">
        <v>627</v>
      </c>
      <c r="E49" s="38"/>
      <c r="F49" s="49"/>
      <c r="G49" s="49"/>
      <c r="H49" s="49"/>
      <c r="I49" s="49"/>
    </row>
    <row r="50" ht="15.55" spans="1:9">
      <c r="A50" s="47"/>
      <c r="B50" s="45" t="s">
        <v>592</v>
      </c>
      <c r="C50" s="46" t="s">
        <v>625</v>
      </c>
      <c r="D50" s="46" t="s">
        <v>628</v>
      </c>
      <c r="E50" s="38"/>
      <c r="F50" s="49"/>
      <c r="G50" s="49"/>
      <c r="H50" s="49"/>
      <c r="I50" s="49"/>
    </row>
    <row r="51" ht="15.55" spans="1:9">
      <c r="A51" s="47"/>
      <c r="B51" s="45" t="s">
        <v>592</v>
      </c>
      <c r="C51" s="46" t="s">
        <v>625</v>
      </c>
      <c r="D51" s="46" t="s">
        <v>629</v>
      </c>
      <c r="E51" s="38"/>
      <c r="F51" s="49"/>
      <c r="G51" s="49"/>
      <c r="H51" s="49"/>
      <c r="I51" s="49"/>
    </row>
    <row r="52" ht="15.75" customHeight="1" spans="1:9">
      <c r="A52" s="47"/>
      <c r="B52" s="45" t="s">
        <v>630</v>
      </c>
      <c r="C52" s="46" t="s">
        <v>631</v>
      </c>
      <c r="D52" s="46" t="s">
        <v>632</v>
      </c>
      <c r="E52" s="38"/>
      <c r="F52" s="49"/>
      <c r="G52" s="49"/>
      <c r="H52" s="49"/>
      <c r="I52" s="49"/>
    </row>
    <row r="53" ht="15.75" customHeight="1" spans="1:9">
      <c r="A53" s="47"/>
      <c r="B53" s="45" t="s">
        <v>630</v>
      </c>
      <c r="C53" s="46" t="s">
        <v>633</v>
      </c>
      <c r="D53" s="46" t="s">
        <v>634</v>
      </c>
      <c r="E53" s="38"/>
      <c r="F53" s="49"/>
      <c r="G53" s="49"/>
      <c r="H53" s="49"/>
      <c r="I53" s="49"/>
    </row>
    <row r="54" ht="15.75" customHeight="1" spans="1:9">
      <c r="A54" s="47"/>
      <c r="B54" s="45" t="s">
        <v>630</v>
      </c>
      <c r="C54" s="46" t="s">
        <v>633</v>
      </c>
      <c r="D54" s="46" t="s">
        <v>635</v>
      </c>
      <c r="E54" s="52"/>
      <c r="F54" s="49"/>
      <c r="G54" s="49"/>
      <c r="H54" s="49"/>
      <c r="I54" s="49"/>
    </row>
    <row r="55" ht="15.75" customHeight="1" spans="1:9">
      <c r="A55" s="47"/>
      <c r="B55" s="45" t="s">
        <v>630</v>
      </c>
      <c r="C55" s="46" t="s">
        <v>633</v>
      </c>
      <c r="D55" s="46" t="s">
        <v>636</v>
      </c>
      <c r="E55" s="38"/>
      <c r="F55" s="49"/>
      <c r="G55" s="49"/>
      <c r="H55" s="49"/>
      <c r="I55" s="49"/>
    </row>
    <row r="56" ht="15.75" customHeight="1" spans="1:9">
      <c r="A56" s="47"/>
      <c r="B56" s="45" t="s">
        <v>630</v>
      </c>
      <c r="C56" s="46" t="s">
        <v>633</v>
      </c>
      <c r="D56" s="46" t="s">
        <v>637</v>
      </c>
      <c r="E56" s="38"/>
      <c r="F56" s="49"/>
      <c r="G56" s="49"/>
      <c r="H56" s="49"/>
      <c r="I56" s="49"/>
    </row>
    <row r="57" ht="15.75" customHeight="1" spans="1:9">
      <c r="A57" s="47"/>
      <c r="B57" s="45" t="s">
        <v>630</v>
      </c>
      <c r="C57" s="46" t="s">
        <v>633</v>
      </c>
      <c r="D57" s="46" t="s">
        <v>622</v>
      </c>
      <c r="E57" s="38"/>
      <c r="F57" s="49"/>
      <c r="G57" s="49"/>
      <c r="H57" s="49"/>
      <c r="I57" s="49"/>
    </row>
    <row r="58" ht="15.75" customHeight="1" spans="1:9">
      <c r="A58" s="47"/>
      <c r="B58" s="45" t="s">
        <v>630</v>
      </c>
      <c r="C58" s="46" t="s">
        <v>638</v>
      </c>
      <c r="D58" s="46" t="s">
        <v>639</v>
      </c>
      <c r="E58" s="38"/>
      <c r="F58" s="49"/>
      <c r="G58" s="49"/>
      <c r="H58" s="49"/>
      <c r="I58" s="49"/>
    </row>
    <row r="59" ht="15.75" customHeight="1" spans="1:9">
      <c r="A59" s="47"/>
      <c r="B59" s="45" t="s">
        <v>630</v>
      </c>
      <c r="C59" s="46" t="s">
        <v>638</v>
      </c>
      <c r="D59" s="46" t="s">
        <v>640</v>
      </c>
      <c r="E59" s="38"/>
      <c r="F59" s="49"/>
      <c r="G59" s="49"/>
      <c r="H59" s="49"/>
      <c r="I59" s="49"/>
    </row>
    <row r="60" ht="15.75" customHeight="1" spans="1:9">
      <c r="A60" s="47"/>
      <c r="B60" s="45" t="s">
        <v>630</v>
      </c>
      <c r="C60" s="46" t="s">
        <v>638</v>
      </c>
      <c r="D60" s="46" t="s">
        <v>641</v>
      </c>
      <c r="E60" s="38"/>
      <c r="F60" s="49"/>
      <c r="G60" s="49"/>
      <c r="H60" s="49"/>
      <c r="I60" s="49"/>
    </row>
    <row r="61" ht="15.75" customHeight="1" spans="1:9">
      <c r="A61" s="47"/>
      <c r="B61" s="45" t="s">
        <v>630</v>
      </c>
      <c r="C61" s="46" t="s">
        <v>638</v>
      </c>
      <c r="D61" s="46" t="s">
        <v>642</v>
      </c>
      <c r="E61" s="38"/>
      <c r="F61" s="49"/>
      <c r="G61" s="49"/>
      <c r="H61" s="49"/>
      <c r="I61" s="49"/>
    </row>
    <row r="62" ht="15.75" customHeight="1" spans="1:9">
      <c r="A62" s="47"/>
      <c r="B62" s="45" t="s">
        <v>630</v>
      </c>
      <c r="C62" s="46" t="s">
        <v>638</v>
      </c>
      <c r="D62" s="46" t="s">
        <v>615</v>
      </c>
      <c r="E62" s="52"/>
      <c r="F62" s="49"/>
      <c r="G62" s="49"/>
      <c r="H62" s="49"/>
      <c r="I62" s="49"/>
    </row>
    <row r="63" ht="15.75" customHeight="1" spans="1:9">
      <c r="A63" s="47"/>
      <c r="B63" s="45" t="s">
        <v>630</v>
      </c>
      <c r="C63" s="46" t="s">
        <v>643</v>
      </c>
      <c r="D63" s="46" t="s">
        <v>644</v>
      </c>
      <c r="E63" s="52"/>
      <c r="F63" s="49"/>
      <c r="G63" s="49"/>
      <c r="H63" s="49"/>
      <c r="I63" s="49"/>
    </row>
    <row r="64" ht="15.75" customHeight="1" spans="1:9">
      <c r="A64" s="47"/>
      <c r="B64" s="45" t="s">
        <v>630</v>
      </c>
      <c r="C64" s="46" t="s">
        <v>643</v>
      </c>
      <c r="D64" s="46" t="s">
        <v>608</v>
      </c>
      <c r="E64" s="38"/>
      <c r="F64" s="49"/>
      <c r="G64" s="49"/>
      <c r="H64" s="49"/>
      <c r="I64" s="49"/>
    </row>
    <row r="65" ht="15.75" customHeight="1" spans="1:9">
      <c r="A65" s="47"/>
      <c r="B65" s="45" t="s">
        <v>630</v>
      </c>
      <c r="C65" s="46" t="s">
        <v>643</v>
      </c>
      <c r="D65" s="46" t="s">
        <v>645</v>
      </c>
      <c r="E65" s="38"/>
      <c r="F65" s="49"/>
      <c r="G65" s="49"/>
      <c r="H65" s="49"/>
      <c r="I65" s="49"/>
    </row>
    <row r="66" ht="15.75" customHeight="1" spans="1:9">
      <c r="A66" s="47"/>
      <c r="B66" s="45" t="s">
        <v>630</v>
      </c>
      <c r="C66" s="46" t="s">
        <v>643</v>
      </c>
      <c r="D66" s="46" t="s">
        <v>609</v>
      </c>
      <c r="E66" s="38"/>
      <c r="F66" s="49"/>
      <c r="G66" s="49"/>
      <c r="H66" s="49"/>
      <c r="I66" s="49"/>
    </row>
    <row r="67" ht="15.55" spans="1:9">
      <c r="A67" s="47"/>
      <c r="B67" s="45" t="s">
        <v>630</v>
      </c>
      <c r="C67" s="46" t="s">
        <v>646</v>
      </c>
      <c r="D67" s="46" t="s">
        <v>647</v>
      </c>
      <c r="E67" s="38"/>
      <c r="F67" s="49"/>
      <c r="G67" s="49"/>
      <c r="H67" s="49"/>
      <c r="I67" s="49"/>
    </row>
    <row r="68" ht="15.55" spans="1:9">
      <c r="A68" s="47"/>
      <c r="B68" s="45" t="s">
        <v>630</v>
      </c>
      <c r="C68" s="46" t="s">
        <v>646</v>
      </c>
      <c r="D68" s="46" t="s">
        <v>626</v>
      </c>
      <c r="E68" s="38"/>
      <c r="F68" s="49"/>
      <c r="G68" s="49"/>
      <c r="H68" s="49"/>
      <c r="I68" s="49"/>
    </row>
    <row r="69" ht="15.75" customHeight="1" spans="1:9">
      <c r="A69" s="47"/>
      <c r="B69" s="45" t="s">
        <v>648</v>
      </c>
      <c r="C69" s="46" t="s">
        <v>649</v>
      </c>
      <c r="D69" s="46" t="s">
        <v>650</v>
      </c>
      <c r="E69" s="38"/>
      <c r="F69" s="49"/>
      <c r="G69" s="49"/>
      <c r="H69" s="49"/>
      <c r="I69" s="49"/>
    </row>
    <row r="70" ht="15.75" customHeight="1" spans="1:9">
      <c r="A70" s="47"/>
      <c r="B70" s="45" t="s">
        <v>648</v>
      </c>
      <c r="C70" s="46" t="s">
        <v>651</v>
      </c>
      <c r="D70" s="46" t="s">
        <v>599</v>
      </c>
      <c r="E70" s="38"/>
      <c r="F70" s="49"/>
      <c r="G70" s="49"/>
      <c r="H70" s="49"/>
      <c r="I70" s="49"/>
    </row>
    <row r="71" ht="15.75" customHeight="1" spans="1:9">
      <c r="A71" s="47"/>
      <c r="B71" s="45" t="s">
        <v>648</v>
      </c>
      <c r="C71" s="46" t="s">
        <v>651</v>
      </c>
      <c r="D71" s="46" t="s">
        <v>652</v>
      </c>
      <c r="E71" s="38"/>
      <c r="F71" s="49"/>
      <c r="G71" s="49"/>
      <c r="H71" s="49"/>
      <c r="I71" s="49"/>
    </row>
    <row r="72" ht="15.75" customHeight="1" spans="1:9">
      <c r="A72" s="47"/>
      <c r="B72" s="45" t="s">
        <v>648</v>
      </c>
      <c r="C72" s="46" t="s">
        <v>651</v>
      </c>
      <c r="D72" s="46" t="s">
        <v>594</v>
      </c>
      <c r="E72" s="38"/>
      <c r="F72" s="49"/>
      <c r="G72" s="49"/>
      <c r="H72" s="49"/>
      <c r="I72" s="49"/>
    </row>
    <row r="73" ht="15.75" customHeight="1" spans="1:9">
      <c r="A73" s="47"/>
      <c r="B73" s="45" t="s">
        <v>648</v>
      </c>
      <c r="C73" s="46" t="s">
        <v>651</v>
      </c>
      <c r="D73" s="46" t="s">
        <v>596</v>
      </c>
      <c r="E73" s="38"/>
      <c r="F73" s="49"/>
      <c r="G73" s="49"/>
      <c r="H73" s="49"/>
      <c r="I73" s="49"/>
    </row>
    <row r="74" ht="15.75" customHeight="1" spans="1:9">
      <c r="A74" s="47"/>
      <c r="B74" s="45" t="s">
        <v>648</v>
      </c>
      <c r="C74" s="46" t="s">
        <v>653</v>
      </c>
      <c r="D74" s="46" t="s">
        <v>604</v>
      </c>
      <c r="E74" s="38"/>
      <c r="F74" s="49"/>
      <c r="G74" s="49"/>
      <c r="H74" s="49"/>
      <c r="I74" s="49"/>
    </row>
    <row r="75" ht="15.75" customHeight="1" spans="1:9">
      <c r="A75" s="47"/>
      <c r="B75" s="45" t="s">
        <v>648</v>
      </c>
      <c r="C75" s="46" t="s">
        <v>653</v>
      </c>
      <c r="D75" s="46" t="s">
        <v>654</v>
      </c>
      <c r="E75" s="38"/>
      <c r="F75" s="49"/>
      <c r="G75" s="49"/>
      <c r="H75" s="49"/>
      <c r="I75" s="49"/>
    </row>
    <row r="76" ht="15.75" customHeight="1" spans="1:9">
      <c r="A76" s="47"/>
      <c r="B76" s="45" t="s">
        <v>648</v>
      </c>
      <c r="C76" s="46" t="s">
        <v>653</v>
      </c>
      <c r="D76" s="46" t="s">
        <v>601</v>
      </c>
      <c r="E76" s="38"/>
      <c r="F76" s="49"/>
      <c r="G76" s="49"/>
      <c r="H76" s="49"/>
      <c r="I76" s="49"/>
    </row>
    <row r="77" ht="15.75" customHeight="1" spans="1:9">
      <c r="A77" s="47"/>
      <c r="B77" s="45" t="s">
        <v>648</v>
      </c>
      <c r="C77" s="46" t="s">
        <v>653</v>
      </c>
      <c r="D77" s="46" t="s">
        <v>603</v>
      </c>
      <c r="E77" s="38"/>
      <c r="F77" s="49"/>
      <c r="G77" s="49"/>
      <c r="H77" s="49"/>
      <c r="I77" s="49"/>
    </row>
    <row r="78" ht="15.75" customHeight="1" spans="1:9">
      <c r="A78" s="47"/>
      <c r="B78" s="45" t="s">
        <v>655</v>
      </c>
      <c r="C78" s="46" t="s">
        <v>656</v>
      </c>
      <c r="D78" s="46" t="s">
        <v>657</v>
      </c>
      <c r="E78" s="52"/>
      <c r="F78" s="49"/>
      <c r="G78" s="49"/>
      <c r="H78" s="49"/>
      <c r="I78" s="49"/>
    </row>
    <row r="79" ht="15.75" customHeight="1" spans="1:9">
      <c r="A79" s="47"/>
      <c r="B79" s="45" t="s">
        <v>655</v>
      </c>
      <c r="C79" s="46" t="s">
        <v>656</v>
      </c>
      <c r="D79" s="46" t="s">
        <v>658</v>
      </c>
      <c r="E79" s="52"/>
      <c r="F79" s="49"/>
      <c r="G79" s="49"/>
      <c r="H79" s="49"/>
      <c r="I79" s="49"/>
    </row>
    <row r="80" ht="15.75" customHeight="1" spans="1:9">
      <c r="A80" s="47"/>
      <c r="B80" s="45" t="s">
        <v>655</v>
      </c>
      <c r="C80" s="46" t="s">
        <v>656</v>
      </c>
      <c r="D80" s="46" t="s">
        <v>659</v>
      </c>
      <c r="E80" s="38"/>
      <c r="F80" s="49"/>
      <c r="G80" s="49"/>
      <c r="H80" s="49"/>
      <c r="I80" s="49"/>
    </row>
    <row r="81" ht="15.75" customHeight="1" spans="1:9">
      <c r="A81" s="47"/>
      <c r="B81" s="45" t="s">
        <v>655</v>
      </c>
      <c r="C81" s="46" t="s">
        <v>656</v>
      </c>
      <c r="D81" s="46" t="s">
        <v>660</v>
      </c>
      <c r="E81" s="38"/>
      <c r="F81" s="49"/>
      <c r="G81" s="49"/>
      <c r="H81" s="49"/>
      <c r="I81" s="49"/>
    </row>
    <row r="82" ht="15.75" customHeight="1" spans="1:9">
      <c r="A82" s="47"/>
      <c r="B82" s="45" t="s">
        <v>655</v>
      </c>
      <c r="C82" s="46" t="s">
        <v>656</v>
      </c>
      <c r="D82" s="46" t="s">
        <v>661</v>
      </c>
      <c r="E82" s="38"/>
      <c r="F82" s="49"/>
      <c r="G82" s="49"/>
      <c r="H82" s="49"/>
      <c r="I82" s="49"/>
    </row>
    <row r="83" ht="15.75" customHeight="1" spans="1:9">
      <c r="A83" s="47"/>
      <c r="B83" s="45" t="s">
        <v>655</v>
      </c>
      <c r="C83" s="46" t="s">
        <v>662</v>
      </c>
      <c r="D83" s="46" t="s">
        <v>663</v>
      </c>
      <c r="E83" s="38"/>
      <c r="F83" s="49"/>
      <c r="G83" s="49"/>
      <c r="H83" s="49"/>
      <c r="I83" s="49"/>
    </row>
    <row r="84" ht="15.75" customHeight="1" spans="1:9">
      <c r="A84" s="47"/>
      <c r="B84" s="45" t="s">
        <v>655</v>
      </c>
      <c r="C84" s="46" t="s">
        <v>662</v>
      </c>
      <c r="D84" s="46" t="s">
        <v>664</v>
      </c>
      <c r="E84" s="38"/>
      <c r="F84" s="49"/>
      <c r="G84" s="49"/>
      <c r="H84" s="49"/>
      <c r="I84" s="49"/>
    </row>
    <row r="85" ht="15.75" customHeight="1" spans="1:9">
      <c r="A85" s="47"/>
      <c r="B85" s="45" t="s">
        <v>655</v>
      </c>
      <c r="C85" s="46" t="s">
        <v>662</v>
      </c>
      <c r="D85" s="46" t="s">
        <v>665</v>
      </c>
      <c r="E85" s="38"/>
      <c r="F85" s="49"/>
      <c r="G85" s="49"/>
      <c r="H85" s="49"/>
      <c r="I85" s="49"/>
    </row>
    <row r="86" ht="15.75" customHeight="1" spans="1:9">
      <c r="A86" s="47"/>
      <c r="B86" s="45" t="s">
        <v>655</v>
      </c>
      <c r="C86" s="46" t="s">
        <v>662</v>
      </c>
      <c r="D86" s="46" t="s">
        <v>666</v>
      </c>
      <c r="E86" s="38"/>
      <c r="F86" s="49"/>
      <c r="G86" s="49"/>
      <c r="H86" s="49"/>
      <c r="I86" s="49"/>
    </row>
    <row r="87" ht="15.75" customHeight="1" spans="1:9">
      <c r="A87" s="47"/>
      <c r="B87" s="45" t="s">
        <v>655</v>
      </c>
      <c r="C87" s="46" t="s">
        <v>662</v>
      </c>
      <c r="D87" s="46" t="s">
        <v>667</v>
      </c>
      <c r="E87" s="38"/>
      <c r="F87" s="49"/>
      <c r="G87" s="49"/>
      <c r="H87" s="49"/>
      <c r="I87" s="49"/>
    </row>
    <row r="88" ht="15.75" customHeight="1" spans="1:9">
      <c r="A88" s="47"/>
      <c r="B88" s="45" t="s">
        <v>655</v>
      </c>
      <c r="C88" s="46" t="s">
        <v>668</v>
      </c>
      <c r="D88" s="46" t="s">
        <v>669</v>
      </c>
      <c r="E88" s="38"/>
      <c r="F88" s="49"/>
      <c r="G88" s="49"/>
      <c r="H88" s="49"/>
      <c r="I88" s="49"/>
    </row>
    <row r="89" ht="15.75" customHeight="1" spans="1:9">
      <c r="A89" s="47"/>
      <c r="B89" s="45" t="s">
        <v>655</v>
      </c>
      <c r="C89" s="46" t="s">
        <v>668</v>
      </c>
      <c r="D89" s="46" t="s">
        <v>670</v>
      </c>
      <c r="E89" s="38"/>
      <c r="F89" s="49"/>
      <c r="G89" s="49"/>
      <c r="H89" s="49"/>
      <c r="I89" s="49"/>
    </row>
    <row r="90" ht="15.75" customHeight="1" spans="1:9">
      <c r="A90" s="47"/>
      <c r="B90" s="45" t="s">
        <v>655</v>
      </c>
      <c r="C90" s="46" t="s">
        <v>668</v>
      </c>
      <c r="D90" s="46" t="s">
        <v>671</v>
      </c>
      <c r="E90" s="38"/>
      <c r="F90" s="49"/>
      <c r="G90" s="49"/>
      <c r="H90" s="49"/>
      <c r="I90" s="49"/>
    </row>
    <row r="91" ht="24.75" spans="1:9">
      <c r="A91" s="47"/>
      <c r="B91" s="45" t="s">
        <v>655</v>
      </c>
      <c r="C91" s="46" t="s">
        <v>672</v>
      </c>
      <c r="D91" s="46" t="s">
        <v>673</v>
      </c>
      <c r="E91" s="38"/>
      <c r="F91" s="49"/>
      <c r="G91" s="49"/>
      <c r="H91" s="49"/>
      <c r="I91" s="49"/>
    </row>
    <row r="92" ht="24.75" spans="1:9">
      <c r="A92" s="47"/>
      <c r="B92" s="45" t="s">
        <v>655</v>
      </c>
      <c r="C92" s="46" t="s">
        <v>674</v>
      </c>
      <c r="D92" s="46" t="s">
        <v>675</v>
      </c>
      <c r="E92" s="38"/>
      <c r="F92" s="49"/>
      <c r="G92" s="49"/>
      <c r="H92" s="49"/>
      <c r="I92" s="49"/>
    </row>
    <row r="93" ht="24.75" spans="1:9">
      <c r="A93" s="47"/>
      <c r="B93" s="45" t="s">
        <v>655</v>
      </c>
      <c r="C93" s="46" t="s">
        <v>676</v>
      </c>
      <c r="D93" s="46" t="s">
        <v>677</v>
      </c>
      <c r="E93" s="38"/>
      <c r="F93" s="49"/>
      <c r="G93" s="49"/>
      <c r="H93" s="49"/>
      <c r="I93" s="49"/>
    </row>
    <row r="94" ht="15.55" spans="1:9">
      <c r="A94" s="47"/>
      <c r="B94" s="45" t="s">
        <v>655</v>
      </c>
      <c r="C94" s="46" t="s">
        <v>678</v>
      </c>
      <c r="D94" s="46" t="s">
        <v>679</v>
      </c>
      <c r="E94" s="50"/>
      <c r="F94" s="49"/>
      <c r="G94" s="49"/>
      <c r="H94" s="49"/>
      <c r="I94" s="49"/>
    </row>
    <row r="95" ht="15.75" customHeight="1" spans="1:9">
      <c r="A95" s="47"/>
      <c r="B95" s="45" t="s">
        <v>655</v>
      </c>
      <c r="C95" s="46" t="s">
        <v>680</v>
      </c>
      <c r="D95" s="46" t="s">
        <v>681</v>
      </c>
      <c r="E95" s="50"/>
      <c r="F95" s="49"/>
      <c r="G95" s="49"/>
      <c r="H95" s="49"/>
      <c r="I95" s="49"/>
    </row>
    <row r="96" ht="15.75" customHeight="1" spans="1:9">
      <c r="A96" s="47"/>
      <c r="B96" s="45" t="s">
        <v>655</v>
      </c>
      <c r="C96" s="46" t="s">
        <v>680</v>
      </c>
      <c r="D96" s="46" t="s">
        <v>682</v>
      </c>
      <c r="E96" s="51"/>
      <c r="F96" s="49"/>
      <c r="G96" s="49"/>
      <c r="H96" s="49"/>
      <c r="I96" s="49"/>
    </row>
    <row r="97" ht="15.75" customHeight="1" spans="1:9">
      <c r="A97" s="47"/>
      <c r="B97" s="45" t="s">
        <v>655</v>
      </c>
      <c r="C97" s="46" t="s">
        <v>680</v>
      </c>
      <c r="D97" s="46" t="s">
        <v>683</v>
      </c>
      <c r="E97" s="50"/>
      <c r="F97" s="49"/>
      <c r="G97" s="49"/>
      <c r="H97" s="49"/>
      <c r="I97" s="49"/>
    </row>
    <row r="98" ht="15.75" customHeight="1" spans="1:9">
      <c r="A98" s="47"/>
      <c r="B98" s="45" t="s">
        <v>655</v>
      </c>
      <c r="C98" s="46" t="s">
        <v>680</v>
      </c>
      <c r="D98" s="46" t="s">
        <v>684</v>
      </c>
      <c r="E98" s="52"/>
      <c r="F98" s="49"/>
      <c r="G98" s="49"/>
      <c r="H98" s="49"/>
      <c r="I98" s="49"/>
    </row>
    <row r="99" ht="15.75" customHeight="1" spans="1:9">
      <c r="A99" s="47"/>
      <c r="B99" s="45" t="s">
        <v>655</v>
      </c>
      <c r="C99" s="46" t="s">
        <v>680</v>
      </c>
      <c r="D99" s="46" t="s">
        <v>685</v>
      </c>
      <c r="E99" s="52"/>
      <c r="F99" s="49"/>
      <c r="G99" s="49"/>
      <c r="H99" s="49"/>
      <c r="I99" s="49"/>
    </row>
    <row r="100" ht="15.75" customHeight="1" spans="1:9">
      <c r="A100" s="47"/>
      <c r="B100" s="45" t="s">
        <v>655</v>
      </c>
      <c r="C100" s="46" t="s">
        <v>680</v>
      </c>
      <c r="D100" s="46" t="s">
        <v>686</v>
      </c>
      <c r="E100" s="38"/>
      <c r="F100" s="49"/>
      <c r="G100" s="49"/>
      <c r="H100" s="49"/>
      <c r="I100" s="49"/>
    </row>
    <row r="101" ht="15.75" customHeight="1" spans="1:9">
      <c r="A101" s="47"/>
      <c r="B101" s="45" t="s">
        <v>655</v>
      </c>
      <c r="C101" s="46" t="s">
        <v>687</v>
      </c>
      <c r="D101" s="46" t="s">
        <v>688</v>
      </c>
      <c r="E101" s="52"/>
      <c r="F101" s="49"/>
      <c r="G101" s="49"/>
      <c r="H101" s="49"/>
      <c r="I101" s="49"/>
    </row>
    <row r="102" ht="15.75" customHeight="1" spans="1:9">
      <c r="A102" s="47"/>
      <c r="B102" s="45" t="s">
        <v>655</v>
      </c>
      <c r="C102" s="46" t="s">
        <v>689</v>
      </c>
      <c r="D102" s="46" t="s">
        <v>690</v>
      </c>
      <c r="E102" s="52"/>
      <c r="F102" s="49"/>
      <c r="G102" s="49"/>
      <c r="H102" s="49"/>
      <c r="I102" s="49"/>
    </row>
    <row r="103" ht="15.75" customHeight="1" spans="1:9">
      <c r="A103" s="47"/>
      <c r="B103" s="45" t="s">
        <v>655</v>
      </c>
      <c r="C103" s="46" t="s">
        <v>691</v>
      </c>
      <c r="D103" s="46" t="s">
        <v>692</v>
      </c>
      <c r="E103" s="52"/>
      <c r="F103" s="49"/>
      <c r="G103" s="49"/>
      <c r="H103" s="49"/>
      <c r="I103" s="49"/>
    </row>
    <row r="104" ht="15.75" customHeight="1" spans="1:9">
      <c r="A104" s="47"/>
      <c r="B104" s="45" t="s">
        <v>655</v>
      </c>
      <c r="C104" s="46" t="s">
        <v>693</v>
      </c>
      <c r="D104" s="46" t="s">
        <v>694</v>
      </c>
      <c r="E104" s="50"/>
      <c r="F104" s="49"/>
      <c r="G104" s="49"/>
      <c r="H104" s="49"/>
      <c r="I104" s="49"/>
    </row>
    <row r="105" ht="15.75" customHeight="1" spans="1:9">
      <c r="A105" s="47"/>
      <c r="B105" s="45" t="s">
        <v>695</v>
      </c>
      <c r="C105" s="46">
        <v>1</v>
      </c>
      <c r="D105" s="46">
        <v>1</v>
      </c>
      <c r="E105" s="50"/>
      <c r="F105" s="49"/>
      <c r="G105" s="49"/>
      <c r="H105" s="49"/>
      <c r="I105" s="49"/>
    </row>
    <row r="106" ht="15.75" customHeight="1" spans="1:9">
      <c r="A106" s="47"/>
      <c r="B106" s="45" t="s">
        <v>695</v>
      </c>
      <c r="C106" s="46">
        <v>1</v>
      </c>
      <c r="D106" s="46" t="s">
        <v>696</v>
      </c>
      <c r="E106" s="38"/>
      <c r="F106" s="49"/>
      <c r="G106" s="49"/>
      <c r="H106" s="49"/>
      <c r="I106" s="49"/>
    </row>
    <row r="107" ht="15.75" customHeight="1" spans="1:9">
      <c r="A107" s="47"/>
      <c r="B107" s="45" t="s">
        <v>695</v>
      </c>
      <c r="C107" s="46">
        <v>1</v>
      </c>
      <c r="D107" s="46" t="s">
        <v>697</v>
      </c>
      <c r="E107" s="38"/>
      <c r="F107" s="49"/>
      <c r="G107" s="49"/>
      <c r="H107" s="49"/>
      <c r="I107" s="49"/>
    </row>
    <row r="108" ht="15.75" customHeight="1" spans="1:9">
      <c r="A108" s="47"/>
      <c r="B108" s="45" t="s">
        <v>695</v>
      </c>
      <c r="C108" s="46">
        <v>2</v>
      </c>
      <c r="D108" s="46">
        <v>2</v>
      </c>
      <c r="E108" s="38"/>
      <c r="F108" s="49"/>
      <c r="G108" s="49"/>
      <c r="H108" s="49"/>
      <c r="I108" s="49"/>
    </row>
    <row r="109" ht="15.75" customHeight="1" spans="1:9">
      <c r="A109" s="47"/>
      <c r="B109" s="45" t="s">
        <v>695</v>
      </c>
      <c r="C109" s="46">
        <v>2</v>
      </c>
      <c r="D109" s="46" t="s">
        <v>698</v>
      </c>
      <c r="E109" s="38"/>
      <c r="F109" s="49"/>
      <c r="G109" s="49"/>
      <c r="H109" s="49"/>
      <c r="I109" s="49"/>
    </row>
    <row r="110" ht="15.75" customHeight="1" spans="1:9">
      <c r="A110" s="47"/>
      <c r="B110" s="45" t="s">
        <v>695</v>
      </c>
      <c r="C110" s="46">
        <v>2</v>
      </c>
      <c r="D110" s="46" t="s">
        <v>699</v>
      </c>
      <c r="E110" s="38"/>
      <c r="F110" s="49"/>
      <c r="G110" s="49"/>
      <c r="H110" s="49"/>
      <c r="I110" s="49"/>
    </row>
    <row r="111" ht="15.75" customHeight="1" spans="1:9">
      <c r="A111" s="47"/>
      <c r="B111" s="45" t="s">
        <v>695</v>
      </c>
      <c r="C111" s="46">
        <v>2</v>
      </c>
      <c r="D111" s="54">
        <v>44563</v>
      </c>
      <c r="E111" s="38"/>
      <c r="F111" s="49"/>
      <c r="G111" s="49"/>
      <c r="H111" s="49"/>
      <c r="I111" s="49"/>
    </row>
    <row r="112" ht="15.75" customHeight="1" spans="1:9">
      <c r="A112" s="47"/>
      <c r="B112" s="45" t="s">
        <v>695</v>
      </c>
      <c r="C112" s="46">
        <v>2</v>
      </c>
      <c r="D112" s="55">
        <v>44593</v>
      </c>
      <c r="E112" s="38"/>
      <c r="F112" s="49"/>
      <c r="G112" s="49"/>
      <c r="H112" s="49"/>
      <c r="I112" s="49"/>
    </row>
    <row r="113" ht="15.75" customHeight="1" spans="1:9">
      <c r="A113" s="47"/>
      <c r="B113" s="45" t="s">
        <v>695</v>
      </c>
      <c r="C113" s="46">
        <v>3</v>
      </c>
      <c r="D113" s="46">
        <v>3</v>
      </c>
      <c r="E113" s="38"/>
      <c r="F113" s="49"/>
      <c r="G113" s="49"/>
      <c r="H113" s="49"/>
      <c r="I113" s="49"/>
    </row>
    <row r="114" ht="15.75" customHeight="1" spans="1:9">
      <c r="A114" s="47"/>
      <c r="B114" s="45" t="s">
        <v>695</v>
      </c>
      <c r="C114" s="46">
        <v>3</v>
      </c>
      <c r="D114" s="46" t="s">
        <v>700</v>
      </c>
      <c r="E114" s="38"/>
      <c r="F114" s="49"/>
      <c r="G114" s="49"/>
      <c r="H114" s="49"/>
      <c r="I114" s="49"/>
    </row>
    <row r="115" ht="15.75" customHeight="1" spans="1:9">
      <c r="A115" s="47"/>
      <c r="B115" s="45" t="s">
        <v>695</v>
      </c>
      <c r="C115" s="46">
        <v>3</v>
      </c>
      <c r="D115" s="46" t="s">
        <v>701</v>
      </c>
      <c r="E115" s="38"/>
      <c r="F115" s="49"/>
      <c r="G115" s="49"/>
      <c r="H115" s="49"/>
      <c r="I115" s="49"/>
    </row>
    <row r="116" ht="15.75" customHeight="1" spans="1:9">
      <c r="A116" s="47"/>
      <c r="B116" s="45" t="s">
        <v>695</v>
      </c>
      <c r="C116" s="46">
        <v>3</v>
      </c>
      <c r="D116" s="54">
        <v>44564</v>
      </c>
      <c r="E116" s="38"/>
      <c r="F116" s="49"/>
      <c r="G116" s="49"/>
      <c r="H116" s="49"/>
      <c r="I116" s="49"/>
    </row>
    <row r="117" ht="15.75" customHeight="1" spans="1:9">
      <c r="A117" s="47"/>
      <c r="B117" s="45" t="s">
        <v>695</v>
      </c>
      <c r="C117" s="46">
        <v>3</v>
      </c>
      <c r="D117" s="55">
        <v>44621</v>
      </c>
      <c r="E117" s="38"/>
      <c r="F117" s="49"/>
      <c r="G117" s="49"/>
      <c r="H117" s="49"/>
      <c r="I117" s="49"/>
    </row>
    <row r="118" ht="15.75" customHeight="1" spans="1:9">
      <c r="A118" s="47"/>
      <c r="B118" s="45" t="s">
        <v>695</v>
      </c>
      <c r="C118" s="46">
        <v>4</v>
      </c>
      <c r="D118" s="46">
        <v>4</v>
      </c>
      <c r="E118" s="38"/>
      <c r="F118" s="49"/>
      <c r="G118" s="49"/>
      <c r="H118" s="49"/>
      <c r="I118" s="49"/>
    </row>
    <row r="119" ht="15.75" customHeight="1" spans="1:9">
      <c r="A119" s="47"/>
      <c r="B119" s="45" t="s">
        <v>695</v>
      </c>
      <c r="C119" s="46">
        <v>4</v>
      </c>
      <c r="D119" s="46" t="s">
        <v>702</v>
      </c>
      <c r="E119" s="38"/>
      <c r="F119" s="49"/>
      <c r="G119" s="49"/>
      <c r="H119" s="49"/>
      <c r="I119" s="49"/>
    </row>
    <row r="120" ht="15.75" customHeight="1" spans="1:9">
      <c r="A120" s="47"/>
      <c r="B120" s="45" t="s">
        <v>695</v>
      </c>
      <c r="C120" s="46">
        <v>4</v>
      </c>
      <c r="D120" s="46" t="s">
        <v>703</v>
      </c>
      <c r="E120" s="38"/>
      <c r="F120" s="49"/>
      <c r="G120" s="49"/>
      <c r="H120" s="49"/>
      <c r="I120" s="49"/>
    </row>
    <row r="121" ht="15.75" customHeight="1" spans="1:9">
      <c r="A121" s="47"/>
      <c r="B121" s="45" t="s">
        <v>695</v>
      </c>
      <c r="C121" s="46">
        <v>4</v>
      </c>
      <c r="D121" s="54">
        <v>44565</v>
      </c>
      <c r="E121" s="38"/>
      <c r="F121" s="49"/>
      <c r="G121" s="49"/>
      <c r="H121" s="49"/>
      <c r="I121" s="49"/>
    </row>
    <row r="122" ht="15.75" customHeight="1" spans="1:9">
      <c r="A122" s="47"/>
      <c r="B122" s="45" t="s">
        <v>695</v>
      </c>
      <c r="C122" s="46">
        <v>4</v>
      </c>
      <c r="D122" s="55">
        <v>44652</v>
      </c>
      <c r="E122" s="38"/>
      <c r="F122" s="49"/>
      <c r="G122" s="49"/>
      <c r="H122" s="49"/>
      <c r="I122" s="49"/>
    </row>
    <row r="123" ht="15.75" customHeight="1" spans="1:9">
      <c r="A123" s="47"/>
      <c r="B123" s="45" t="s">
        <v>695</v>
      </c>
      <c r="C123" s="46">
        <v>5</v>
      </c>
      <c r="D123" s="46">
        <v>5</v>
      </c>
      <c r="E123" s="52"/>
      <c r="F123" s="49"/>
      <c r="G123" s="49"/>
      <c r="H123" s="49"/>
      <c r="I123" s="49"/>
    </row>
    <row r="124" ht="15.75" customHeight="1" spans="1:9">
      <c r="A124" s="47"/>
      <c r="B124" s="45" t="s">
        <v>695</v>
      </c>
      <c r="C124" s="46">
        <v>5</v>
      </c>
      <c r="D124" s="46" t="s">
        <v>704</v>
      </c>
      <c r="E124" s="38"/>
      <c r="F124" s="49"/>
      <c r="G124" s="49"/>
      <c r="H124" s="49"/>
      <c r="I124" s="49"/>
    </row>
    <row r="125" ht="15.75" customHeight="1" spans="1:9">
      <c r="A125" s="47"/>
      <c r="B125" s="45" t="s">
        <v>695</v>
      </c>
      <c r="C125" s="46">
        <v>5</v>
      </c>
      <c r="D125" s="46" t="s">
        <v>704</v>
      </c>
      <c r="E125" s="38"/>
      <c r="F125" s="49"/>
      <c r="G125" s="49"/>
      <c r="H125" s="49"/>
      <c r="I125" s="49"/>
    </row>
    <row r="126" ht="15.75" customHeight="1" spans="1:9">
      <c r="A126" s="47"/>
      <c r="B126" s="45" t="s">
        <v>695</v>
      </c>
      <c r="C126" s="46">
        <v>5</v>
      </c>
      <c r="D126" s="54">
        <v>44566</v>
      </c>
      <c r="E126" s="38"/>
      <c r="F126" s="49"/>
      <c r="G126" s="49"/>
      <c r="H126" s="49"/>
      <c r="I126" s="49"/>
    </row>
    <row r="127" ht="15.75" customHeight="1" spans="1:9">
      <c r="A127" s="47"/>
      <c r="B127" s="45" t="s">
        <v>695</v>
      </c>
      <c r="C127" s="46">
        <v>5</v>
      </c>
      <c r="D127" s="55">
        <v>44682</v>
      </c>
      <c r="E127" s="38"/>
      <c r="F127" s="49"/>
      <c r="G127" s="49"/>
      <c r="H127" s="49"/>
      <c r="I127" s="49"/>
    </row>
    <row r="128" ht="15.75" customHeight="1" spans="1:9">
      <c r="A128" s="47"/>
      <c r="B128" s="45" t="s">
        <v>695</v>
      </c>
      <c r="C128" s="46">
        <v>6</v>
      </c>
      <c r="D128" s="46">
        <v>6</v>
      </c>
      <c r="E128" s="38"/>
      <c r="F128" s="49"/>
      <c r="G128" s="49"/>
      <c r="H128" s="49"/>
      <c r="I128" s="49"/>
    </row>
    <row r="129" ht="15.75" customHeight="1" spans="1:9">
      <c r="A129" s="47"/>
      <c r="B129" s="45" t="s">
        <v>695</v>
      </c>
      <c r="C129" s="46">
        <v>6</v>
      </c>
      <c r="D129" s="46" t="s">
        <v>705</v>
      </c>
      <c r="E129" s="38"/>
      <c r="F129" s="49"/>
      <c r="G129" s="49"/>
      <c r="H129" s="49"/>
      <c r="I129" s="49"/>
    </row>
    <row r="130" ht="15.75" customHeight="1" spans="1:9">
      <c r="A130" s="47"/>
      <c r="B130" s="45" t="s">
        <v>695</v>
      </c>
      <c r="C130" s="46">
        <v>6</v>
      </c>
      <c r="D130" s="46" t="s">
        <v>706</v>
      </c>
      <c r="E130" s="38"/>
      <c r="F130" s="49"/>
      <c r="G130" s="49"/>
      <c r="H130" s="49"/>
      <c r="I130" s="49"/>
    </row>
    <row r="131" ht="15.75" customHeight="1" spans="1:9">
      <c r="A131" s="47"/>
      <c r="B131" s="45" t="s">
        <v>695</v>
      </c>
      <c r="C131" s="46">
        <v>6</v>
      </c>
      <c r="D131" s="54">
        <v>44567</v>
      </c>
      <c r="E131" s="38"/>
      <c r="F131" s="49"/>
      <c r="G131" s="49"/>
      <c r="H131" s="49"/>
      <c r="I131" s="49"/>
    </row>
    <row r="132" ht="15.75" customHeight="1" spans="1:9">
      <c r="A132" s="47"/>
      <c r="B132" s="45" t="s">
        <v>695</v>
      </c>
      <c r="C132" s="46">
        <v>6</v>
      </c>
      <c r="D132" s="55">
        <v>44713</v>
      </c>
      <c r="E132" s="38"/>
      <c r="F132" s="49"/>
      <c r="G132" s="49"/>
      <c r="H132" s="49"/>
      <c r="I132" s="49"/>
    </row>
    <row r="133" ht="15.75" customHeight="1" spans="1:9">
      <c r="A133" s="47"/>
      <c r="B133" s="45" t="s">
        <v>695</v>
      </c>
      <c r="C133" s="46">
        <v>7</v>
      </c>
      <c r="D133" s="46">
        <v>7</v>
      </c>
      <c r="E133" s="38"/>
      <c r="F133" s="49"/>
      <c r="G133" s="49"/>
      <c r="H133" s="49"/>
      <c r="I133" s="49"/>
    </row>
    <row r="134" ht="15.75" customHeight="1" spans="1:9">
      <c r="A134" s="47"/>
      <c r="B134" s="45" t="s">
        <v>695</v>
      </c>
      <c r="C134" s="46">
        <v>7</v>
      </c>
      <c r="D134" s="46" t="s">
        <v>707</v>
      </c>
      <c r="E134" s="38"/>
      <c r="F134" s="49"/>
      <c r="G134" s="49"/>
      <c r="H134" s="49"/>
      <c r="I134" s="49"/>
    </row>
    <row r="135" ht="15.75" customHeight="1" spans="1:9">
      <c r="A135" s="47"/>
      <c r="B135" s="45" t="s">
        <v>695</v>
      </c>
      <c r="C135" s="46">
        <v>7</v>
      </c>
      <c r="D135" s="55">
        <v>44743</v>
      </c>
      <c r="E135" s="38"/>
      <c r="F135" s="49"/>
      <c r="G135" s="49"/>
      <c r="H135" s="49"/>
      <c r="I135" s="49"/>
    </row>
    <row r="136" ht="15.75" customHeight="1" spans="1:9">
      <c r="A136" s="47"/>
      <c r="B136" s="45" t="s">
        <v>695</v>
      </c>
      <c r="C136" s="46">
        <v>8</v>
      </c>
      <c r="D136" s="46">
        <v>8</v>
      </c>
      <c r="E136" s="38"/>
      <c r="F136" s="49"/>
      <c r="G136" s="49"/>
      <c r="H136" s="49"/>
      <c r="I136" s="49"/>
    </row>
    <row r="137" ht="15.75" customHeight="1" spans="1:9">
      <c r="A137" s="47"/>
      <c r="B137" s="45" t="s">
        <v>695</v>
      </c>
      <c r="C137" s="46">
        <v>8</v>
      </c>
      <c r="D137" s="46" t="s">
        <v>708</v>
      </c>
      <c r="E137" s="52"/>
      <c r="F137" s="49"/>
      <c r="G137" s="49"/>
      <c r="H137" s="49"/>
      <c r="I137" s="49"/>
    </row>
    <row r="138" ht="15.75" customHeight="1" spans="1:9">
      <c r="A138" s="47"/>
      <c r="B138" s="45" t="s">
        <v>695</v>
      </c>
      <c r="C138" s="46">
        <v>8</v>
      </c>
      <c r="D138" s="46" t="s">
        <v>709</v>
      </c>
      <c r="E138" s="52"/>
      <c r="F138" s="49"/>
      <c r="G138" s="49"/>
      <c r="H138" s="49"/>
      <c r="I138" s="49"/>
    </row>
    <row r="139" ht="15.75" customHeight="1" spans="1:9">
      <c r="A139" s="47"/>
      <c r="B139" s="45" t="s">
        <v>695</v>
      </c>
      <c r="C139" s="46">
        <v>8</v>
      </c>
      <c r="D139" s="55">
        <v>44774</v>
      </c>
      <c r="E139" s="38"/>
      <c r="F139" s="49"/>
      <c r="G139" s="49"/>
      <c r="H139" s="49"/>
      <c r="I139" s="49"/>
    </row>
    <row r="140" ht="15.75" customHeight="1" spans="1:9">
      <c r="A140" s="47"/>
      <c r="B140" s="45" t="s">
        <v>695</v>
      </c>
      <c r="C140" s="46">
        <v>9</v>
      </c>
      <c r="D140" s="46">
        <v>9</v>
      </c>
      <c r="E140" s="38"/>
      <c r="F140" s="49"/>
      <c r="G140" s="49"/>
      <c r="H140" s="49"/>
      <c r="I140" s="49"/>
    </row>
    <row r="141" ht="15.75" customHeight="1" spans="1:9">
      <c r="A141" s="47"/>
      <c r="B141" s="45" t="s">
        <v>695</v>
      </c>
      <c r="C141" s="46">
        <v>9</v>
      </c>
      <c r="D141" s="46" t="s">
        <v>710</v>
      </c>
      <c r="E141" s="38"/>
      <c r="F141" s="49"/>
      <c r="G141" s="49"/>
      <c r="H141" s="49"/>
      <c r="I141" s="49"/>
    </row>
    <row r="142" ht="15.75" customHeight="1" spans="1:9">
      <c r="A142" s="47"/>
      <c r="B142" s="45" t="s">
        <v>695</v>
      </c>
      <c r="C142" s="46">
        <v>9</v>
      </c>
      <c r="D142" s="46" t="s">
        <v>711</v>
      </c>
      <c r="E142" s="38"/>
      <c r="F142" s="49"/>
      <c r="G142" s="49"/>
      <c r="H142" s="49"/>
      <c r="I142" s="49"/>
    </row>
    <row r="143" ht="15.75" customHeight="1" spans="1:9">
      <c r="A143" s="47"/>
      <c r="B143" s="45" t="s">
        <v>695</v>
      </c>
      <c r="C143" s="46">
        <v>9</v>
      </c>
      <c r="D143" s="55">
        <v>44805</v>
      </c>
      <c r="E143" s="38"/>
      <c r="F143" s="49"/>
      <c r="G143" s="49"/>
      <c r="H143" s="49"/>
      <c r="I143" s="49"/>
    </row>
    <row r="144" ht="15.75" customHeight="1" spans="1:9">
      <c r="A144" s="47"/>
      <c r="B144" s="45" t="s">
        <v>695</v>
      </c>
      <c r="C144" s="46">
        <v>10</v>
      </c>
      <c r="D144" s="46">
        <v>10</v>
      </c>
      <c r="E144" s="38"/>
      <c r="F144" s="49"/>
      <c r="G144" s="49"/>
      <c r="H144" s="49"/>
      <c r="I144" s="49"/>
    </row>
    <row r="145" ht="15.75" customHeight="1" spans="1:9">
      <c r="A145" s="47"/>
      <c r="B145" s="45" t="s">
        <v>695</v>
      </c>
      <c r="C145" s="46">
        <v>10</v>
      </c>
      <c r="D145" s="46" t="s">
        <v>712</v>
      </c>
      <c r="E145" s="38"/>
      <c r="F145" s="49"/>
      <c r="G145" s="49"/>
      <c r="H145" s="49"/>
      <c r="I145" s="49"/>
    </row>
    <row r="146" ht="15.75" customHeight="1" spans="1:9">
      <c r="A146" s="47"/>
      <c r="B146" s="45" t="s">
        <v>695</v>
      </c>
      <c r="C146" s="46">
        <v>10</v>
      </c>
      <c r="D146" s="46" t="s">
        <v>713</v>
      </c>
      <c r="E146" s="38"/>
      <c r="F146" s="49"/>
      <c r="G146" s="49"/>
      <c r="H146" s="49"/>
      <c r="I146" s="49"/>
    </row>
    <row r="147" ht="15.75" customHeight="1" spans="1:9">
      <c r="A147" s="47"/>
      <c r="B147" s="45" t="s">
        <v>695</v>
      </c>
      <c r="C147" s="46">
        <v>10</v>
      </c>
      <c r="D147" s="55">
        <v>44835</v>
      </c>
      <c r="E147" s="38"/>
      <c r="F147" s="49"/>
      <c r="G147" s="49"/>
      <c r="H147" s="49"/>
      <c r="I147" s="49"/>
    </row>
    <row r="148" ht="15.75" customHeight="1" spans="1:9">
      <c r="A148" s="47"/>
      <c r="B148" s="45" t="s">
        <v>695</v>
      </c>
      <c r="C148" s="46">
        <v>11</v>
      </c>
      <c r="D148" s="46">
        <v>11</v>
      </c>
      <c r="E148" s="38"/>
      <c r="F148" s="49"/>
      <c r="G148" s="49"/>
      <c r="H148" s="49"/>
      <c r="I148" s="49"/>
    </row>
    <row r="149" ht="15.75" customHeight="1" spans="1:9">
      <c r="A149" s="47"/>
      <c r="B149" s="45" t="s">
        <v>695</v>
      </c>
      <c r="C149" s="46">
        <v>11</v>
      </c>
      <c r="D149" s="46" t="s">
        <v>714</v>
      </c>
      <c r="E149" s="38"/>
      <c r="F149" s="49"/>
      <c r="G149" s="49"/>
      <c r="H149" s="49"/>
      <c r="I149" s="49"/>
    </row>
    <row r="150" ht="15.75" customHeight="1" spans="1:9">
      <c r="A150" s="47"/>
      <c r="B150" s="45" t="s">
        <v>695</v>
      </c>
      <c r="C150" s="46">
        <v>11</v>
      </c>
      <c r="D150" s="46" t="s">
        <v>715</v>
      </c>
      <c r="E150" s="38"/>
      <c r="F150" s="49"/>
      <c r="G150" s="49"/>
      <c r="H150" s="49"/>
      <c r="I150" s="49"/>
    </row>
    <row r="151" ht="15.75" customHeight="1" spans="1:9">
      <c r="A151" s="47"/>
      <c r="B151" s="45" t="s">
        <v>695</v>
      </c>
      <c r="C151" s="46">
        <v>11</v>
      </c>
      <c r="D151" s="55">
        <v>44866</v>
      </c>
      <c r="E151" s="52"/>
      <c r="F151" s="49"/>
      <c r="G151" s="49"/>
      <c r="H151" s="49"/>
      <c r="I151" s="49"/>
    </row>
    <row r="152" ht="15.75" customHeight="1" spans="1:9">
      <c r="A152" s="47"/>
      <c r="B152" s="45" t="s">
        <v>695</v>
      </c>
      <c r="C152" s="46">
        <v>12</v>
      </c>
      <c r="D152" s="46">
        <v>12</v>
      </c>
      <c r="E152" s="38"/>
      <c r="F152" s="49"/>
      <c r="G152" s="49"/>
      <c r="H152" s="49"/>
      <c r="I152" s="49"/>
    </row>
    <row r="153" ht="15.75" customHeight="1" spans="1:9">
      <c r="A153" s="47"/>
      <c r="B153" s="45" t="s">
        <v>695</v>
      </c>
      <c r="C153" s="46">
        <v>12</v>
      </c>
      <c r="D153" s="46" t="s">
        <v>716</v>
      </c>
      <c r="E153" s="38"/>
      <c r="F153" s="49"/>
      <c r="G153" s="49"/>
      <c r="H153" s="49"/>
      <c r="I153" s="49"/>
    </row>
    <row r="154" ht="15.75" customHeight="1" spans="1:9">
      <c r="A154" s="47"/>
      <c r="B154" s="45" t="s">
        <v>695</v>
      </c>
      <c r="C154" s="46">
        <v>12</v>
      </c>
      <c r="D154" s="46" t="s">
        <v>717</v>
      </c>
      <c r="E154" s="38"/>
      <c r="F154" s="49"/>
      <c r="G154" s="49"/>
      <c r="H154" s="49"/>
      <c r="I154" s="49"/>
    </row>
    <row r="155" ht="15.75" customHeight="1" spans="1:9">
      <c r="A155" s="47"/>
      <c r="B155" s="45" t="s">
        <v>695</v>
      </c>
      <c r="C155" s="46">
        <v>12</v>
      </c>
      <c r="D155" s="55">
        <v>44896</v>
      </c>
      <c r="E155" s="38"/>
      <c r="F155" s="49"/>
      <c r="G155" s="49"/>
      <c r="H155" s="49"/>
      <c r="I155" s="49"/>
    </row>
    <row r="156" ht="15.75" customHeight="1" spans="1:9">
      <c r="A156" s="47"/>
      <c r="B156" s="45" t="s">
        <v>718</v>
      </c>
      <c r="C156" s="46">
        <v>2017</v>
      </c>
      <c r="D156" s="46" t="s">
        <v>719</v>
      </c>
      <c r="E156" s="38"/>
      <c r="F156" s="49"/>
      <c r="G156" s="49"/>
      <c r="H156" s="49"/>
      <c r="I156" s="49"/>
    </row>
    <row r="157" ht="15.75" customHeight="1" spans="1:9">
      <c r="A157" s="47"/>
      <c r="B157" s="45" t="s">
        <v>718</v>
      </c>
      <c r="C157" s="46">
        <v>2017</v>
      </c>
      <c r="D157" s="46" t="s">
        <v>720</v>
      </c>
      <c r="E157" s="38"/>
      <c r="F157" s="49"/>
      <c r="G157" s="49"/>
      <c r="H157" s="49"/>
      <c r="I157" s="49"/>
    </row>
    <row r="158" ht="15.75" customHeight="1" spans="1:9">
      <c r="A158" s="47"/>
      <c r="B158" s="45" t="s">
        <v>718</v>
      </c>
      <c r="C158" s="46">
        <v>2018</v>
      </c>
      <c r="D158" s="46" t="s">
        <v>721</v>
      </c>
      <c r="E158" s="38"/>
      <c r="F158" s="49"/>
      <c r="G158" s="49"/>
      <c r="H158" s="49"/>
      <c r="I158" s="49"/>
    </row>
    <row r="159" ht="15.75" customHeight="1" spans="1:9">
      <c r="A159" s="47"/>
      <c r="B159" s="45" t="s">
        <v>718</v>
      </c>
      <c r="C159" s="46">
        <v>2018</v>
      </c>
      <c r="D159" s="46" t="s">
        <v>722</v>
      </c>
      <c r="E159" s="38"/>
      <c r="F159" s="49"/>
      <c r="G159" s="49"/>
      <c r="H159" s="49"/>
      <c r="I159" s="49"/>
    </row>
    <row r="160" ht="15.75" customHeight="1" spans="1:9">
      <c r="A160" s="47"/>
      <c r="B160" s="45" t="s">
        <v>718</v>
      </c>
      <c r="C160" s="46">
        <v>2019</v>
      </c>
      <c r="D160" s="46" t="s">
        <v>723</v>
      </c>
      <c r="E160" s="38"/>
      <c r="F160" s="49"/>
      <c r="G160" s="49"/>
      <c r="H160" s="49"/>
      <c r="I160" s="49"/>
    </row>
    <row r="161" ht="15.75" customHeight="1" spans="1:9">
      <c r="A161" s="47"/>
      <c r="B161" s="45" t="s">
        <v>718</v>
      </c>
      <c r="C161" s="46">
        <v>2019</v>
      </c>
      <c r="D161" s="46" t="s">
        <v>724</v>
      </c>
      <c r="E161" s="52"/>
      <c r="F161" s="49"/>
      <c r="G161" s="49"/>
      <c r="H161" s="49"/>
      <c r="I161" s="49"/>
    </row>
    <row r="162" ht="15.75" customHeight="1" spans="1:9">
      <c r="A162" s="47"/>
      <c r="B162" s="45" t="s">
        <v>718</v>
      </c>
      <c r="C162" s="46">
        <v>2020</v>
      </c>
      <c r="D162" s="46" t="s">
        <v>725</v>
      </c>
      <c r="E162" s="52"/>
      <c r="F162" s="49"/>
      <c r="G162" s="49"/>
      <c r="H162" s="49"/>
      <c r="I162" s="49"/>
    </row>
    <row r="163" ht="15.75" customHeight="1" spans="1:9">
      <c r="A163" s="47"/>
      <c r="B163" s="45" t="s">
        <v>718</v>
      </c>
      <c r="C163" s="46">
        <v>2020</v>
      </c>
      <c r="D163" s="46" t="s">
        <v>726</v>
      </c>
      <c r="E163" s="38"/>
      <c r="F163" s="49"/>
      <c r="G163" s="49"/>
      <c r="H163" s="49"/>
      <c r="I163" s="49"/>
    </row>
    <row r="164" ht="15.75" customHeight="1" spans="1:9">
      <c r="A164" s="47"/>
      <c r="B164" s="45" t="s">
        <v>718</v>
      </c>
      <c r="C164" s="46">
        <v>2021</v>
      </c>
      <c r="D164" s="46" t="s">
        <v>727</v>
      </c>
      <c r="E164" s="38"/>
      <c r="F164" s="49"/>
      <c r="G164" s="49"/>
      <c r="H164" s="49"/>
      <c r="I164" s="49"/>
    </row>
    <row r="165" ht="15.75" customHeight="1" spans="1:9">
      <c r="A165" s="47"/>
      <c r="B165" s="45" t="s">
        <v>718</v>
      </c>
      <c r="C165" s="46">
        <v>2021</v>
      </c>
      <c r="D165" s="46" t="s">
        <v>728</v>
      </c>
      <c r="E165" s="38"/>
      <c r="F165" s="49"/>
      <c r="G165" s="49"/>
      <c r="H165" s="49"/>
      <c r="I165" s="49"/>
    </row>
    <row r="166" ht="15.75" customHeight="1" spans="1:9">
      <c r="A166" s="47"/>
      <c r="B166" s="45" t="s">
        <v>718</v>
      </c>
      <c r="C166" s="46">
        <v>2022</v>
      </c>
      <c r="D166" s="46" t="s">
        <v>729</v>
      </c>
      <c r="E166" s="38"/>
      <c r="F166" s="49"/>
      <c r="G166" s="49"/>
      <c r="H166" s="49"/>
      <c r="I166" s="49"/>
    </row>
    <row r="167" ht="15.75" customHeight="1" spans="1:9">
      <c r="A167" s="47"/>
      <c r="B167" s="45" t="s">
        <v>718</v>
      </c>
      <c r="C167" s="46">
        <v>2022</v>
      </c>
      <c r="D167" s="46" t="s">
        <v>730</v>
      </c>
      <c r="E167" s="38"/>
      <c r="F167" s="49"/>
      <c r="G167" s="49"/>
      <c r="H167" s="49"/>
      <c r="I167" s="49"/>
    </row>
    <row r="168" ht="15.75" customHeight="1" spans="1:9">
      <c r="A168" s="47"/>
      <c r="B168" s="45" t="s">
        <v>718</v>
      </c>
      <c r="C168" s="46">
        <v>2023</v>
      </c>
      <c r="D168" s="46" t="s">
        <v>731</v>
      </c>
      <c r="E168" s="38"/>
      <c r="F168" s="49"/>
      <c r="G168" s="49"/>
      <c r="H168" s="49"/>
      <c r="I168" s="49"/>
    </row>
    <row r="169" ht="15.75" customHeight="1" spans="1:9">
      <c r="A169" s="47"/>
      <c r="B169" s="45" t="s">
        <v>718</v>
      </c>
      <c r="C169" s="46">
        <v>2023</v>
      </c>
      <c r="D169" s="46" t="s">
        <v>732</v>
      </c>
      <c r="E169" s="38"/>
      <c r="F169" s="49"/>
      <c r="G169" s="49"/>
      <c r="H169" s="49"/>
      <c r="I169" s="49"/>
    </row>
    <row r="170" ht="15.75" customHeight="1" spans="1:9">
      <c r="A170" s="47"/>
      <c r="B170" s="45" t="s">
        <v>733</v>
      </c>
      <c r="C170" s="46">
        <v>1</v>
      </c>
      <c r="D170" s="46">
        <v>1</v>
      </c>
      <c r="E170" s="38"/>
      <c r="F170" s="49"/>
      <c r="G170" s="49"/>
      <c r="H170" s="49"/>
      <c r="I170" s="49"/>
    </row>
    <row r="171" ht="15.75" customHeight="1" spans="1:9">
      <c r="A171" s="47"/>
      <c r="B171" s="45" t="s">
        <v>733</v>
      </c>
      <c r="C171" s="46">
        <v>2</v>
      </c>
      <c r="D171" s="46">
        <v>2</v>
      </c>
      <c r="E171" s="38"/>
      <c r="F171" s="49"/>
      <c r="G171" s="49"/>
      <c r="H171" s="49"/>
      <c r="I171" s="49"/>
    </row>
    <row r="172" ht="15.75" customHeight="1" spans="1:9">
      <c r="A172" s="47"/>
      <c r="B172" s="45" t="s">
        <v>733</v>
      </c>
      <c r="C172" s="46">
        <v>3</v>
      </c>
      <c r="D172" s="46">
        <v>3</v>
      </c>
      <c r="E172" s="38"/>
      <c r="F172" s="49"/>
      <c r="G172" s="49"/>
      <c r="H172" s="49"/>
      <c r="I172" s="49"/>
    </row>
    <row r="173" ht="15.75" customHeight="1" spans="1:9">
      <c r="A173" s="47"/>
      <c r="B173" s="45" t="s">
        <v>733</v>
      </c>
      <c r="C173" s="46">
        <v>4</v>
      </c>
      <c r="D173" s="46">
        <v>4</v>
      </c>
      <c r="E173" s="38"/>
      <c r="F173" s="49"/>
      <c r="G173" s="49"/>
      <c r="H173" s="49"/>
      <c r="I173" s="49"/>
    </row>
    <row r="174" ht="15.75" customHeight="1" spans="1:9">
      <c r="A174" s="47"/>
      <c r="B174" s="45" t="s">
        <v>733</v>
      </c>
      <c r="C174" s="46">
        <v>1</v>
      </c>
      <c r="D174" s="46" t="s">
        <v>734</v>
      </c>
      <c r="E174" s="38"/>
      <c r="F174" s="49"/>
      <c r="G174" s="49"/>
      <c r="H174" s="49"/>
      <c r="I174" s="49"/>
    </row>
    <row r="175" ht="15.75" customHeight="1" spans="1:9">
      <c r="A175" s="47"/>
      <c r="B175" s="45" t="s">
        <v>733</v>
      </c>
      <c r="C175" s="46">
        <v>2</v>
      </c>
      <c r="D175" s="46" t="s">
        <v>735</v>
      </c>
      <c r="E175" s="38"/>
      <c r="F175" s="49"/>
      <c r="G175" s="49"/>
      <c r="H175" s="49"/>
      <c r="I175" s="49"/>
    </row>
    <row r="176" ht="15.75" customHeight="1" spans="1:9">
      <c r="A176" s="47"/>
      <c r="B176" s="45" t="s">
        <v>733</v>
      </c>
      <c r="C176" s="46">
        <v>3</v>
      </c>
      <c r="D176" s="46" t="s">
        <v>736</v>
      </c>
      <c r="E176" s="52"/>
      <c r="F176" s="49"/>
      <c r="G176" s="49"/>
      <c r="H176" s="49"/>
      <c r="I176" s="49"/>
    </row>
    <row r="177" ht="15.75" customHeight="1" spans="1:9">
      <c r="A177" s="47"/>
      <c r="B177" s="45" t="s">
        <v>733</v>
      </c>
      <c r="C177" s="46">
        <v>4</v>
      </c>
      <c r="D177" s="46" t="s">
        <v>737</v>
      </c>
      <c r="E177" s="38"/>
      <c r="F177" s="49"/>
      <c r="G177" s="49"/>
      <c r="H177" s="49"/>
      <c r="I177" s="49"/>
    </row>
    <row r="178" ht="15.75" customHeight="1" spans="1:9">
      <c r="A178" s="47"/>
      <c r="B178" s="45" t="s">
        <v>733</v>
      </c>
      <c r="C178" s="56">
        <v>1</v>
      </c>
      <c r="D178" s="46" t="s">
        <v>738</v>
      </c>
      <c r="E178" s="38"/>
      <c r="F178" s="49"/>
      <c r="G178" s="49"/>
      <c r="H178" s="49"/>
      <c r="I178" s="49"/>
    </row>
    <row r="179" ht="15.75" customHeight="1" spans="1:9">
      <c r="A179" s="47"/>
      <c r="B179" s="45" t="s">
        <v>733</v>
      </c>
      <c r="C179" s="56">
        <v>2</v>
      </c>
      <c r="D179" s="46" t="s">
        <v>739</v>
      </c>
      <c r="E179" s="38"/>
      <c r="F179" s="49"/>
      <c r="G179" s="49"/>
      <c r="H179" s="49"/>
      <c r="I179" s="49"/>
    </row>
    <row r="180" ht="15.75" customHeight="1" spans="1:9">
      <c r="A180" s="47"/>
      <c r="B180" s="45" t="s">
        <v>733</v>
      </c>
      <c r="C180" s="56">
        <v>3</v>
      </c>
      <c r="D180" s="46" t="s">
        <v>740</v>
      </c>
      <c r="E180" s="38"/>
      <c r="F180" s="49"/>
      <c r="G180" s="49"/>
      <c r="H180" s="49"/>
      <c r="I180" s="49"/>
    </row>
    <row r="181" ht="15.75" customHeight="1" spans="1:9">
      <c r="A181" s="47"/>
      <c r="B181" s="45" t="s">
        <v>733</v>
      </c>
      <c r="C181" s="56">
        <v>4</v>
      </c>
      <c r="D181" s="46" t="s">
        <v>741</v>
      </c>
      <c r="E181" s="38"/>
      <c r="F181" s="49"/>
      <c r="G181" s="49"/>
      <c r="H181" s="49"/>
      <c r="I181" s="49"/>
    </row>
    <row r="182" ht="15.75" customHeight="1" spans="1:9">
      <c r="A182" s="47"/>
      <c r="B182" s="57" t="s">
        <v>742</v>
      </c>
      <c r="C182" s="56" t="s">
        <v>743</v>
      </c>
      <c r="D182" s="46" t="s">
        <v>744</v>
      </c>
      <c r="E182" s="38"/>
      <c r="F182" s="49"/>
      <c r="G182" s="49"/>
      <c r="H182" s="49"/>
      <c r="I182" s="49"/>
    </row>
    <row r="183" ht="15.75" customHeight="1" spans="1:9">
      <c r="A183" s="47"/>
      <c r="B183" s="57" t="s">
        <v>742</v>
      </c>
      <c r="C183" s="56" t="s">
        <v>743</v>
      </c>
      <c r="D183" s="46" t="s">
        <v>745</v>
      </c>
      <c r="E183" s="38"/>
      <c r="F183" s="49"/>
      <c r="G183" s="49"/>
      <c r="H183" s="49"/>
      <c r="I183" s="49"/>
    </row>
    <row r="184" ht="15.75" customHeight="1" spans="1:9">
      <c r="A184" s="47"/>
      <c r="B184" s="57" t="s">
        <v>742</v>
      </c>
      <c r="C184" s="56" t="s">
        <v>743</v>
      </c>
      <c r="D184" s="46" t="s">
        <v>746</v>
      </c>
      <c r="E184" s="38"/>
      <c r="F184" s="49"/>
      <c r="G184" s="49"/>
      <c r="H184" s="49"/>
      <c r="I184" s="49"/>
    </row>
    <row r="185" ht="15.75" customHeight="1" spans="1:9">
      <c r="A185" s="47"/>
      <c r="B185" s="57" t="s">
        <v>742</v>
      </c>
      <c r="C185" s="56" t="s">
        <v>743</v>
      </c>
      <c r="D185" s="46" t="s">
        <v>747</v>
      </c>
      <c r="E185" s="38"/>
      <c r="F185" s="49"/>
      <c r="G185" s="49"/>
      <c r="H185" s="49"/>
      <c r="I185" s="49"/>
    </row>
    <row r="186" ht="15.75" customHeight="1" spans="1:9">
      <c r="A186" s="47"/>
      <c r="B186" s="57" t="s">
        <v>742</v>
      </c>
      <c r="C186" s="56" t="s">
        <v>743</v>
      </c>
      <c r="D186" s="46" t="s">
        <v>748</v>
      </c>
      <c r="E186" s="38"/>
      <c r="F186" s="49"/>
      <c r="G186" s="49"/>
      <c r="H186" s="49"/>
      <c r="I186" s="49"/>
    </row>
    <row r="187" ht="15.75" customHeight="1" spans="1:9">
      <c r="A187" s="47"/>
      <c r="B187" s="57" t="s">
        <v>742</v>
      </c>
      <c r="C187" s="56" t="s">
        <v>749</v>
      </c>
      <c r="D187" s="46" t="s">
        <v>750</v>
      </c>
      <c r="E187" s="52"/>
      <c r="F187" s="49"/>
      <c r="G187" s="49"/>
      <c r="H187" s="49"/>
      <c r="I187" s="49"/>
    </row>
    <row r="188" ht="15.75" customHeight="1" spans="1:9">
      <c r="A188" s="47"/>
      <c r="B188" s="57" t="s">
        <v>742</v>
      </c>
      <c r="C188" s="56" t="s">
        <v>749</v>
      </c>
      <c r="D188" s="46" t="s">
        <v>751</v>
      </c>
      <c r="E188" s="38"/>
      <c r="F188" s="49"/>
      <c r="G188" s="49"/>
      <c r="H188" s="49"/>
      <c r="I188" s="49"/>
    </row>
    <row r="189" ht="15.75" customHeight="1" spans="1:9">
      <c r="A189" s="47"/>
      <c r="B189" s="57" t="s">
        <v>742</v>
      </c>
      <c r="C189" s="56" t="s">
        <v>749</v>
      </c>
      <c r="D189" s="46" t="s">
        <v>752</v>
      </c>
      <c r="E189" s="38"/>
      <c r="F189" s="49"/>
      <c r="G189" s="49"/>
      <c r="H189" s="49"/>
      <c r="I189" s="49"/>
    </row>
    <row r="190" ht="15.75" customHeight="1" spans="1:9">
      <c r="A190" s="47"/>
      <c r="B190" s="57" t="s">
        <v>742</v>
      </c>
      <c r="C190" s="56" t="s">
        <v>749</v>
      </c>
      <c r="D190" s="46" t="s">
        <v>753</v>
      </c>
      <c r="E190" s="38"/>
      <c r="F190" s="49"/>
      <c r="G190" s="49"/>
      <c r="H190" s="49"/>
      <c r="I190" s="49"/>
    </row>
    <row r="191" ht="15.75" customHeight="1" spans="1:9">
      <c r="A191" s="47"/>
      <c r="B191" s="57" t="s">
        <v>742</v>
      </c>
      <c r="C191" s="56" t="s">
        <v>749</v>
      </c>
      <c r="D191" s="46" t="s">
        <v>754</v>
      </c>
      <c r="E191" s="38"/>
      <c r="F191" s="49"/>
      <c r="G191" s="49"/>
      <c r="H191" s="49"/>
      <c r="I191" s="49"/>
    </row>
    <row r="192" ht="15.75" customHeight="1" spans="1:9">
      <c r="A192" s="47"/>
      <c r="B192" s="57" t="s">
        <v>742</v>
      </c>
      <c r="C192" s="56" t="s">
        <v>755</v>
      </c>
      <c r="D192" s="46" t="s">
        <v>756</v>
      </c>
      <c r="E192" s="38"/>
      <c r="F192" s="49"/>
      <c r="G192" s="49"/>
      <c r="H192" s="49"/>
      <c r="I192" s="49"/>
    </row>
    <row r="193" ht="15.75" customHeight="1" spans="1:9">
      <c r="A193" s="47"/>
      <c r="B193" s="57" t="s">
        <v>742</v>
      </c>
      <c r="C193" s="56" t="s">
        <v>755</v>
      </c>
      <c r="D193" s="46" t="s">
        <v>757</v>
      </c>
      <c r="E193" s="38"/>
      <c r="F193" s="49"/>
      <c r="G193" s="49"/>
      <c r="H193" s="49"/>
      <c r="I193" s="49"/>
    </row>
    <row r="194" ht="15.75" customHeight="1" spans="1:9">
      <c r="A194" s="47"/>
      <c r="B194" s="57" t="s">
        <v>742</v>
      </c>
      <c r="C194" s="56" t="s">
        <v>755</v>
      </c>
      <c r="D194" s="46" t="s">
        <v>758</v>
      </c>
      <c r="E194" s="38"/>
      <c r="F194" s="49"/>
      <c r="G194" s="49"/>
      <c r="H194" s="49"/>
      <c r="I194" s="49"/>
    </row>
    <row r="195" ht="15.75" customHeight="1" spans="1:9">
      <c r="A195" s="47"/>
      <c r="B195" s="57" t="s">
        <v>742</v>
      </c>
      <c r="C195" s="56" t="s">
        <v>755</v>
      </c>
      <c r="D195" s="46" t="s">
        <v>759</v>
      </c>
      <c r="E195" s="38"/>
      <c r="F195" s="49"/>
      <c r="G195" s="49"/>
      <c r="H195" s="49"/>
      <c r="I195" s="49"/>
    </row>
    <row r="196" ht="15.75" customHeight="1" spans="1:9">
      <c r="A196" s="47"/>
      <c r="B196" s="57" t="s">
        <v>742</v>
      </c>
      <c r="C196" s="56" t="s">
        <v>755</v>
      </c>
      <c r="D196" s="46" t="s">
        <v>760</v>
      </c>
      <c r="E196" s="38"/>
      <c r="F196" s="49"/>
      <c r="G196" s="49"/>
      <c r="H196" s="49"/>
      <c r="I196" s="49"/>
    </row>
    <row r="197" ht="15.75" customHeight="1" spans="1:9">
      <c r="A197" s="47"/>
      <c r="B197" s="57" t="s">
        <v>742</v>
      </c>
      <c r="C197" s="56" t="s">
        <v>761</v>
      </c>
      <c r="D197" s="46" t="s">
        <v>762</v>
      </c>
      <c r="E197" s="38"/>
      <c r="F197" s="49"/>
      <c r="G197" s="49"/>
      <c r="H197" s="49"/>
      <c r="I197" s="49"/>
    </row>
    <row r="198" ht="15.75" customHeight="1" spans="1:9">
      <c r="A198" s="47"/>
      <c r="B198" s="57" t="s">
        <v>742</v>
      </c>
      <c r="C198" s="56" t="s">
        <v>761</v>
      </c>
      <c r="D198" s="46" t="s">
        <v>763</v>
      </c>
      <c r="E198" s="38"/>
      <c r="F198" s="49"/>
      <c r="G198" s="49"/>
      <c r="H198" s="49"/>
      <c r="I198" s="49"/>
    </row>
    <row r="199" ht="15.75" customHeight="1" spans="1:9">
      <c r="A199" s="47"/>
      <c r="B199" s="57" t="s">
        <v>742</v>
      </c>
      <c r="C199" s="56" t="s">
        <v>761</v>
      </c>
      <c r="D199" s="46" t="s">
        <v>764</v>
      </c>
      <c r="E199" s="52"/>
      <c r="F199" s="49"/>
      <c r="G199" s="49"/>
      <c r="H199" s="49"/>
      <c r="I199" s="49"/>
    </row>
    <row r="200" ht="15.75" customHeight="1" spans="1:9">
      <c r="A200" s="47"/>
      <c r="B200" s="57" t="s">
        <v>742</v>
      </c>
      <c r="C200" s="56" t="s">
        <v>761</v>
      </c>
      <c r="D200" s="46" t="s">
        <v>765</v>
      </c>
      <c r="E200" s="38"/>
      <c r="F200" s="49"/>
      <c r="G200" s="49"/>
      <c r="H200" s="49"/>
      <c r="I200" s="49"/>
    </row>
    <row r="201" ht="15.75" customHeight="1" spans="1:9">
      <c r="A201" s="47"/>
      <c r="B201" s="57" t="s">
        <v>742</v>
      </c>
      <c r="C201" s="56" t="s">
        <v>761</v>
      </c>
      <c r="D201" s="46" t="s">
        <v>766</v>
      </c>
      <c r="E201" s="38"/>
      <c r="F201" s="49"/>
      <c r="G201" s="49"/>
      <c r="H201" s="49"/>
      <c r="I201" s="49"/>
    </row>
    <row r="202" ht="15.75" customHeight="1" spans="1:9">
      <c r="A202" s="47"/>
      <c r="B202" s="57" t="s">
        <v>742</v>
      </c>
      <c r="C202" s="56" t="s">
        <v>767</v>
      </c>
      <c r="D202" s="46" t="s">
        <v>768</v>
      </c>
      <c r="E202" s="38"/>
      <c r="F202" s="49"/>
      <c r="G202" s="49"/>
      <c r="H202" s="49"/>
      <c r="I202" s="49"/>
    </row>
    <row r="203" ht="15.75" customHeight="1" spans="1:9">
      <c r="A203" s="47"/>
      <c r="B203" s="57" t="s">
        <v>742</v>
      </c>
      <c r="C203" s="56" t="s">
        <v>767</v>
      </c>
      <c r="D203" s="46" t="s">
        <v>769</v>
      </c>
      <c r="E203" s="38"/>
      <c r="F203" s="49"/>
      <c r="G203" s="49"/>
      <c r="H203" s="49"/>
      <c r="I203" s="49"/>
    </row>
    <row r="204" ht="15.75" customHeight="1" spans="1:9">
      <c r="A204" s="47"/>
      <c r="B204" s="57" t="s">
        <v>742</v>
      </c>
      <c r="C204" s="56" t="s">
        <v>767</v>
      </c>
      <c r="D204" s="46" t="s">
        <v>770</v>
      </c>
      <c r="E204" s="38"/>
      <c r="F204" s="49"/>
      <c r="G204" s="49"/>
      <c r="H204" s="49"/>
      <c r="I204" s="49"/>
    </row>
    <row r="205" ht="15.75" customHeight="1" spans="1:9">
      <c r="A205" s="47"/>
      <c r="B205" s="57" t="s">
        <v>742</v>
      </c>
      <c r="C205" s="56" t="s">
        <v>767</v>
      </c>
      <c r="D205" s="46" t="s">
        <v>771</v>
      </c>
      <c r="E205" s="38"/>
      <c r="F205" s="49"/>
      <c r="G205" s="49"/>
      <c r="H205" s="49"/>
      <c r="I205" s="49"/>
    </row>
    <row r="206" ht="15.75" customHeight="1" spans="1:9">
      <c r="A206" s="47"/>
      <c r="B206" s="57" t="s">
        <v>742</v>
      </c>
      <c r="C206" s="56" t="s">
        <v>767</v>
      </c>
      <c r="D206" s="46" t="s">
        <v>772</v>
      </c>
      <c r="E206" s="38"/>
      <c r="F206" s="49"/>
      <c r="G206" s="49"/>
      <c r="H206" s="49"/>
      <c r="I206" s="49"/>
    </row>
    <row r="207" ht="15.75" customHeight="1" spans="1:9">
      <c r="A207" s="47"/>
      <c r="B207" s="57" t="s">
        <v>742</v>
      </c>
      <c r="C207" s="56" t="s">
        <v>767</v>
      </c>
      <c r="D207" s="46" t="s">
        <v>773</v>
      </c>
      <c r="E207" s="38"/>
      <c r="F207" s="49"/>
      <c r="G207" s="49"/>
      <c r="H207" s="49"/>
      <c r="I207" s="49"/>
    </row>
    <row r="208" ht="15.75" customHeight="1" spans="1:9">
      <c r="A208" s="47"/>
      <c r="B208" s="57" t="s">
        <v>742</v>
      </c>
      <c r="C208" s="56" t="s">
        <v>767</v>
      </c>
      <c r="D208" s="46" t="s">
        <v>774</v>
      </c>
      <c r="E208" s="38"/>
      <c r="F208" s="49"/>
      <c r="G208" s="49"/>
      <c r="H208" s="49"/>
      <c r="I208" s="49"/>
    </row>
    <row r="209" ht="15.75" customHeight="1" spans="1:9">
      <c r="A209" s="47"/>
      <c r="B209" s="57" t="s">
        <v>742</v>
      </c>
      <c r="C209" s="56" t="s">
        <v>775</v>
      </c>
      <c r="D209" s="46" t="s">
        <v>776</v>
      </c>
      <c r="E209" s="38"/>
      <c r="F209" s="49"/>
      <c r="G209" s="49"/>
      <c r="H209" s="49"/>
      <c r="I209" s="49"/>
    </row>
    <row r="210" ht="15.75" customHeight="1" spans="1:9">
      <c r="A210" s="47"/>
      <c r="B210" s="57" t="s">
        <v>742</v>
      </c>
      <c r="C210" s="56" t="s">
        <v>775</v>
      </c>
      <c r="D210" s="46" t="s">
        <v>777</v>
      </c>
      <c r="E210" s="38"/>
      <c r="F210" s="49"/>
      <c r="G210" s="49"/>
      <c r="H210" s="49"/>
      <c r="I210" s="49"/>
    </row>
    <row r="211" ht="15.75" customHeight="1" spans="1:9">
      <c r="A211" s="47"/>
      <c r="B211" s="57" t="s">
        <v>742</v>
      </c>
      <c r="C211" s="56" t="s">
        <v>775</v>
      </c>
      <c r="D211" s="46" t="s">
        <v>778</v>
      </c>
      <c r="E211" s="38"/>
      <c r="F211" s="49"/>
      <c r="G211" s="49"/>
      <c r="H211" s="49"/>
      <c r="I211" s="49"/>
    </row>
    <row r="212" ht="15.75" customHeight="1" spans="1:9">
      <c r="A212" s="47"/>
      <c r="B212" s="57" t="s">
        <v>742</v>
      </c>
      <c r="C212" s="56" t="s">
        <v>775</v>
      </c>
      <c r="D212" s="46" t="s">
        <v>779</v>
      </c>
      <c r="E212" s="52"/>
      <c r="F212" s="49"/>
      <c r="G212" s="49"/>
      <c r="H212" s="49"/>
      <c r="I212" s="49"/>
    </row>
    <row r="213" ht="15.75" customHeight="1" spans="1:9">
      <c r="A213" s="47"/>
      <c r="B213" s="57" t="s">
        <v>742</v>
      </c>
      <c r="C213" s="56" t="s">
        <v>780</v>
      </c>
      <c r="D213" s="46" t="s">
        <v>781</v>
      </c>
      <c r="E213" s="38"/>
      <c r="F213" s="49"/>
      <c r="G213" s="49"/>
      <c r="H213" s="49"/>
      <c r="I213" s="49"/>
    </row>
    <row r="214" ht="15.75" customHeight="1" spans="1:9">
      <c r="A214" s="47"/>
      <c r="B214" s="57" t="s">
        <v>742</v>
      </c>
      <c r="C214" s="56" t="s">
        <v>780</v>
      </c>
      <c r="D214" s="46" t="s">
        <v>782</v>
      </c>
      <c r="E214" s="38"/>
      <c r="F214" s="49"/>
      <c r="G214" s="49"/>
      <c r="H214" s="49"/>
      <c r="I214" s="49"/>
    </row>
    <row r="215" ht="15.75" customHeight="1" spans="1:9">
      <c r="A215" s="47"/>
      <c r="B215" s="57" t="s">
        <v>742</v>
      </c>
      <c r="C215" s="56" t="s">
        <v>780</v>
      </c>
      <c r="D215" s="46" t="s">
        <v>783</v>
      </c>
      <c r="E215" s="38"/>
      <c r="F215" s="49"/>
      <c r="G215" s="49"/>
      <c r="H215" s="49"/>
      <c r="I215" s="49"/>
    </row>
    <row r="216" ht="15.75" customHeight="1" spans="1:9">
      <c r="A216" s="47"/>
      <c r="B216" s="57" t="s">
        <v>742</v>
      </c>
      <c r="C216" s="56" t="s">
        <v>780</v>
      </c>
      <c r="D216" s="46" t="s">
        <v>784</v>
      </c>
      <c r="E216" s="38"/>
      <c r="F216" s="49"/>
      <c r="G216" s="49"/>
      <c r="H216" s="49"/>
      <c r="I216" s="49"/>
    </row>
    <row r="217" ht="15.75" customHeight="1" spans="1:9">
      <c r="A217" s="47"/>
      <c r="B217" s="57" t="s">
        <v>742</v>
      </c>
      <c r="C217" s="56" t="s">
        <v>780</v>
      </c>
      <c r="D217" s="46" t="s">
        <v>785</v>
      </c>
      <c r="E217" s="38"/>
      <c r="F217" s="49"/>
      <c r="G217" s="49"/>
      <c r="H217" s="49"/>
      <c r="I217" s="49"/>
    </row>
    <row r="218" ht="15.75" customHeight="1" spans="1:9">
      <c r="A218" s="47"/>
      <c r="B218" s="57" t="s">
        <v>742</v>
      </c>
      <c r="C218" s="56" t="s">
        <v>786</v>
      </c>
      <c r="D218" s="46" t="s">
        <v>787</v>
      </c>
      <c r="E218" s="38"/>
      <c r="F218" s="49"/>
      <c r="G218" s="49"/>
      <c r="H218" s="49"/>
      <c r="I218" s="49"/>
    </row>
    <row r="219" ht="15.75" customHeight="1" spans="1:9">
      <c r="A219" s="47"/>
      <c r="B219" s="57" t="s">
        <v>742</v>
      </c>
      <c r="C219" s="56" t="s">
        <v>786</v>
      </c>
      <c r="D219" s="46" t="s">
        <v>788</v>
      </c>
      <c r="E219" s="38"/>
      <c r="F219" s="49"/>
      <c r="G219" s="49"/>
      <c r="H219" s="49"/>
      <c r="I219" s="49"/>
    </row>
    <row r="220" ht="15.75" customHeight="1" spans="1:9">
      <c r="A220" s="47"/>
      <c r="B220" s="57" t="s">
        <v>742</v>
      </c>
      <c r="C220" s="56" t="s">
        <v>786</v>
      </c>
      <c r="D220" s="46" t="s">
        <v>789</v>
      </c>
      <c r="E220" s="38"/>
      <c r="F220" s="49"/>
      <c r="G220" s="49"/>
      <c r="H220" s="49"/>
      <c r="I220" s="49"/>
    </row>
    <row r="221" ht="15.75" customHeight="1" spans="1:9">
      <c r="A221" s="47"/>
      <c r="B221" s="57" t="s">
        <v>742</v>
      </c>
      <c r="C221" s="56" t="s">
        <v>786</v>
      </c>
      <c r="D221" s="46" t="s">
        <v>790</v>
      </c>
      <c r="E221" s="38"/>
      <c r="F221" s="49"/>
      <c r="G221" s="49"/>
      <c r="H221" s="49"/>
      <c r="I221" s="49"/>
    </row>
    <row r="222" ht="15.75" customHeight="1" spans="1:9">
      <c r="A222" s="47"/>
      <c r="B222" s="57" t="s">
        <v>742</v>
      </c>
      <c r="C222" s="56" t="s">
        <v>791</v>
      </c>
      <c r="D222" s="46" t="s">
        <v>792</v>
      </c>
      <c r="E222" s="52"/>
      <c r="F222" s="49"/>
      <c r="G222" s="49"/>
      <c r="H222" s="49"/>
      <c r="I222" s="49"/>
    </row>
    <row r="223" ht="15.75" customHeight="1" spans="1:9">
      <c r="A223" s="47"/>
      <c r="B223" s="57" t="s">
        <v>742</v>
      </c>
      <c r="C223" s="56" t="s">
        <v>791</v>
      </c>
      <c r="D223" s="46" t="s">
        <v>793</v>
      </c>
      <c r="E223" s="38"/>
      <c r="F223" s="49"/>
      <c r="G223" s="49"/>
      <c r="H223" s="49"/>
      <c r="I223" s="49"/>
    </row>
    <row r="224" ht="15.75" customHeight="1" spans="1:9">
      <c r="A224" s="47"/>
      <c r="B224" s="57" t="s">
        <v>742</v>
      </c>
      <c r="C224" s="56" t="s">
        <v>791</v>
      </c>
      <c r="D224" s="46" t="s">
        <v>794</v>
      </c>
      <c r="E224" s="38"/>
      <c r="F224" s="49"/>
      <c r="G224" s="49"/>
      <c r="H224" s="49"/>
      <c r="I224" s="49"/>
    </row>
    <row r="225" ht="15.75" customHeight="1" spans="1:9">
      <c r="A225" s="47"/>
      <c r="B225" s="57" t="s">
        <v>742</v>
      </c>
      <c r="C225" s="56" t="s">
        <v>795</v>
      </c>
      <c r="D225" s="46" t="s">
        <v>796</v>
      </c>
      <c r="E225" s="38"/>
      <c r="F225" s="49"/>
      <c r="G225" s="49"/>
      <c r="H225" s="49"/>
      <c r="I225" s="49"/>
    </row>
    <row r="226" ht="15.75" customHeight="1" spans="1:9">
      <c r="A226" s="47"/>
      <c r="B226" s="57" t="s">
        <v>742</v>
      </c>
      <c r="C226" s="56" t="s">
        <v>795</v>
      </c>
      <c r="D226" s="46" t="s">
        <v>797</v>
      </c>
      <c r="E226" s="38"/>
      <c r="F226" s="49"/>
      <c r="G226" s="49"/>
      <c r="H226" s="49"/>
      <c r="I226" s="49"/>
    </row>
    <row r="227" ht="15.75" customHeight="1" spans="1:9">
      <c r="A227" s="47"/>
      <c r="B227" s="57" t="s">
        <v>742</v>
      </c>
      <c r="C227" s="56" t="s">
        <v>795</v>
      </c>
      <c r="D227" s="46" t="s">
        <v>798</v>
      </c>
      <c r="E227" s="38"/>
      <c r="F227" s="49"/>
      <c r="G227" s="49"/>
      <c r="H227" s="49"/>
      <c r="I227" s="49"/>
    </row>
    <row r="228" ht="15.75" customHeight="1" spans="1:9">
      <c r="A228" s="47"/>
      <c r="B228" s="57" t="s">
        <v>742</v>
      </c>
      <c r="C228" s="56" t="s">
        <v>795</v>
      </c>
      <c r="D228" s="46" t="s">
        <v>799</v>
      </c>
      <c r="E228" s="38"/>
      <c r="F228" s="49"/>
      <c r="G228" s="49"/>
      <c r="H228" s="49"/>
      <c r="I228" s="49"/>
    </row>
    <row r="229" ht="15.75" customHeight="1" spans="1:9">
      <c r="A229" s="47"/>
      <c r="B229" s="57" t="s">
        <v>742</v>
      </c>
      <c r="C229" s="56" t="s">
        <v>795</v>
      </c>
      <c r="D229" s="46" t="s">
        <v>800</v>
      </c>
      <c r="E229" s="38"/>
      <c r="F229" s="49"/>
      <c r="G229" s="49"/>
      <c r="H229" s="49"/>
      <c r="I229" s="49"/>
    </row>
    <row r="230" ht="15.75" customHeight="1" spans="1:9">
      <c r="A230" s="47"/>
      <c r="B230" s="57" t="s">
        <v>742</v>
      </c>
      <c r="C230" s="56" t="s">
        <v>801</v>
      </c>
      <c r="D230" s="46" t="s">
        <v>802</v>
      </c>
      <c r="E230" s="38"/>
      <c r="F230" s="49"/>
      <c r="G230" s="49"/>
      <c r="H230" s="49"/>
      <c r="I230" s="49"/>
    </row>
    <row r="231" ht="15.75" customHeight="1" spans="1:9">
      <c r="A231" s="47"/>
      <c r="B231" s="57" t="s">
        <v>742</v>
      </c>
      <c r="C231" s="56" t="s">
        <v>801</v>
      </c>
      <c r="D231" s="46" t="s">
        <v>803</v>
      </c>
      <c r="E231" s="38"/>
      <c r="F231" s="49"/>
      <c r="G231" s="49"/>
      <c r="H231" s="49"/>
      <c r="I231" s="49"/>
    </row>
    <row r="232" ht="15.75" customHeight="1" spans="1:9">
      <c r="A232" s="47"/>
      <c r="B232" s="57" t="s">
        <v>742</v>
      </c>
      <c r="C232" s="56" t="s">
        <v>801</v>
      </c>
      <c r="D232" s="46" t="s">
        <v>804</v>
      </c>
      <c r="E232" s="38"/>
      <c r="F232" s="49"/>
      <c r="G232" s="49"/>
      <c r="H232" s="49"/>
      <c r="I232" s="49"/>
    </row>
    <row r="233" ht="15.75" customHeight="1" spans="1:9">
      <c r="A233" s="47"/>
      <c r="B233" s="57" t="s">
        <v>742</v>
      </c>
      <c r="C233" s="56" t="s">
        <v>801</v>
      </c>
      <c r="D233" s="46" t="s">
        <v>805</v>
      </c>
      <c r="E233" s="38"/>
      <c r="F233" s="49"/>
      <c r="G233" s="49"/>
      <c r="H233" s="49"/>
      <c r="I233" s="49"/>
    </row>
    <row r="234" ht="15.75" customHeight="1" spans="1:9">
      <c r="A234" s="47"/>
      <c r="B234" s="57" t="s">
        <v>742</v>
      </c>
      <c r="C234" s="56" t="s">
        <v>801</v>
      </c>
      <c r="D234" s="46" t="s">
        <v>806</v>
      </c>
      <c r="E234" s="38"/>
      <c r="F234" s="49"/>
      <c r="G234" s="49"/>
      <c r="H234" s="49"/>
      <c r="I234" s="49"/>
    </row>
    <row r="235" ht="15.75" customHeight="1" spans="1:9">
      <c r="A235" s="47"/>
      <c r="B235" s="57" t="s">
        <v>742</v>
      </c>
      <c r="C235" s="56" t="s">
        <v>807</v>
      </c>
      <c r="D235" s="46" t="s">
        <v>808</v>
      </c>
      <c r="E235" s="52"/>
      <c r="F235" s="49"/>
      <c r="G235" s="49"/>
      <c r="H235" s="49"/>
      <c r="I235" s="49"/>
    </row>
    <row r="236" ht="15.75" customHeight="1" spans="1:9">
      <c r="A236" s="47"/>
      <c r="B236" s="57" t="s">
        <v>742</v>
      </c>
      <c r="C236" s="56" t="s">
        <v>807</v>
      </c>
      <c r="D236" s="46" t="s">
        <v>809</v>
      </c>
      <c r="E236" s="52"/>
      <c r="F236" s="49"/>
      <c r="G236" s="49"/>
      <c r="H236" s="49"/>
      <c r="I236" s="49"/>
    </row>
    <row r="237" ht="15.75" customHeight="1" spans="1:9">
      <c r="A237" s="47"/>
      <c r="B237" s="57" t="s">
        <v>742</v>
      </c>
      <c r="C237" s="56" t="s">
        <v>807</v>
      </c>
      <c r="D237" s="46" t="s">
        <v>810</v>
      </c>
      <c r="E237" s="38"/>
      <c r="F237" s="49"/>
      <c r="G237" s="49"/>
      <c r="H237" s="49"/>
      <c r="I237" s="49"/>
    </row>
    <row r="238" ht="15.75" customHeight="1" spans="1:9">
      <c r="A238" s="47"/>
      <c r="B238" s="57" t="s">
        <v>742</v>
      </c>
      <c r="C238" s="56" t="s">
        <v>807</v>
      </c>
      <c r="D238" s="46" t="s">
        <v>811</v>
      </c>
      <c r="E238" s="38"/>
      <c r="F238" s="49"/>
      <c r="G238" s="49"/>
      <c r="H238" s="49"/>
      <c r="I238" s="49"/>
    </row>
    <row r="239" ht="15.75" customHeight="1" spans="1:9">
      <c r="A239" s="47"/>
      <c r="B239" s="57" t="s">
        <v>742</v>
      </c>
      <c r="C239" s="56" t="s">
        <v>812</v>
      </c>
      <c r="D239" s="46" t="s">
        <v>813</v>
      </c>
      <c r="E239" s="38"/>
      <c r="F239" s="49"/>
      <c r="G239" s="49"/>
      <c r="H239" s="49"/>
      <c r="I239" s="49"/>
    </row>
    <row r="240" ht="15.75" customHeight="1" spans="1:9">
      <c r="A240" s="47"/>
      <c r="B240" s="57" t="s">
        <v>742</v>
      </c>
      <c r="C240" s="56" t="s">
        <v>812</v>
      </c>
      <c r="D240" s="46" t="s">
        <v>814</v>
      </c>
      <c r="E240" s="38"/>
      <c r="F240" s="49"/>
      <c r="G240" s="49"/>
      <c r="H240" s="49"/>
      <c r="I240" s="49"/>
    </row>
    <row r="241" ht="15.75" customHeight="1" spans="1:9">
      <c r="A241" s="47"/>
      <c r="B241" s="57" t="s">
        <v>742</v>
      </c>
      <c r="C241" s="56" t="s">
        <v>812</v>
      </c>
      <c r="D241" s="46" t="s">
        <v>815</v>
      </c>
      <c r="E241" s="38"/>
      <c r="F241" s="49"/>
      <c r="G241" s="49"/>
      <c r="H241" s="49"/>
      <c r="I241" s="49"/>
    </row>
    <row r="242" ht="15.75" customHeight="1" spans="1:9">
      <c r="A242" s="47"/>
      <c r="B242" s="57" t="s">
        <v>742</v>
      </c>
      <c r="C242" s="56" t="s">
        <v>812</v>
      </c>
      <c r="D242" s="46" t="s">
        <v>816</v>
      </c>
      <c r="E242" s="38"/>
      <c r="F242" s="49"/>
      <c r="G242" s="49"/>
      <c r="H242" s="49"/>
      <c r="I242" s="49"/>
    </row>
    <row r="243" ht="15.75" customHeight="1" spans="1:9">
      <c r="A243" s="47"/>
      <c r="B243" s="57" t="s">
        <v>742</v>
      </c>
      <c r="C243" s="56" t="s">
        <v>817</v>
      </c>
      <c r="D243" s="46" t="s">
        <v>818</v>
      </c>
      <c r="E243" s="38"/>
      <c r="F243" s="49"/>
      <c r="G243" s="49"/>
      <c r="H243" s="49"/>
      <c r="I243" s="49"/>
    </row>
    <row r="244" ht="15.75" customHeight="1" spans="1:9">
      <c r="A244" s="47"/>
      <c r="B244" s="57" t="s">
        <v>742</v>
      </c>
      <c r="C244" s="56" t="s">
        <v>817</v>
      </c>
      <c r="D244" s="46" t="s">
        <v>819</v>
      </c>
      <c r="E244" s="38"/>
      <c r="F244" s="49"/>
      <c r="G244" s="49"/>
      <c r="H244" s="49"/>
      <c r="I244" s="49"/>
    </row>
    <row r="245" ht="15.75" customHeight="1" spans="1:9">
      <c r="A245" s="47"/>
      <c r="B245" s="57" t="s">
        <v>742</v>
      </c>
      <c r="C245" s="56" t="s">
        <v>817</v>
      </c>
      <c r="D245" s="46" t="s">
        <v>820</v>
      </c>
      <c r="E245" s="38"/>
      <c r="F245" s="49"/>
      <c r="G245" s="49"/>
      <c r="H245" s="49"/>
      <c r="I245" s="49"/>
    </row>
    <row r="246" ht="15.75" customHeight="1" spans="1:9">
      <c r="A246" s="47"/>
      <c r="B246" s="57" t="s">
        <v>742</v>
      </c>
      <c r="C246" s="56" t="s">
        <v>817</v>
      </c>
      <c r="D246" s="46" t="s">
        <v>821</v>
      </c>
      <c r="E246" s="52"/>
      <c r="F246" s="49"/>
      <c r="G246" s="49"/>
      <c r="H246" s="49"/>
      <c r="I246" s="49"/>
    </row>
    <row r="247" ht="15.75" customHeight="1" spans="1:9">
      <c r="A247" s="47"/>
      <c r="B247" s="57" t="s">
        <v>742</v>
      </c>
      <c r="C247" s="56" t="s">
        <v>817</v>
      </c>
      <c r="D247" s="46" t="s">
        <v>822</v>
      </c>
      <c r="E247" s="52"/>
      <c r="F247" s="49"/>
      <c r="G247" s="49"/>
      <c r="H247" s="49"/>
      <c r="I247" s="49"/>
    </row>
    <row r="248" ht="15.75" customHeight="1" spans="1:9">
      <c r="A248" s="47"/>
      <c r="B248" s="57" t="s">
        <v>742</v>
      </c>
      <c r="C248" s="56" t="s">
        <v>823</v>
      </c>
      <c r="D248" s="46" t="s">
        <v>824</v>
      </c>
      <c r="E248" s="52"/>
      <c r="F248" s="49"/>
      <c r="G248" s="49"/>
      <c r="H248" s="49"/>
      <c r="I248" s="49"/>
    </row>
    <row r="249" ht="15.75" customHeight="1" spans="1:9">
      <c r="A249" s="47"/>
      <c r="B249" s="57" t="s">
        <v>742</v>
      </c>
      <c r="C249" s="56" t="s">
        <v>823</v>
      </c>
      <c r="D249" s="46" t="s">
        <v>825</v>
      </c>
      <c r="E249" s="38"/>
      <c r="F249" s="49"/>
      <c r="G249" s="49"/>
      <c r="H249" s="49"/>
      <c r="I249" s="49"/>
    </row>
    <row r="250" ht="15.75" customHeight="1" spans="1:9">
      <c r="A250" s="47"/>
      <c r="B250" s="57" t="s">
        <v>742</v>
      </c>
      <c r="C250" s="56" t="s">
        <v>823</v>
      </c>
      <c r="D250" s="46" t="s">
        <v>826</v>
      </c>
      <c r="E250" s="38"/>
      <c r="F250" s="49"/>
      <c r="G250" s="49"/>
      <c r="H250" s="49"/>
      <c r="I250" s="49"/>
    </row>
    <row r="251" ht="15.75" customHeight="1" spans="1:9">
      <c r="A251" s="47"/>
      <c r="B251" s="57" t="s">
        <v>742</v>
      </c>
      <c r="C251" s="56" t="s">
        <v>823</v>
      </c>
      <c r="D251" s="46" t="s">
        <v>827</v>
      </c>
      <c r="E251" s="38"/>
      <c r="F251" s="49"/>
      <c r="G251" s="49"/>
      <c r="H251" s="49"/>
      <c r="I251" s="49"/>
    </row>
    <row r="252" ht="15.75" customHeight="1" spans="1:9">
      <c r="A252" s="47"/>
      <c r="B252" s="57" t="s">
        <v>742</v>
      </c>
      <c r="C252" s="56" t="s">
        <v>823</v>
      </c>
      <c r="D252" s="46" t="s">
        <v>828</v>
      </c>
      <c r="E252" s="52"/>
      <c r="F252" s="49"/>
      <c r="G252" s="49"/>
      <c r="H252" s="49"/>
      <c r="I252" s="49"/>
    </row>
    <row r="253" ht="15.75" customHeight="1" spans="1:9">
      <c r="A253" s="47"/>
      <c r="B253" s="57" t="s">
        <v>742</v>
      </c>
      <c r="C253" s="56" t="s">
        <v>829</v>
      </c>
      <c r="D253" s="46" t="s">
        <v>830</v>
      </c>
      <c r="E253" s="52"/>
      <c r="F253" s="49"/>
      <c r="G253" s="49"/>
      <c r="H253" s="49"/>
      <c r="I253" s="49"/>
    </row>
    <row r="254" ht="15.75" customHeight="1" spans="1:9">
      <c r="A254" s="47"/>
      <c r="B254" s="57" t="s">
        <v>742</v>
      </c>
      <c r="C254" s="56" t="s">
        <v>829</v>
      </c>
      <c r="D254" s="46" t="s">
        <v>831</v>
      </c>
      <c r="E254" s="52"/>
      <c r="F254" s="49"/>
      <c r="G254" s="49"/>
      <c r="H254" s="49"/>
      <c r="I254" s="49"/>
    </row>
    <row r="255" ht="15.75" customHeight="1" spans="1:9">
      <c r="A255" s="47"/>
      <c r="B255" s="57" t="s">
        <v>742</v>
      </c>
      <c r="C255" s="56" t="s">
        <v>829</v>
      </c>
      <c r="D255" s="46" t="s">
        <v>832</v>
      </c>
      <c r="E255" s="38"/>
      <c r="F255" s="49"/>
      <c r="G255" s="49"/>
      <c r="H255" s="49"/>
      <c r="I255" s="49"/>
    </row>
    <row r="256" ht="15.75" customHeight="1" spans="1:9">
      <c r="A256" s="47"/>
      <c r="B256" s="57" t="s">
        <v>742</v>
      </c>
      <c r="C256" s="56" t="s">
        <v>829</v>
      </c>
      <c r="D256" s="46" t="s">
        <v>833</v>
      </c>
      <c r="E256" s="38"/>
      <c r="F256" s="49"/>
      <c r="G256" s="49"/>
      <c r="H256" s="49"/>
      <c r="I256" s="49"/>
    </row>
    <row r="257" ht="15.75" customHeight="1" spans="1:9">
      <c r="A257" s="47"/>
      <c r="B257" s="57" t="s">
        <v>742</v>
      </c>
      <c r="C257" s="56" t="s">
        <v>829</v>
      </c>
      <c r="D257" s="46" t="s">
        <v>834</v>
      </c>
      <c r="E257" s="38"/>
      <c r="F257" s="49"/>
      <c r="G257" s="49"/>
      <c r="H257" s="49"/>
      <c r="I257" s="49"/>
    </row>
    <row r="258" ht="15.75" customHeight="1" spans="1:9">
      <c r="A258" s="47"/>
      <c r="B258" s="57" t="s">
        <v>742</v>
      </c>
      <c r="C258" s="56" t="s">
        <v>835</v>
      </c>
      <c r="D258" s="46" t="s">
        <v>836</v>
      </c>
      <c r="E258" s="38"/>
      <c r="F258" s="49"/>
      <c r="G258" s="49"/>
      <c r="H258" s="49"/>
      <c r="I258" s="49"/>
    </row>
    <row r="259" ht="15.75" customHeight="1" spans="1:9">
      <c r="A259" s="47"/>
      <c r="B259" s="57" t="s">
        <v>742</v>
      </c>
      <c r="C259" s="56" t="s">
        <v>835</v>
      </c>
      <c r="D259" s="46" t="s">
        <v>837</v>
      </c>
      <c r="E259" s="38"/>
      <c r="F259" s="49"/>
      <c r="G259" s="49"/>
      <c r="H259" s="49"/>
      <c r="I259" s="49"/>
    </row>
    <row r="260" ht="15.75" customHeight="1" spans="1:9">
      <c r="A260" s="47"/>
      <c r="B260" s="57" t="s">
        <v>742</v>
      </c>
      <c r="C260" s="56" t="s">
        <v>835</v>
      </c>
      <c r="D260" s="46" t="s">
        <v>838</v>
      </c>
      <c r="E260" s="38"/>
      <c r="F260" s="49"/>
      <c r="G260" s="49"/>
      <c r="H260" s="49"/>
      <c r="I260" s="49"/>
    </row>
    <row r="261" ht="15.75" customHeight="1" spans="1:9">
      <c r="A261" s="47"/>
      <c r="B261" s="57" t="s">
        <v>742</v>
      </c>
      <c r="C261" s="56" t="s">
        <v>839</v>
      </c>
      <c r="D261" s="46" t="s">
        <v>840</v>
      </c>
      <c r="E261" s="38"/>
      <c r="F261" s="49"/>
      <c r="G261" s="49"/>
      <c r="H261" s="49"/>
      <c r="I261" s="49"/>
    </row>
    <row r="262" ht="15.75" customHeight="1" spans="1:9">
      <c r="A262" s="47"/>
      <c r="B262" s="57" t="s">
        <v>742</v>
      </c>
      <c r="C262" s="56" t="s">
        <v>839</v>
      </c>
      <c r="D262" s="46" t="s">
        <v>841</v>
      </c>
      <c r="E262" s="38"/>
      <c r="F262" s="49"/>
      <c r="G262" s="49"/>
      <c r="H262" s="49"/>
      <c r="I262" s="49"/>
    </row>
    <row r="263" ht="15.75" customHeight="1" spans="1:9">
      <c r="A263" s="47"/>
      <c r="B263" s="57" t="s">
        <v>742</v>
      </c>
      <c r="C263" s="56" t="s">
        <v>839</v>
      </c>
      <c r="D263" s="46" t="s">
        <v>842</v>
      </c>
      <c r="E263" s="52"/>
      <c r="F263" s="49"/>
      <c r="G263" s="49"/>
      <c r="H263" s="49"/>
      <c r="I263" s="49"/>
    </row>
    <row r="264" ht="15.75" customHeight="1" spans="1:9">
      <c r="A264" s="47"/>
      <c r="B264" s="57" t="s">
        <v>742</v>
      </c>
      <c r="C264" s="56" t="s">
        <v>843</v>
      </c>
      <c r="D264" s="46" t="s">
        <v>844</v>
      </c>
      <c r="E264" s="52"/>
      <c r="F264" s="49"/>
      <c r="G264" s="49"/>
      <c r="H264" s="49"/>
      <c r="I264" s="49"/>
    </row>
    <row r="265" ht="15.75" customHeight="1" spans="1:9">
      <c r="A265" s="47"/>
      <c r="B265" s="57" t="s">
        <v>742</v>
      </c>
      <c r="C265" s="56" t="s">
        <v>843</v>
      </c>
      <c r="D265" s="46" t="s">
        <v>845</v>
      </c>
      <c r="E265" s="38"/>
      <c r="F265" s="49"/>
      <c r="G265" s="49"/>
      <c r="H265" s="49"/>
      <c r="I265" s="49"/>
    </row>
    <row r="266" ht="15.75" customHeight="1" spans="1:9">
      <c r="A266" s="47"/>
      <c r="B266" s="57" t="s">
        <v>742</v>
      </c>
      <c r="C266" s="56" t="s">
        <v>843</v>
      </c>
      <c r="D266" s="46" t="s">
        <v>846</v>
      </c>
      <c r="E266" s="38"/>
      <c r="F266" s="49"/>
      <c r="G266" s="49"/>
      <c r="H266" s="49"/>
      <c r="I266" s="49"/>
    </row>
    <row r="267" ht="15.75" customHeight="1" spans="1:9">
      <c r="A267" s="47"/>
      <c r="B267" s="57" t="s">
        <v>742</v>
      </c>
      <c r="C267" s="56" t="s">
        <v>843</v>
      </c>
      <c r="D267" s="46" t="s">
        <v>847</v>
      </c>
      <c r="E267" s="38"/>
      <c r="F267" s="49"/>
      <c r="G267" s="49"/>
      <c r="H267" s="49"/>
      <c r="I267" s="49"/>
    </row>
    <row r="268" ht="15.75" customHeight="1" spans="1:9">
      <c r="A268" s="47"/>
      <c r="B268" s="57" t="s">
        <v>742</v>
      </c>
      <c r="C268" s="56" t="s">
        <v>843</v>
      </c>
      <c r="D268" s="46" t="s">
        <v>848</v>
      </c>
      <c r="E268" s="38"/>
      <c r="F268" s="49"/>
      <c r="G268" s="49"/>
      <c r="H268" s="49"/>
      <c r="I268" s="49"/>
    </row>
    <row r="269" ht="15.75" customHeight="1" spans="1:9">
      <c r="A269" s="47"/>
      <c r="B269" s="57" t="s">
        <v>742</v>
      </c>
      <c r="C269" s="56" t="s">
        <v>849</v>
      </c>
      <c r="D269" s="46" t="s">
        <v>850</v>
      </c>
      <c r="E269" s="38"/>
      <c r="F269" s="49"/>
      <c r="G269" s="49"/>
      <c r="H269" s="49"/>
      <c r="I269" s="49"/>
    </row>
    <row r="270" ht="15.75" customHeight="1" spans="1:9">
      <c r="A270" s="47"/>
      <c r="B270" s="57" t="s">
        <v>742</v>
      </c>
      <c r="C270" s="56" t="s">
        <v>849</v>
      </c>
      <c r="D270" s="46" t="s">
        <v>851</v>
      </c>
      <c r="E270" s="38"/>
      <c r="F270" s="49"/>
      <c r="G270" s="49"/>
      <c r="H270" s="49"/>
      <c r="I270" s="49"/>
    </row>
    <row r="271" ht="15.75" customHeight="1" spans="1:9">
      <c r="A271" s="47"/>
      <c r="B271" s="57" t="s">
        <v>742</v>
      </c>
      <c r="C271" s="56" t="s">
        <v>849</v>
      </c>
      <c r="D271" s="46" t="s">
        <v>852</v>
      </c>
      <c r="E271" s="38"/>
      <c r="F271" s="49"/>
      <c r="G271" s="49"/>
      <c r="H271" s="49"/>
      <c r="I271" s="49"/>
    </row>
    <row r="272" ht="15.75" customHeight="1" spans="1:9">
      <c r="A272" s="47"/>
      <c r="B272" s="57" t="s">
        <v>742</v>
      </c>
      <c r="C272" s="56" t="s">
        <v>849</v>
      </c>
      <c r="D272" s="46" t="s">
        <v>853</v>
      </c>
      <c r="E272" s="38"/>
      <c r="F272" s="49"/>
      <c r="G272" s="49"/>
      <c r="H272" s="49"/>
      <c r="I272" s="49"/>
    </row>
    <row r="273" ht="15.75" customHeight="1" spans="1:9">
      <c r="A273" s="47"/>
      <c r="B273" s="57" t="s">
        <v>742</v>
      </c>
      <c r="C273" s="56" t="s">
        <v>849</v>
      </c>
      <c r="D273" s="46" t="s">
        <v>854</v>
      </c>
      <c r="E273" s="38"/>
      <c r="F273" s="49"/>
      <c r="G273" s="49"/>
      <c r="H273" s="49"/>
      <c r="I273" s="49"/>
    </row>
    <row r="274" ht="15.75" customHeight="1" spans="1:9">
      <c r="A274" s="47"/>
      <c r="B274" s="57" t="s">
        <v>742</v>
      </c>
      <c r="C274" s="56" t="s">
        <v>849</v>
      </c>
      <c r="D274" s="46" t="s">
        <v>855</v>
      </c>
      <c r="E274" s="52"/>
      <c r="F274" s="49"/>
      <c r="G274" s="49"/>
      <c r="H274" s="49"/>
      <c r="I274" s="49"/>
    </row>
    <row r="275" ht="15.75" customHeight="1" spans="1:9">
      <c r="A275" s="47"/>
      <c r="B275" s="57" t="s">
        <v>742</v>
      </c>
      <c r="C275" s="56" t="s">
        <v>856</v>
      </c>
      <c r="D275" s="46" t="s">
        <v>857</v>
      </c>
      <c r="E275" s="38"/>
      <c r="F275" s="49"/>
      <c r="G275" s="49"/>
      <c r="H275" s="49"/>
      <c r="I275" s="49"/>
    </row>
    <row r="276" ht="15.75" customHeight="1" spans="1:9">
      <c r="A276" s="47"/>
      <c r="B276" s="57" t="s">
        <v>742</v>
      </c>
      <c r="C276" s="56" t="s">
        <v>858</v>
      </c>
      <c r="D276" s="46" t="s">
        <v>859</v>
      </c>
      <c r="E276" s="38"/>
      <c r="F276" s="49"/>
      <c r="G276" s="49"/>
      <c r="H276" s="49"/>
      <c r="I276" s="49"/>
    </row>
    <row r="277" ht="15.75" customHeight="1" spans="1:9">
      <c r="A277" s="47"/>
      <c r="B277" s="57" t="s">
        <v>742</v>
      </c>
      <c r="C277" s="56" t="s">
        <v>858</v>
      </c>
      <c r="D277" s="46" t="s">
        <v>860</v>
      </c>
      <c r="E277" s="38"/>
      <c r="F277" s="49"/>
      <c r="G277" s="49"/>
      <c r="H277" s="49"/>
      <c r="I277" s="49"/>
    </row>
    <row r="278" ht="15.75" customHeight="1" spans="1:9">
      <c r="A278" s="47"/>
      <c r="B278" s="57" t="s">
        <v>742</v>
      </c>
      <c r="C278" s="56" t="s">
        <v>858</v>
      </c>
      <c r="D278" s="46" t="s">
        <v>861</v>
      </c>
      <c r="E278" s="38"/>
      <c r="F278" s="49"/>
      <c r="G278" s="49"/>
      <c r="H278" s="49"/>
      <c r="I278" s="49"/>
    </row>
    <row r="279" ht="15.75" customHeight="1" spans="1:9">
      <c r="A279" s="47"/>
      <c r="B279" s="57" t="s">
        <v>742</v>
      </c>
      <c r="C279" s="56" t="s">
        <v>858</v>
      </c>
      <c r="D279" s="46" t="s">
        <v>862</v>
      </c>
      <c r="E279" s="38"/>
      <c r="F279" s="49"/>
      <c r="G279" s="49"/>
      <c r="H279" s="49"/>
      <c r="I279" s="49"/>
    </row>
    <row r="280" ht="15.75" customHeight="1" spans="1:9">
      <c r="A280" s="47"/>
      <c r="B280" s="57" t="s">
        <v>742</v>
      </c>
      <c r="C280" s="56" t="s">
        <v>858</v>
      </c>
      <c r="D280" s="46" t="s">
        <v>863</v>
      </c>
      <c r="E280" s="38"/>
      <c r="F280" s="49"/>
      <c r="G280" s="49"/>
      <c r="H280" s="49"/>
      <c r="I280" s="49"/>
    </row>
    <row r="281" ht="15.75" customHeight="1" spans="1:9">
      <c r="A281" s="47"/>
      <c r="B281" s="57" t="s">
        <v>742</v>
      </c>
      <c r="C281" s="56" t="s">
        <v>858</v>
      </c>
      <c r="D281" s="46" t="s">
        <v>864</v>
      </c>
      <c r="E281" s="38"/>
      <c r="F281" s="49"/>
      <c r="G281" s="49"/>
      <c r="H281" s="49"/>
      <c r="I281" s="49"/>
    </row>
    <row r="282" ht="15.75" customHeight="1" spans="1:9">
      <c r="A282" s="47"/>
      <c r="B282" s="57" t="s">
        <v>742</v>
      </c>
      <c r="C282" s="56" t="s">
        <v>865</v>
      </c>
      <c r="D282" s="46" t="s">
        <v>866</v>
      </c>
      <c r="E282" s="38"/>
      <c r="F282" s="49"/>
      <c r="G282" s="49"/>
      <c r="H282" s="49"/>
      <c r="I282" s="49"/>
    </row>
    <row r="283" ht="15.75" customHeight="1" spans="1:9">
      <c r="A283" s="47"/>
      <c r="B283" s="57" t="s">
        <v>742</v>
      </c>
      <c r="C283" s="56" t="s">
        <v>865</v>
      </c>
      <c r="D283" s="46" t="s">
        <v>867</v>
      </c>
      <c r="E283" s="38"/>
      <c r="F283" s="49"/>
      <c r="G283" s="49"/>
      <c r="H283" s="49"/>
      <c r="I283" s="49"/>
    </row>
    <row r="284" ht="15.75" customHeight="1" spans="1:9">
      <c r="A284" s="47"/>
      <c r="B284" s="57" t="s">
        <v>742</v>
      </c>
      <c r="C284" s="56" t="s">
        <v>865</v>
      </c>
      <c r="D284" s="46" t="s">
        <v>868</v>
      </c>
      <c r="E284" s="52"/>
      <c r="F284" s="49"/>
      <c r="G284" s="49"/>
      <c r="H284" s="49"/>
      <c r="I284" s="49"/>
    </row>
    <row r="285" ht="15.75" customHeight="1" spans="1:9">
      <c r="A285" s="47"/>
      <c r="B285" s="57" t="s">
        <v>742</v>
      </c>
      <c r="C285" s="56" t="s">
        <v>865</v>
      </c>
      <c r="D285" s="46" t="s">
        <v>869</v>
      </c>
      <c r="E285" s="52"/>
      <c r="F285" s="49"/>
      <c r="G285" s="49"/>
      <c r="H285" s="49"/>
      <c r="I285" s="49"/>
    </row>
    <row r="286" ht="15.75" customHeight="1" spans="1:9">
      <c r="A286" s="47"/>
      <c r="B286" s="57" t="s">
        <v>742</v>
      </c>
      <c r="C286" s="56" t="s">
        <v>865</v>
      </c>
      <c r="D286" s="46" t="s">
        <v>870</v>
      </c>
      <c r="E286" s="38"/>
      <c r="F286" s="49"/>
      <c r="G286" s="49"/>
      <c r="H286" s="49"/>
      <c r="I286" s="49"/>
    </row>
    <row r="287" ht="15.75" customHeight="1" spans="1:9">
      <c r="A287" s="47"/>
      <c r="B287" s="57" t="s">
        <v>742</v>
      </c>
      <c r="C287" s="58" t="s">
        <v>871</v>
      </c>
      <c r="D287" s="46" t="s">
        <v>872</v>
      </c>
      <c r="E287" s="38"/>
      <c r="F287" s="49"/>
      <c r="G287" s="49"/>
      <c r="H287" s="49"/>
      <c r="I287" s="49"/>
    </row>
    <row r="288" ht="15.75" customHeight="1" spans="1:9">
      <c r="A288" s="47"/>
      <c r="B288" s="57" t="s">
        <v>742</v>
      </c>
      <c r="C288" s="58" t="s">
        <v>871</v>
      </c>
      <c r="D288" s="46" t="s">
        <v>873</v>
      </c>
      <c r="E288" s="38"/>
      <c r="F288" s="49"/>
      <c r="G288" s="49"/>
      <c r="H288" s="49"/>
      <c r="I288" s="49"/>
    </row>
    <row r="289" ht="15.75" customHeight="1" spans="1:9">
      <c r="A289" s="47"/>
      <c r="B289" s="57" t="s">
        <v>742</v>
      </c>
      <c r="C289" s="58" t="s">
        <v>871</v>
      </c>
      <c r="D289" s="46" t="s">
        <v>874</v>
      </c>
      <c r="E289" s="38"/>
      <c r="F289" s="49"/>
      <c r="G289" s="49"/>
      <c r="H289" s="49"/>
      <c r="I289" s="49"/>
    </row>
    <row r="290" ht="15.75" customHeight="1" spans="1:9">
      <c r="A290" s="47"/>
      <c r="B290" s="57" t="s">
        <v>742</v>
      </c>
      <c r="C290" s="56" t="s">
        <v>875</v>
      </c>
      <c r="D290" s="46" t="s">
        <v>876</v>
      </c>
      <c r="E290" s="38"/>
      <c r="F290" s="49"/>
      <c r="G290" s="49"/>
      <c r="H290" s="49"/>
      <c r="I290" s="49"/>
    </row>
    <row r="291" ht="15.75" customHeight="1" spans="1:9">
      <c r="A291" s="47"/>
      <c r="B291" s="57" t="s">
        <v>742</v>
      </c>
      <c r="C291" s="56" t="s">
        <v>875</v>
      </c>
      <c r="D291" s="46" t="s">
        <v>877</v>
      </c>
      <c r="E291" s="38"/>
      <c r="F291" s="49"/>
      <c r="G291" s="49"/>
      <c r="H291" s="49"/>
      <c r="I291" s="49"/>
    </row>
    <row r="292" ht="15.75" customHeight="1" spans="1:9">
      <c r="A292" s="47"/>
      <c r="B292" s="57" t="s">
        <v>742</v>
      </c>
      <c r="C292" s="56" t="s">
        <v>875</v>
      </c>
      <c r="D292" s="46" t="s">
        <v>878</v>
      </c>
      <c r="E292" s="52"/>
      <c r="F292" s="49"/>
      <c r="G292" s="49"/>
      <c r="H292" s="49"/>
      <c r="I292" s="49"/>
    </row>
    <row r="293" ht="15.75" customHeight="1" spans="1:9">
      <c r="A293" s="47"/>
      <c r="B293" s="57" t="s">
        <v>742</v>
      </c>
      <c r="C293" s="56" t="s">
        <v>875</v>
      </c>
      <c r="D293" s="46" t="s">
        <v>879</v>
      </c>
      <c r="E293" s="52"/>
      <c r="F293" s="49"/>
      <c r="G293" s="49"/>
      <c r="H293" s="49"/>
      <c r="I293" s="49"/>
    </row>
    <row r="294" ht="15.75" customHeight="1" spans="1:9">
      <c r="A294" s="47"/>
      <c r="B294" s="57" t="s">
        <v>742</v>
      </c>
      <c r="C294" s="56" t="s">
        <v>875</v>
      </c>
      <c r="D294" s="46" t="s">
        <v>880</v>
      </c>
      <c r="E294" s="52"/>
      <c r="F294" s="49"/>
      <c r="G294" s="49"/>
      <c r="H294" s="49"/>
      <c r="I294" s="49"/>
    </row>
    <row r="295" ht="15.75" customHeight="1" spans="1:9">
      <c r="A295" s="47"/>
      <c r="B295" s="57" t="s">
        <v>742</v>
      </c>
      <c r="C295" s="56" t="s">
        <v>875</v>
      </c>
      <c r="D295" s="46" t="s">
        <v>881</v>
      </c>
      <c r="E295" s="38"/>
      <c r="F295" s="49"/>
      <c r="G295" s="49"/>
      <c r="H295" s="49"/>
      <c r="I295" s="49"/>
    </row>
    <row r="296" ht="15.75" customHeight="1" spans="1:9">
      <c r="A296" s="47"/>
      <c r="B296" s="57" t="s">
        <v>742</v>
      </c>
      <c r="C296" s="56" t="s">
        <v>882</v>
      </c>
      <c r="D296" s="46" t="s">
        <v>883</v>
      </c>
      <c r="E296" s="38"/>
      <c r="F296" s="49"/>
      <c r="G296" s="49"/>
      <c r="H296" s="49"/>
      <c r="I296" s="49"/>
    </row>
    <row r="297" ht="15.75" customHeight="1" spans="1:9">
      <c r="A297" s="47"/>
      <c r="B297" s="57" t="s">
        <v>742</v>
      </c>
      <c r="C297" s="56" t="s">
        <v>882</v>
      </c>
      <c r="D297" s="46" t="s">
        <v>884</v>
      </c>
      <c r="E297" s="38"/>
      <c r="F297" s="49"/>
      <c r="G297" s="49"/>
      <c r="H297" s="49"/>
      <c r="I297" s="49"/>
    </row>
    <row r="298" ht="15.75" customHeight="1" spans="1:9">
      <c r="A298" s="47"/>
      <c r="B298" s="57" t="s">
        <v>742</v>
      </c>
      <c r="C298" s="56" t="s">
        <v>882</v>
      </c>
      <c r="D298" s="46" t="s">
        <v>885</v>
      </c>
      <c r="E298" s="38"/>
      <c r="F298" s="49"/>
      <c r="G298" s="49"/>
      <c r="H298" s="49"/>
      <c r="I298" s="49"/>
    </row>
    <row r="299" ht="15.75" customHeight="1" spans="1:9">
      <c r="A299" s="47"/>
      <c r="B299" s="57" t="s">
        <v>742</v>
      </c>
      <c r="C299" s="56" t="s">
        <v>882</v>
      </c>
      <c r="D299" s="46" t="s">
        <v>886</v>
      </c>
      <c r="E299" s="52"/>
      <c r="F299" s="49"/>
      <c r="G299" s="49"/>
      <c r="H299" s="49"/>
      <c r="I299" s="49"/>
    </row>
    <row r="300" ht="15.75" customHeight="1" spans="1:9">
      <c r="A300" s="47"/>
      <c r="B300" s="57" t="s">
        <v>742</v>
      </c>
      <c r="C300" s="56" t="s">
        <v>882</v>
      </c>
      <c r="D300" s="46"/>
      <c r="E300" s="52"/>
      <c r="F300" s="49"/>
      <c r="G300" s="49"/>
      <c r="H300" s="49"/>
      <c r="I300" s="49"/>
    </row>
    <row r="301" ht="15.75" customHeight="1" spans="1:9">
      <c r="A301" s="47"/>
      <c r="B301" s="57" t="s">
        <v>742</v>
      </c>
      <c r="C301" s="56" t="s">
        <v>887</v>
      </c>
      <c r="D301" s="46" t="s">
        <v>888</v>
      </c>
      <c r="E301" s="38"/>
      <c r="F301" s="49"/>
      <c r="G301" s="49"/>
      <c r="H301" s="49"/>
      <c r="I301" s="49"/>
    </row>
    <row r="302" ht="15.75" customHeight="1" spans="1:9">
      <c r="A302" s="47"/>
      <c r="B302" s="57" t="s">
        <v>742</v>
      </c>
      <c r="C302" s="56" t="s">
        <v>887</v>
      </c>
      <c r="D302" s="46" t="s">
        <v>889</v>
      </c>
      <c r="E302" s="38"/>
      <c r="F302" s="49"/>
      <c r="G302" s="49"/>
      <c r="H302" s="49"/>
      <c r="I302" s="49"/>
    </row>
    <row r="303" ht="15.75" customHeight="1" spans="1:9">
      <c r="A303" s="47"/>
      <c r="B303" s="57" t="s">
        <v>742</v>
      </c>
      <c r="C303" s="56" t="s">
        <v>887</v>
      </c>
      <c r="D303" s="46" t="s">
        <v>890</v>
      </c>
      <c r="E303" s="38"/>
      <c r="F303" s="49"/>
      <c r="G303" s="49"/>
      <c r="H303" s="49"/>
      <c r="I303" s="49"/>
    </row>
    <row r="304" ht="15.75" customHeight="1" spans="1:9">
      <c r="A304" s="47"/>
      <c r="B304" s="57" t="s">
        <v>742</v>
      </c>
      <c r="C304" s="56" t="s">
        <v>887</v>
      </c>
      <c r="D304" s="46" t="s">
        <v>891</v>
      </c>
      <c r="E304" s="38"/>
      <c r="F304" s="49"/>
      <c r="G304" s="49"/>
      <c r="H304" s="49"/>
      <c r="I304" s="49"/>
    </row>
    <row r="305" ht="15.75" customHeight="1" spans="1:9">
      <c r="A305" s="47"/>
      <c r="B305" s="57" t="s">
        <v>742</v>
      </c>
      <c r="C305" s="56" t="s">
        <v>887</v>
      </c>
      <c r="D305" s="46" t="s">
        <v>892</v>
      </c>
      <c r="E305" s="38"/>
      <c r="F305" s="49"/>
      <c r="G305" s="49"/>
      <c r="H305" s="49"/>
      <c r="I305" s="49"/>
    </row>
    <row r="306" ht="15.75" customHeight="1" spans="1:9">
      <c r="A306" s="47"/>
      <c r="B306" s="57" t="s">
        <v>742</v>
      </c>
      <c r="C306" s="56" t="s">
        <v>887</v>
      </c>
      <c r="D306" s="46" t="s">
        <v>893</v>
      </c>
      <c r="E306" s="38"/>
      <c r="F306" s="49"/>
      <c r="G306" s="49"/>
      <c r="H306" s="49"/>
      <c r="I306" s="49"/>
    </row>
    <row r="307" ht="15.75" customHeight="1" spans="1:9">
      <c r="A307" s="47"/>
      <c r="B307" s="57" t="s">
        <v>742</v>
      </c>
      <c r="C307" s="56" t="s">
        <v>887</v>
      </c>
      <c r="D307" s="46" t="s">
        <v>894</v>
      </c>
      <c r="E307" s="52"/>
      <c r="F307" s="49"/>
      <c r="G307" s="49"/>
      <c r="H307" s="49"/>
      <c r="I307" s="49"/>
    </row>
    <row r="308" ht="15.75" customHeight="1" spans="1:9">
      <c r="A308" s="47"/>
      <c r="B308" s="57" t="s">
        <v>742</v>
      </c>
      <c r="C308" s="56" t="s">
        <v>895</v>
      </c>
      <c r="D308" s="46" t="s">
        <v>896</v>
      </c>
      <c r="E308" s="38"/>
      <c r="F308" s="49"/>
      <c r="G308" s="49"/>
      <c r="H308" s="49"/>
      <c r="I308" s="49"/>
    </row>
    <row r="309" ht="15.75" customHeight="1" spans="1:9">
      <c r="A309" s="47"/>
      <c r="B309" s="57" t="s">
        <v>742</v>
      </c>
      <c r="C309" s="56" t="s">
        <v>895</v>
      </c>
      <c r="D309" s="46" t="s">
        <v>897</v>
      </c>
      <c r="E309" s="38"/>
      <c r="F309" s="49"/>
      <c r="G309" s="49"/>
      <c r="H309" s="49"/>
      <c r="I309" s="49"/>
    </row>
    <row r="310" ht="15.75" customHeight="1" spans="1:9">
      <c r="A310" s="47"/>
      <c r="B310" s="57" t="s">
        <v>742</v>
      </c>
      <c r="C310" s="56" t="s">
        <v>895</v>
      </c>
      <c r="D310" s="46" t="s">
        <v>898</v>
      </c>
      <c r="E310" s="38"/>
      <c r="F310" s="49"/>
      <c r="G310" s="49"/>
      <c r="H310" s="49"/>
      <c r="I310" s="49"/>
    </row>
    <row r="311" ht="15.75" customHeight="1" spans="1:9">
      <c r="A311" s="47"/>
      <c r="B311" s="57" t="s">
        <v>742</v>
      </c>
      <c r="C311" s="56" t="s">
        <v>895</v>
      </c>
      <c r="D311" s="46" t="s">
        <v>899</v>
      </c>
      <c r="E311" s="38"/>
      <c r="F311" s="49"/>
      <c r="G311" s="49"/>
      <c r="H311" s="49"/>
      <c r="I311" s="49"/>
    </row>
    <row r="312" ht="15.75" customHeight="1" spans="1:9">
      <c r="A312" s="47"/>
      <c r="B312" s="57" t="s">
        <v>742</v>
      </c>
      <c r="C312" s="56" t="s">
        <v>895</v>
      </c>
      <c r="D312" s="46" t="s">
        <v>900</v>
      </c>
      <c r="E312" s="52"/>
      <c r="F312" s="49"/>
      <c r="G312" s="49"/>
      <c r="H312" s="49"/>
      <c r="I312" s="49"/>
    </row>
    <row r="313" ht="15.75" customHeight="1" spans="1:9">
      <c r="A313" s="47"/>
      <c r="B313" s="57" t="s">
        <v>742</v>
      </c>
      <c r="C313" s="56" t="s">
        <v>901</v>
      </c>
      <c r="D313" s="46" t="s">
        <v>902</v>
      </c>
      <c r="E313" s="52"/>
      <c r="F313" s="49"/>
      <c r="G313" s="49"/>
      <c r="H313" s="49"/>
      <c r="I313" s="49"/>
    </row>
    <row r="314" ht="15.75" customHeight="1" spans="1:9">
      <c r="A314" s="47"/>
      <c r="B314" s="57" t="s">
        <v>742</v>
      </c>
      <c r="C314" s="56" t="s">
        <v>901</v>
      </c>
      <c r="D314" s="46" t="s">
        <v>903</v>
      </c>
      <c r="E314" s="52"/>
      <c r="F314" s="49"/>
      <c r="G314" s="49"/>
      <c r="H314" s="49"/>
      <c r="I314" s="49"/>
    </row>
    <row r="315" ht="15.75" customHeight="1" spans="1:9">
      <c r="A315" s="47"/>
      <c r="B315" s="57" t="s">
        <v>742</v>
      </c>
      <c r="C315" s="56" t="s">
        <v>901</v>
      </c>
      <c r="D315" s="46" t="s">
        <v>904</v>
      </c>
      <c r="E315" s="38"/>
      <c r="F315" s="49"/>
      <c r="G315" s="49"/>
      <c r="H315" s="49"/>
      <c r="I315" s="49"/>
    </row>
    <row r="316" ht="15.75" customHeight="1" spans="1:9">
      <c r="A316" s="47"/>
      <c r="B316" s="57" t="s">
        <v>742</v>
      </c>
      <c r="C316" s="56" t="s">
        <v>901</v>
      </c>
      <c r="D316" s="46" t="s">
        <v>905</v>
      </c>
      <c r="E316" s="38"/>
      <c r="F316" s="49"/>
      <c r="G316" s="49"/>
      <c r="H316" s="49"/>
      <c r="I316" s="49"/>
    </row>
    <row r="317" ht="15.75" customHeight="1" spans="1:9">
      <c r="A317" s="47"/>
      <c r="B317" s="57" t="s">
        <v>742</v>
      </c>
      <c r="C317" s="56" t="s">
        <v>901</v>
      </c>
      <c r="D317" s="46" t="s">
        <v>906</v>
      </c>
      <c r="E317" s="38"/>
      <c r="F317" s="49"/>
      <c r="G317" s="49"/>
      <c r="H317" s="49"/>
      <c r="I317" s="49"/>
    </row>
    <row r="318" ht="15.75" customHeight="1" spans="1:9">
      <c r="A318" s="47"/>
      <c r="B318" s="57" t="s">
        <v>742</v>
      </c>
      <c r="C318" s="56" t="s">
        <v>901</v>
      </c>
      <c r="D318" s="46" t="s">
        <v>907</v>
      </c>
      <c r="E318" s="38"/>
      <c r="F318" s="49"/>
      <c r="G318" s="49"/>
      <c r="H318" s="49"/>
      <c r="I318" s="49"/>
    </row>
    <row r="319" ht="15.75" customHeight="1" spans="1:9">
      <c r="A319" s="47"/>
      <c r="B319" s="57" t="s">
        <v>742</v>
      </c>
      <c r="C319" s="56" t="s">
        <v>908</v>
      </c>
      <c r="D319" s="46" t="s">
        <v>909</v>
      </c>
      <c r="E319" s="38"/>
      <c r="F319" s="49"/>
      <c r="G319" s="49"/>
      <c r="H319" s="49"/>
      <c r="I319" s="49"/>
    </row>
    <row r="320" ht="15.75" customHeight="1" spans="1:9">
      <c r="A320" s="47"/>
      <c r="B320" s="57" t="s">
        <v>742</v>
      </c>
      <c r="C320" s="56" t="s">
        <v>908</v>
      </c>
      <c r="D320" s="46" t="s">
        <v>910</v>
      </c>
      <c r="E320" s="38"/>
      <c r="F320" s="49"/>
      <c r="G320" s="49"/>
      <c r="H320" s="49"/>
      <c r="I320" s="49"/>
    </row>
    <row r="321" ht="15.75" customHeight="1" spans="1:9">
      <c r="A321" s="47"/>
      <c r="B321" s="57" t="s">
        <v>742</v>
      </c>
      <c r="C321" s="56" t="s">
        <v>908</v>
      </c>
      <c r="D321" s="46" t="s">
        <v>911</v>
      </c>
      <c r="E321" s="38"/>
      <c r="F321" s="49"/>
      <c r="G321" s="49"/>
      <c r="H321" s="49"/>
      <c r="I321" s="49"/>
    </row>
    <row r="322" ht="15.75" customHeight="1" spans="1:9">
      <c r="A322" s="47"/>
      <c r="B322" s="57" t="s">
        <v>742</v>
      </c>
      <c r="C322" s="56" t="s">
        <v>908</v>
      </c>
      <c r="D322" s="46" t="s">
        <v>912</v>
      </c>
      <c r="E322" s="38"/>
      <c r="F322" s="49"/>
      <c r="G322" s="49"/>
      <c r="H322" s="49"/>
      <c r="I322" s="49"/>
    </row>
    <row r="323" ht="15.75" customHeight="1" spans="1:9">
      <c r="A323" s="47"/>
      <c r="B323" s="57" t="s">
        <v>742</v>
      </c>
      <c r="C323" s="56" t="s">
        <v>908</v>
      </c>
      <c r="D323" s="46" t="s">
        <v>913</v>
      </c>
      <c r="E323" s="38"/>
      <c r="F323" s="49"/>
      <c r="G323" s="49"/>
      <c r="H323" s="49"/>
      <c r="I323" s="49"/>
    </row>
    <row r="324" ht="15.75" customHeight="1" spans="1:9">
      <c r="A324" s="47"/>
      <c r="B324" s="57" t="s">
        <v>742</v>
      </c>
      <c r="C324" s="56" t="s">
        <v>914</v>
      </c>
      <c r="D324" s="46" t="s">
        <v>915</v>
      </c>
      <c r="E324" s="38"/>
      <c r="F324" s="49"/>
      <c r="G324" s="49"/>
      <c r="H324" s="49"/>
      <c r="I324" s="49"/>
    </row>
    <row r="325" ht="15.75" customHeight="1" spans="1:9">
      <c r="A325" s="47"/>
      <c r="B325" s="57" t="s">
        <v>742</v>
      </c>
      <c r="C325" s="56" t="s">
        <v>914</v>
      </c>
      <c r="D325" s="46" t="s">
        <v>916</v>
      </c>
      <c r="E325" s="38"/>
      <c r="F325" s="49"/>
      <c r="G325" s="49"/>
      <c r="H325" s="49"/>
      <c r="I325" s="49"/>
    </row>
    <row r="326" ht="15.75" customHeight="1" spans="1:9">
      <c r="A326" s="47"/>
      <c r="B326" s="57" t="s">
        <v>742</v>
      </c>
      <c r="C326" s="56" t="s">
        <v>914</v>
      </c>
      <c r="D326" s="46" t="s">
        <v>917</v>
      </c>
      <c r="E326" s="38"/>
      <c r="F326" s="49"/>
      <c r="G326" s="49"/>
      <c r="H326" s="49"/>
      <c r="I326" s="49"/>
    </row>
    <row r="327" ht="15.75" customHeight="1" spans="1:9">
      <c r="A327" s="47"/>
      <c r="B327" s="57" t="s">
        <v>742</v>
      </c>
      <c r="C327" s="56" t="s">
        <v>918</v>
      </c>
      <c r="D327" s="46" t="s">
        <v>919</v>
      </c>
      <c r="E327" s="52"/>
      <c r="F327" s="49"/>
      <c r="G327" s="49"/>
      <c r="H327" s="49"/>
      <c r="I327" s="49"/>
    </row>
    <row r="328" ht="15.75" customHeight="1" spans="1:9">
      <c r="A328" s="47"/>
      <c r="B328" s="57" t="s">
        <v>742</v>
      </c>
      <c r="C328" s="56" t="s">
        <v>918</v>
      </c>
      <c r="D328" s="46" t="s">
        <v>920</v>
      </c>
      <c r="E328" s="52"/>
      <c r="F328" s="49"/>
      <c r="G328" s="49"/>
      <c r="H328" s="49"/>
      <c r="I328" s="49"/>
    </row>
    <row r="329" ht="15.75" customHeight="1" spans="1:9">
      <c r="A329" s="47"/>
      <c r="B329" s="57" t="s">
        <v>742</v>
      </c>
      <c r="C329" s="56" t="s">
        <v>918</v>
      </c>
      <c r="D329" s="46" t="s">
        <v>921</v>
      </c>
      <c r="E329" s="38"/>
      <c r="F329" s="49"/>
      <c r="G329" s="49"/>
      <c r="H329" s="49"/>
      <c r="I329" s="49"/>
    </row>
    <row r="330" ht="15.75" customHeight="1" spans="1:9">
      <c r="A330" s="47"/>
      <c r="B330" s="57" t="s">
        <v>742</v>
      </c>
      <c r="C330" s="56" t="s">
        <v>918</v>
      </c>
      <c r="D330" s="46" t="s">
        <v>922</v>
      </c>
      <c r="E330" s="38"/>
      <c r="F330" s="49"/>
      <c r="G330" s="49"/>
      <c r="H330" s="49"/>
      <c r="I330" s="49"/>
    </row>
    <row r="331" ht="15.75" customHeight="1" spans="1:9">
      <c r="A331" s="47"/>
      <c r="B331" s="57" t="s">
        <v>742</v>
      </c>
      <c r="C331" s="56" t="s">
        <v>923</v>
      </c>
      <c r="D331" s="46" t="s">
        <v>924</v>
      </c>
      <c r="E331" s="38"/>
      <c r="F331" s="49"/>
      <c r="G331" s="49"/>
      <c r="H331" s="49"/>
      <c r="I331" s="49"/>
    </row>
    <row r="332" ht="15.75" customHeight="1" spans="1:9">
      <c r="A332" s="47"/>
      <c r="B332" s="57" t="s">
        <v>742</v>
      </c>
      <c r="C332" s="56" t="s">
        <v>923</v>
      </c>
      <c r="D332" s="46" t="s">
        <v>925</v>
      </c>
      <c r="E332" s="38"/>
      <c r="F332" s="49"/>
      <c r="G332" s="49"/>
      <c r="H332" s="49"/>
      <c r="I332" s="49"/>
    </row>
    <row r="333" ht="15.75" customHeight="1" spans="1:9">
      <c r="A333" s="47"/>
      <c r="B333" s="57" t="s">
        <v>742</v>
      </c>
      <c r="C333" s="56" t="s">
        <v>923</v>
      </c>
      <c r="D333" s="46" t="s">
        <v>926</v>
      </c>
      <c r="E333" s="38"/>
      <c r="F333" s="49"/>
      <c r="G333" s="49"/>
      <c r="H333" s="49"/>
      <c r="I333" s="49"/>
    </row>
    <row r="334" ht="15.75" customHeight="1" spans="1:9">
      <c r="A334" s="47"/>
      <c r="B334" s="57" t="s">
        <v>742</v>
      </c>
      <c r="C334" s="56" t="s">
        <v>923</v>
      </c>
      <c r="D334" s="46" t="s">
        <v>927</v>
      </c>
      <c r="E334" s="38"/>
      <c r="F334" s="49"/>
      <c r="G334" s="49"/>
      <c r="H334" s="49"/>
      <c r="I334" s="49"/>
    </row>
    <row r="335" ht="15.75" customHeight="1" spans="1:9">
      <c r="A335" s="47"/>
      <c r="B335" s="57" t="s">
        <v>742</v>
      </c>
      <c r="C335" s="56" t="s">
        <v>928</v>
      </c>
      <c r="D335" s="46" t="s">
        <v>929</v>
      </c>
      <c r="E335" s="38"/>
      <c r="F335" s="49"/>
      <c r="G335" s="49"/>
      <c r="H335" s="49"/>
      <c r="I335" s="49"/>
    </row>
    <row r="336" ht="15.75" customHeight="1" spans="1:9">
      <c r="A336" s="47"/>
      <c r="B336" s="57" t="s">
        <v>742</v>
      </c>
      <c r="C336" s="56" t="s">
        <v>928</v>
      </c>
      <c r="D336" s="46" t="s">
        <v>930</v>
      </c>
      <c r="E336" s="38"/>
      <c r="F336" s="49"/>
      <c r="G336" s="49"/>
      <c r="H336" s="49"/>
      <c r="I336" s="49"/>
    </row>
    <row r="337" ht="15.75" customHeight="1" spans="1:9">
      <c r="A337" s="47"/>
      <c r="B337" s="57" t="s">
        <v>742</v>
      </c>
      <c r="C337" s="56" t="s">
        <v>928</v>
      </c>
      <c r="D337" s="46" t="s">
        <v>931</v>
      </c>
      <c r="E337" s="38"/>
      <c r="F337" s="49"/>
      <c r="G337" s="49"/>
      <c r="H337" s="49"/>
      <c r="I337" s="49"/>
    </row>
    <row r="338" ht="15.75" customHeight="1" spans="1:9">
      <c r="A338" s="47"/>
      <c r="B338" s="57" t="s">
        <v>742</v>
      </c>
      <c r="C338" s="56" t="s">
        <v>928</v>
      </c>
      <c r="D338" s="46" t="s">
        <v>932</v>
      </c>
      <c r="E338" s="38"/>
      <c r="F338" s="49"/>
      <c r="G338" s="49"/>
      <c r="H338" s="49"/>
      <c r="I338" s="49"/>
    </row>
    <row r="339" ht="15.75" customHeight="1" spans="1:9">
      <c r="A339" s="47"/>
      <c r="B339" s="57" t="s">
        <v>742</v>
      </c>
      <c r="C339" s="56" t="s">
        <v>928</v>
      </c>
      <c r="D339" s="46" t="s">
        <v>933</v>
      </c>
      <c r="E339" s="38"/>
      <c r="F339" s="49"/>
      <c r="G339" s="49"/>
      <c r="H339" s="49"/>
      <c r="I339" s="49"/>
    </row>
    <row r="340" ht="15.75" customHeight="1" spans="1:9">
      <c r="A340" s="47"/>
      <c r="B340" s="57" t="s">
        <v>742</v>
      </c>
      <c r="C340" s="56" t="s">
        <v>934</v>
      </c>
      <c r="D340" s="46" t="s">
        <v>935</v>
      </c>
      <c r="E340" s="38"/>
      <c r="F340" s="49"/>
      <c r="G340" s="49"/>
      <c r="H340" s="49"/>
      <c r="I340" s="49"/>
    </row>
    <row r="341" ht="15.75" customHeight="1" spans="1:9">
      <c r="A341" s="47"/>
      <c r="B341" s="57" t="s">
        <v>742</v>
      </c>
      <c r="C341" s="56" t="s">
        <v>934</v>
      </c>
      <c r="D341" s="46" t="s">
        <v>936</v>
      </c>
      <c r="E341" s="52"/>
      <c r="F341" s="49"/>
      <c r="G341" s="49"/>
      <c r="H341" s="49"/>
      <c r="I341" s="49"/>
    </row>
    <row r="342" ht="15.75" customHeight="1" spans="1:9">
      <c r="A342" s="47"/>
      <c r="B342" s="57" t="s">
        <v>742</v>
      </c>
      <c r="C342" s="56" t="s">
        <v>934</v>
      </c>
      <c r="D342" s="46" t="s">
        <v>937</v>
      </c>
      <c r="E342" s="52"/>
      <c r="F342" s="49"/>
      <c r="G342" s="49"/>
      <c r="H342" s="49"/>
      <c r="I342" s="49"/>
    </row>
    <row r="343" ht="15.75" customHeight="1" spans="1:9">
      <c r="A343" s="47"/>
      <c r="B343" s="57" t="s">
        <v>742</v>
      </c>
      <c r="C343" s="56" t="s">
        <v>934</v>
      </c>
      <c r="D343" s="46" t="s">
        <v>938</v>
      </c>
      <c r="E343" s="38"/>
      <c r="F343" s="49"/>
      <c r="G343" s="49"/>
      <c r="H343" s="49"/>
      <c r="I343" s="49"/>
    </row>
    <row r="344" ht="15.75" customHeight="1" spans="1:9">
      <c r="A344" s="47"/>
      <c r="B344" s="57" t="s">
        <v>742</v>
      </c>
      <c r="C344" s="56" t="s">
        <v>934</v>
      </c>
      <c r="D344" s="46" t="s">
        <v>939</v>
      </c>
      <c r="E344" s="38"/>
      <c r="F344" s="49"/>
      <c r="G344" s="49"/>
      <c r="H344" s="49"/>
      <c r="I344" s="49"/>
    </row>
    <row r="345" ht="15.75" customHeight="1" spans="1:9">
      <c r="A345" s="47"/>
      <c r="B345" s="57" t="s">
        <v>742</v>
      </c>
      <c r="C345" s="56" t="s">
        <v>940</v>
      </c>
      <c r="D345" s="46" t="s">
        <v>941</v>
      </c>
      <c r="E345" s="38"/>
      <c r="F345" s="49"/>
      <c r="G345" s="49"/>
      <c r="H345" s="49"/>
      <c r="I345" s="49"/>
    </row>
    <row r="346" ht="15.75" customHeight="1" spans="1:9">
      <c r="A346" s="47"/>
      <c r="B346" s="57" t="s">
        <v>742</v>
      </c>
      <c r="C346" s="56" t="s">
        <v>940</v>
      </c>
      <c r="D346" s="46" t="s">
        <v>942</v>
      </c>
      <c r="E346" s="38"/>
      <c r="F346" s="49"/>
      <c r="G346" s="49"/>
      <c r="H346" s="49"/>
      <c r="I346" s="49"/>
    </row>
    <row r="347" ht="15.75" customHeight="1" spans="1:9">
      <c r="A347" s="47"/>
      <c r="B347" s="57" t="s">
        <v>742</v>
      </c>
      <c r="C347" s="56" t="s">
        <v>940</v>
      </c>
      <c r="D347" s="46" t="s">
        <v>943</v>
      </c>
      <c r="E347" s="38"/>
      <c r="F347" s="49"/>
      <c r="G347" s="49"/>
      <c r="H347" s="49"/>
      <c r="I347" s="49"/>
    </row>
    <row r="348" ht="15.75" customHeight="1" spans="1:9">
      <c r="A348" s="47"/>
      <c r="B348" s="57" t="s">
        <v>742</v>
      </c>
      <c r="C348" s="56" t="s">
        <v>940</v>
      </c>
      <c r="D348" s="46" t="s">
        <v>944</v>
      </c>
      <c r="E348" s="38"/>
      <c r="F348" s="49"/>
      <c r="G348" s="49"/>
      <c r="H348" s="49"/>
      <c r="I348" s="49"/>
    </row>
    <row r="349" ht="15.75" customHeight="1" spans="1:9">
      <c r="A349" s="47"/>
      <c r="B349" s="57" t="s">
        <v>742</v>
      </c>
      <c r="C349" s="56" t="s">
        <v>940</v>
      </c>
      <c r="D349" s="46" t="s">
        <v>945</v>
      </c>
      <c r="E349" s="38"/>
      <c r="F349" s="49"/>
      <c r="G349" s="49"/>
      <c r="H349" s="49"/>
      <c r="I349" s="49"/>
    </row>
    <row r="350" ht="15.75" customHeight="1" spans="1:9">
      <c r="A350" s="47"/>
      <c r="B350" s="57" t="s">
        <v>742</v>
      </c>
      <c r="C350" s="56" t="s">
        <v>940</v>
      </c>
      <c r="D350" s="46" t="s">
        <v>946</v>
      </c>
      <c r="E350" s="38"/>
      <c r="F350" s="49"/>
      <c r="G350" s="49"/>
      <c r="H350" s="49"/>
      <c r="I350" s="49"/>
    </row>
    <row r="351" ht="15.75" customHeight="1" spans="1:9">
      <c r="A351" s="47"/>
      <c r="B351" s="57" t="s">
        <v>742</v>
      </c>
      <c r="C351" s="56" t="s">
        <v>947</v>
      </c>
      <c r="D351" s="46" t="s">
        <v>948</v>
      </c>
      <c r="E351" s="38"/>
      <c r="F351" s="49"/>
      <c r="G351" s="49"/>
      <c r="H351" s="49"/>
      <c r="I351" s="49"/>
    </row>
    <row r="352" ht="15.75" customHeight="1" spans="1:9">
      <c r="A352" s="47"/>
      <c r="B352" s="57" t="s">
        <v>742</v>
      </c>
      <c r="C352" s="56" t="s">
        <v>947</v>
      </c>
      <c r="D352" s="46" t="s">
        <v>949</v>
      </c>
      <c r="E352" s="52"/>
      <c r="F352" s="49"/>
      <c r="G352" s="49"/>
      <c r="H352" s="49"/>
      <c r="I352" s="49"/>
    </row>
    <row r="353" ht="15.75" customHeight="1" spans="1:9">
      <c r="A353" s="47"/>
      <c r="B353" s="57" t="s">
        <v>742</v>
      </c>
      <c r="C353" s="56" t="s">
        <v>947</v>
      </c>
      <c r="D353" s="46" t="s">
        <v>950</v>
      </c>
      <c r="E353" s="52"/>
      <c r="F353" s="49"/>
      <c r="G353" s="49"/>
      <c r="H353" s="49"/>
      <c r="I353" s="49"/>
    </row>
    <row r="354" ht="15.75" customHeight="1" spans="1:9">
      <c r="A354" s="47"/>
      <c r="B354" s="57" t="s">
        <v>742</v>
      </c>
      <c r="C354" s="56" t="s">
        <v>947</v>
      </c>
      <c r="D354" s="46" t="s">
        <v>951</v>
      </c>
      <c r="E354" s="52"/>
      <c r="F354" s="49"/>
      <c r="G354" s="49"/>
      <c r="H354" s="49"/>
      <c r="I354" s="49"/>
    </row>
    <row r="355" ht="15.75" customHeight="1" spans="1:9">
      <c r="A355" s="47"/>
      <c r="B355" s="57" t="s">
        <v>742</v>
      </c>
      <c r="C355" s="56" t="s">
        <v>947</v>
      </c>
      <c r="D355" s="46" t="s">
        <v>952</v>
      </c>
      <c r="E355" s="52"/>
      <c r="F355" s="49"/>
      <c r="G355" s="49"/>
      <c r="H355" s="49"/>
      <c r="I355" s="49"/>
    </row>
    <row r="356" ht="15.75" customHeight="1" spans="1:9">
      <c r="A356" s="47"/>
      <c r="B356" s="57" t="s">
        <v>742</v>
      </c>
      <c r="C356" s="56" t="s">
        <v>953</v>
      </c>
      <c r="D356" s="46" t="s">
        <v>954</v>
      </c>
      <c r="E356" s="38"/>
      <c r="F356" s="49"/>
      <c r="G356" s="49"/>
      <c r="H356" s="49"/>
      <c r="I356" s="49"/>
    </row>
    <row r="357" ht="15.75" customHeight="1" spans="1:9">
      <c r="A357" s="47"/>
      <c r="B357" s="57" t="s">
        <v>742</v>
      </c>
      <c r="C357" s="56" t="s">
        <v>953</v>
      </c>
      <c r="D357" s="46" t="s">
        <v>955</v>
      </c>
      <c r="E357" s="38"/>
      <c r="F357" s="49"/>
      <c r="G357" s="49"/>
      <c r="H357" s="49"/>
      <c r="I357" s="49"/>
    </row>
    <row r="358" ht="15.75" customHeight="1" spans="1:9">
      <c r="A358" s="47"/>
      <c r="B358" s="57" t="s">
        <v>742</v>
      </c>
      <c r="C358" s="56" t="s">
        <v>953</v>
      </c>
      <c r="D358" s="46" t="s">
        <v>956</v>
      </c>
      <c r="E358" s="38"/>
      <c r="F358" s="49"/>
      <c r="G358" s="49"/>
      <c r="H358" s="49"/>
      <c r="I358" s="49"/>
    </row>
    <row r="359" ht="15.75" customHeight="1" spans="1:9">
      <c r="A359" s="47"/>
      <c r="B359" s="57" t="s">
        <v>742</v>
      </c>
      <c r="C359" s="56" t="s">
        <v>953</v>
      </c>
      <c r="D359" s="46" t="s">
        <v>957</v>
      </c>
      <c r="E359" s="38"/>
      <c r="F359" s="49"/>
      <c r="G359" s="49"/>
      <c r="H359" s="49"/>
      <c r="I359" s="49"/>
    </row>
    <row r="360" ht="15.75" customHeight="1" spans="1:9">
      <c r="A360" s="47"/>
      <c r="B360" s="57" t="s">
        <v>742</v>
      </c>
      <c r="C360" s="56" t="s">
        <v>953</v>
      </c>
      <c r="D360" s="46" t="s">
        <v>958</v>
      </c>
      <c r="E360" s="38"/>
      <c r="F360" s="49"/>
      <c r="G360" s="49"/>
      <c r="H360" s="49"/>
      <c r="I360" s="49"/>
    </row>
    <row r="361" ht="15.75" customHeight="1" spans="1:9">
      <c r="A361" s="47"/>
      <c r="B361" s="57" t="s">
        <v>742</v>
      </c>
      <c r="C361" s="56" t="s">
        <v>959</v>
      </c>
      <c r="D361" s="46" t="s">
        <v>960</v>
      </c>
      <c r="E361" s="38"/>
      <c r="F361" s="49"/>
      <c r="G361" s="49"/>
      <c r="H361" s="49"/>
      <c r="I361" s="49"/>
    </row>
    <row r="362" ht="15.75" customHeight="1" spans="1:9">
      <c r="A362" s="47"/>
      <c r="B362" s="57" t="s">
        <v>742</v>
      </c>
      <c r="C362" s="56" t="s">
        <v>959</v>
      </c>
      <c r="D362" s="46" t="s">
        <v>961</v>
      </c>
      <c r="E362" s="38"/>
      <c r="F362" s="49"/>
      <c r="G362" s="49"/>
      <c r="H362" s="49"/>
      <c r="I362" s="49"/>
    </row>
    <row r="363" ht="15.75" customHeight="1" spans="1:9">
      <c r="A363" s="47"/>
      <c r="B363" s="57" t="s">
        <v>742</v>
      </c>
      <c r="C363" s="56" t="s">
        <v>959</v>
      </c>
      <c r="D363" s="46" t="s">
        <v>962</v>
      </c>
      <c r="E363" s="38"/>
      <c r="F363" s="49"/>
      <c r="G363" s="49"/>
      <c r="H363" s="49"/>
      <c r="I363" s="49"/>
    </row>
    <row r="364" ht="15.75" customHeight="1" spans="1:9">
      <c r="A364" s="47"/>
      <c r="B364" s="57" t="s">
        <v>742</v>
      </c>
      <c r="C364" s="56" t="s">
        <v>959</v>
      </c>
      <c r="D364" s="46" t="s">
        <v>963</v>
      </c>
      <c r="E364" s="38"/>
      <c r="F364" s="49"/>
      <c r="G364" s="49"/>
      <c r="H364" s="49"/>
      <c r="I364" s="49"/>
    </row>
    <row r="365" ht="15.75" customHeight="1" spans="1:9">
      <c r="A365" s="47"/>
      <c r="B365" s="57" t="s">
        <v>742</v>
      </c>
      <c r="C365" s="56" t="s">
        <v>959</v>
      </c>
      <c r="D365" s="46" t="s">
        <v>964</v>
      </c>
      <c r="E365" s="38"/>
      <c r="F365" s="49"/>
      <c r="G365" s="49"/>
      <c r="H365" s="49"/>
      <c r="I365" s="49"/>
    </row>
    <row r="366" ht="15.75" customHeight="1" spans="1:9">
      <c r="A366" s="47"/>
      <c r="B366" s="57" t="s">
        <v>742</v>
      </c>
      <c r="C366" s="56" t="s">
        <v>965</v>
      </c>
      <c r="D366" s="46" t="s">
        <v>966</v>
      </c>
      <c r="E366" s="52"/>
      <c r="F366" s="49"/>
      <c r="G366" s="49"/>
      <c r="H366" s="49"/>
      <c r="I366" s="49"/>
    </row>
    <row r="367" ht="15.75" customHeight="1" spans="1:9">
      <c r="A367" s="47"/>
      <c r="B367" s="57" t="s">
        <v>742</v>
      </c>
      <c r="C367" s="56" t="s">
        <v>965</v>
      </c>
      <c r="D367" s="46" t="s">
        <v>967</v>
      </c>
      <c r="E367" s="38"/>
      <c r="F367" s="49"/>
      <c r="G367" s="49"/>
      <c r="H367" s="49"/>
      <c r="I367" s="49"/>
    </row>
    <row r="368" ht="15.75" customHeight="1" spans="1:9">
      <c r="A368" s="47"/>
      <c r="B368" s="57" t="s">
        <v>742</v>
      </c>
      <c r="C368" s="56" t="s">
        <v>965</v>
      </c>
      <c r="D368" s="46" t="s">
        <v>968</v>
      </c>
      <c r="E368" s="52"/>
      <c r="F368" s="49"/>
      <c r="G368" s="49"/>
      <c r="H368" s="49"/>
      <c r="I368" s="49"/>
    </row>
    <row r="369" ht="15.75" customHeight="1" spans="1:9">
      <c r="A369" s="47"/>
      <c r="B369" s="57" t="s">
        <v>742</v>
      </c>
      <c r="C369" s="56" t="s">
        <v>965</v>
      </c>
      <c r="D369" s="46" t="s">
        <v>969</v>
      </c>
      <c r="E369" s="52"/>
      <c r="F369" s="49"/>
      <c r="G369" s="49"/>
      <c r="H369" s="49"/>
      <c r="I369" s="49"/>
    </row>
    <row r="370" ht="15.75" customHeight="1" spans="1:9">
      <c r="A370" s="47"/>
      <c r="B370" s="57" t="s">
        <v>742</v>
      </c>
      <c r="C370" s="56" t="s">
        <v>965</v>
      </c>
      <c r="D370" s="59" t="s">
        <v>970</v>
      </c>
      <c r="E370" s="38"/>
      <c r="F370" s="49"/>
      <c r="G370" s="49"/>
      <c r="H370" s="49"/>
      <c r="I370" s="49"/>
    </row>
    <row r="371" ht="15.75" customHeight="1" spans="1:9">
      <c r="A371" s="47"/>
      <c r="B371" s="57" t="s">
        <v>742</v>
      </c>
      <c r="C371" s="56" t="s">
        <v>965</v>
      </c>
      <c r="D371" s="46" t="s">
        <v>971</v>
      </c>
      <c r="E371" s="38"/>
      <c r="F371" s="49"/>
      <c r="G371" s="49"/>
      <c r="H371" s="49"/>
      <c r="I371" s="49"/>
    </row>
    <row r="372" ht="15.75" customHeight="1" spans="1:9">
      <c r="A372" s="47"/>
      <c r="B372" s="57" t="s">
        <v>742</v>
      </c>
      <c r="C372" s="56" t="s">
        <v>972</v>
      </c>
      <c r="D372" s="46" t="s">
        <v>973</v>
      </c>
      <c r="E372" s="38"/>
      <c r="F372" s="49"/>
      <c r="G372" s="49"/>
      <c r="H372" s="49"/>
      <c r="I372" s="49"/>
    </row>
    <row r="373" ht="15.75" customHeight="1" spans="1:9">
      <c r="A373" s="47"/>
      <c r="B373" s="57" t="s">
        <v>742</v>
      </c>
      <c r="C373" s="56" t="s">
        <v>972</v>
      </c>
      <c r="D373" s="46" t="s">
        <v>974</v>
      </c>
      <c r="E373" s="38"/>
      <c r="F373" s="49"/>
      <c r="G373" s="49"/>
      <c r="H373" s="49"/>
      <c r="I373" s="49"/>
    </row>
    <row r="374" ht="15.75" customHeight="1" spans="1:9">
      <c r="A374" s="47"/>
      <c r="B374" s="57" t="s">
        <v>742</v>
      </c>
      <c r="C374" s="56" t="s">
        <v>972</v>
      </c>
      <c r="D374" s="46" t="s">
        <v>975</v>
      </c>
      <c r="E374" s="38"/>
      <c r="F374" s="49"/>
      <c r="G374" s="49"/>
      <c r="H374" s="49"/>
      <c r="I374" s="49"/>
    </row>
    <row r="375" ht="15.75" customHeight="1" spans="1:9">
      <c r="A375" s="47"/>
      <c r="B375" s="57" t="s">
        <v>742</v>
      </c>
      <c r="C375" s="56" t="s">
        <v>972</v>
      </c>
      <c r="D375" s="46" t="s">
        <v>976</v>
      </c>
      <c r="E375" s="38"/>
      <c r="F375" s="49"/>
      <c r="G375" s="49"/>
      <c r="H375" s="49"/>
      <c r="I375" s="49"/>
    </row>
    <row r="376" ht="15.75" customHeight="1" spans="1:9">
      <c r="A376" s="47"/>
      <c r="B376" s="57" t="s">
        <v>742</v>
      </c>
      <c r="C376" s="56" t="s">
        <v>972</v>
      </c>
      <c r="D376" s="46" t="s">
        <v>977</v>
      </c>
      <c r="E376" s="52"/>
      <c r="F376" s="49"/>
      <c r="G376" s="49"/>
      <c r="H376" s="49"/>
      <c r="I376" s="49"/>
    </row>
    <row r="377" ht="15.75" customHeight="1" spans="1:9">
      <c r="A377" s="47"/>
      <c r="B377" s="57" t="s">
        <v>742</v>
      </c>
      <c r="C377" s="56" t="s">
        <v>978</v>
      </c>
      <c r="D377" s="46" t="s">
        <v>979</v>
      </c>
      <c r="E377" s="38"/>
      <c r="F377" s="49"/>
      <c r="G377" s="49"/>
      <c r="H377" s="49"/>
      <c r="I377" s="49"/>
    </row>
    <row r="378" ht="15.75" customHeight="1" spans="1:9">
      <c r="A378" s="47"/>
      <c r="B378" s="57" t="s">
        <v>742</v>
      </c>
      <c r="C378" s="56" t="s">
        <v>978</v>
      </c>
      <c r="D378" s="59" t="s">
        <v>980</v>
      </c>
      <c r="E378" s="38"/>
      <c r="F378" s="49"/>
      <c r="G378" s="49"/>
      <c r="H378" s="49"/>
      <c r="I378" s="49"/>
    </row>
    <row r="379" ht="15.75" customHeight="1" spans="1:9">
      <c r="A379" s="47"/>
      <c r="B379" s="57" t="s">
        <v>742</v>
      </c>
      <c r="C379" s="56" t="s">
        <v>978</v>
      </c>
      <c r="D379" s="59" t="s">
        <v>981</v>
      </c>
      <c r="E379" s="38"/>
      <c r="F379" s="49"/>
      <c r="G379" s="49"/>
      <c r="H379" s="49"/>
      <c r="I379" s="49"/>
    </row>
    <row r="380" ht="15.75" customHeight="1" spans="1:9">
      <c r="A380" s="47"/>
      <c r="B380" s="57" t="s">
        <v>742</v>
      </c>
      <c r="C380" s="56" t="s">
        <v>978</v>
      </c>
      <c r="D380" s="46" t="s">
        <v>982</v>
      </c>
      <c r="E380" s="38"/>
      <c r="F380" s="49"/>
      <c r="G380" s="49"/>
      <c r="H380" s="49"/>
      <c r="I380" s="49"/>
    </row>
    <row r="381" ht="15.75" customHeight="1" spans="1:9">
      <c r="A381" s="47"/>
      <c r="B381" s="57" t="s">
        <v>742</v>
      </c>
      <c r="C381" s="56" t="s">
        <v>978</v>
      </c>
      <c r="D381" s="46" t="s">
        <v>983</v>
      </c>
      <c r="E381" s="38"/>
      <c r="F381" s="49"/>
      <c r="G381" s="49"/>
      <c r="H381" s="49"/>
      <c r="I381" s="49"/>
    </row>
    <row r="382" ht="15.75" customHeight="1" spans="1:9">
      <c r="A382" s="47"/>
      <c r="B382" s="57" t="s">
        <v>742</v>
      </c>
      <c r="C382" s="56" t="s">
        <v>978</v>
      </c>
      <c r="D382" s="46" t="s">
        <v>984</v>
      </c>
      <c r="E382" s="52"/>
      <c r="F382" s="49"/>
      <c r="G382" s="49"/>
      <c r="H382" s="49"/>
      <c r="I382" s="49"/>
    </row>
    <row r="383" ht="15.75" customHeight="1" spans="1:9">
      <c r="A383" s="47"/>
      <c r="B383" s="57" t="s">
        <v>742</v>
      </c>
      <c r="C383" s="56" t="s">
        <v>985</v>
      </c>
      <c r="D383" s="46" t="s">
        <v>986</v>
      </c>
      <c r="E383" s="38"/>
      <c r="F383" s="49"/>
      <c r="G383" s="49"/>
      <c r="H383" s="49"/>
      <c r="I383" s="49"/>
    </row>
    <row r="384" ht="15.75" customHeight="1" spans="1:9">
      <c r="A384" s="47"/>
      <c r="B384" s="57" t="s">
        <v>742</v>
      </c>
      <c r="C384" s="56" t="s">
        <v>985</v>
      </c>
      <c r="D384" s="46" t="s">
        <v>987</v>
      </c>
      <c r="E384" s="38"/>
      <c r="F384" s="49"/>
      <c r="G384" s="49"/>
      <c r="H384" s="49"/>
      <c r="I384" s="49"/>
    </row>
    <row r="385" ht="15.75" customHeight="1" spans="1:9">
      <c r="A385" s="47"/>
      <c r="B385" s="57" t="s">
        <v>742</v>
      </c>
      <c r="C385" s="56" t="s">
        <v>985</v>
      </c>
      <c r="D385" s="46" t="s">
        <v>988</v>
      </c>
      <c r="E385" s="38"/>
      <c r="F385" s="49"/>
      <c r="G385" s="49"/>
      <c r="H385" s="49"/>
      <c r="I385" s="49"/>
    </row>
    <row r="386" ht="15.75" customHeight="1" spans="1:9">
      <c r="A386" s="47"/>
      <c r="B386" s="57" t="s">
        <v>742</v>
      </c>
      <c r="C386" s="56" t="s">
        <v>985</v>
      </c>
      <c r="D386" s="46" t="s">
        <v>989</v>
      </c>
      <c r="E386" s="38"/>
      <c r="F386" s="49"/>
      <c r="G386" s="49"/>
      <c r="H386" s="49"/>
      <c r="I386" s="49"/>
    </row>
    <row r="387" ht="15.75" customHeight="1" spans="1:9">
      <c r="A387" s="47"/>
      <c r="B387" s="57" t="s">
        <v>742</v>
      </c>
      <c r="C387" s="56" t="s">
        <v>985</v>
      </c>
      <c r="D387" s="46" t="s">
        <v>990</v>
      </c>
      <c r="E387" s="38"/>
      <c r="F387" s="49"/>
      <c r="G387" s="49"/>
      <c r="H387" s="49"/>
      <c r="I387" s="49"/>
    </row>
    <row r="388" ht="15.75" customHeight="1" spans="1:9">
      <c r="A388" s="47"/>
      <c r="B388" s="57" t="s">
        <v>742</v>
      </c>
      <c r="C388" s="56" t="s">
        <v>985</v>
      </c>
      <c r="D388" s="46" t="s">
        <v>991</v>
      </c>
      <c r="E388" s="38"/>
      <c r="F388" s="49"/>
      <c r="G388" s="49"/>
      <c r="H388" s="49"/>
      <c r="I388" s="49"/>
    </row>
    <row r="389" ht="15.75" customHeight="1" spans="1:9">
      <c r="A389" s="47"/>
      <c r="B389" s="57" t="s">
        <v>742</v>
      </c>
      <c r="C389" s="56" t="s">
        <v>992</v>
      </c>
      <c r="D389" s="46" t="s">
        <v>993</v>
      </c>
      <c r="E389" s="38"/>
      <c r="F389" s="49"/>
      <c r="G389" s="49"/>
      <c r="H389" s="49"/>
      <c r="I389" s="49"/>
    </row>
    <row r="390" ht="15.75" customHeight="1" spans="1:9">
      <c r="A390" s="47"/>
      <c r="B390" s="57" t="s">
        <v>742</v>
      </c>
      <c r="C390" s="56" t="s">
        <v>992</v>
      </c>
      <c r="D390" s="46" t="s">
        <v>994</v>
      </c>
      <c r="E390" s="38"/>
      <c r="F390" s="49"/>
      <c r="G390" s="49"/>
      <c r="H390" s="49"/>
      <c r="I390" s="49"/>
    </row>
    <row r="391" ht="15.75" customHeight="1" spans="1:9">
      <c r="A391" s="47"/>
      <c r="B391" s="57" t="s">
        <v>742</v>
      </c>
      <c r="C391" s="56" t="s">
        <v>992</v>
      </c>
      <c r="D391" s="46" t="s">
        <v>995</v>
      </c>
      <c r="E391" s="38"/>
      <c r="F391" s="49"/>
      <c r="G391" s="49"/>
      <c r="H391" s="49"/>
      <c r="I391" s="49"/>
    </row>
    <row r="392" ht="15.75" customHeight="1" spans="1:9">
      <c r="A392" s="47"/>
      <c r="B392" s="57" t="s">
        <v>742</v>
      </c>
      <c r="C392" s="56" t="s">
        <v>992</v>
      </c>
      <c r="D392" s="46" t="s">
        <v>996</v>
      </c>
      <c r="E392" s="38"/>
      <c r="F392" s="49"/>
      <c r="G392" s="49"/>
      <c r="H392" s="49"/>
      <c r="I392" s="49"/>
    </row>
    <row r="393" ht="15.75" customHeight="1" spans="1:9">
      <c r="A393" s="47"/>
      <c r="B393" s="57" t="s">
        <v>742</v>
      </c>
      <c r="C393" s="56" t="s">
        <v>992</v>
      </c>
      <c r="D393" s="46" t="s">
        <v>997</v>
      </c>
      <c r="E393" s="38"/>
      <c r="F393" s="49"/>
      <c r="G393" s="49"/>
      <c r="H393" s="49"/>
      <c r="I393" s="49"/>
    </row>
    <row r="394" ht="15.75" customHeight="1" spans="1:9">
      <c r="A394" s="47"/>
      <c r="B394" s="57" t="s">
        <v>742</v>
      </c>
      <c r="C394" s="56" t="s">
        <v>992</v>
      </c>
      <c r="D394" s="46" t="s">
        <v>994</v>
      </c>
      <c r="E394" s="52"/>
      <c r="F394" s="49"/>
      <c r="G394" s="49"/>
      <c r="H394" s="49"/>
      <c r="I394" s="49"/>
    </row>
    <row r="395" ht="15.75" customHeight="1" spans="1:9">
      <c r="A395" s="47"/>
      <c r="B395" s="57" t="s">
        <v>742</v>
      </c>
      <c r="C395" s="56" t="s">
        <v>998</v>
      </c>
      <c r="D395" s="46" t="s">
        <v>999</v>
      </c>
      <c r="E395" s="52"/>
      <c r="F395" s="49"/>
      <c r="G395" s="49"/>
      <c r="H395" s="49"/>
      <c r="I395" s="49"/>
    </row>
    <row r="396" ht="15.75" customHeight="1" spans="1:9">
      <c r="A396" s="47"/>
      <c r="B396" s="57" t="s">
        <v>742</v>
      </c>
      <c r="C396" s="56" t="s">
        <v>998</v>
      </c>
      <c r="D396" s="46" t="s">
        <v>1000</v>
      </c>
      <c r="E396" s="38"/>
      <c r="F396" s="49"/>
      <c r="G396" s="49"/>
      <c r="H396" s="49"/>
      <c r="I396" s="49"/>
    </row>
    <row r="397" ht="15.75" customHeight="1" spans="1:9">
      <c r="A397" s="47"/>
      <c r="B397" s="57" t="s">
        <v>742</v>
      </c>
      <c r="C397" s="56" t="s">
        <v>998</v>
      </c>
      <c r="D397" s="46" t="s">
        <v>1001</v>
      </c>
      <c r="E397" s="38"/>
      <c r="F397" s="49"/>
      <c r="G397" s="49"/>
      <c r="H397" s="49"/>
      <c r="I397" s="49"/>
    </row>
    <row r="398" ht="15.75" customHeight="1" spans="1:9">
      <c r="A398" s="47"/>
      <c r="B398" s="57" t="s">
        <v>742</v>
      </c>
      <c r="C398" s="56" t="s">
        <v>998</v>
      </c>
      <c r="D398" s="46" t="s">
        <v>1002</v>
      </c>
      <c r="E398" s="38"/>
      <c r="F398" s="49"/>
      <c r="G398" s="49"/>
      <c r="H398" s="49"/>
      <c r="I398" s="49"/>
    </row>
    <row r="399" ht="15.75" customHeight="1" spans="1:9">
      <c r="A399" s="47"/>
      <c r="B399" s="57" t="s">
        <v>742</v>
      </c>
      <c r="C399" s="56" t="s">
        <v>998</v>
      </c>
      <c r="D399" s="46" t="s">
        <v>1003</v>
      </c>
      <c r="E399" s="38"/>
      <c r="F399" s="49"/>
      <c r="G399" s="49"/>
      <c r="H399" s="49"/>
      <c r="I399" s="49"/>
    </row>
    <row r="400" ht="15.75" customHeight="1" spans="1:9">
      <c r="A400" s="47"/>
      <c r="B400" s="57" t="s">
        <v>1004</v>
      </c>
      <c r="C400" s="60">
        <v>35</v>
      </c>
      <c r="D400" s="60">
        <v>35</v>
      </c>
      <c r="E400" s="38"/>
      <c r="F400" s="49"/>
      <c r="G400" s="49"/>
      <c r="H400" s="49"/>
      <c r="I400" s="49"/>
    </row>
    <row r="401" ht="15.75" customHeight="1" spans="1:9">
      <c r="A401" s="47"/>
      <c r="B401" s="57" t="s">
        <v>1004</v>
      </c>
      <c r="C401" s="60">
        <v>35</v>
      </c>
      <c r="D401" s="61" t="s">
        <v>1005</v>
      </c>
      <c r="E401" s="38"/>
      <c r="F401" s="49"/>
      <c r="G401" s="49"/>
      <c r="H401" s="49"/>
      <c r="I401" s="49"/>
    </row>
    <row r="402" ht="15.75" customHeight="1" spans="1:9">
      <c r="A402" s="47"/>
      <c r="B402" s="57" t="s">
        <v>1004</v>
      </c>
      <c r="C402" s="62">
        <v>35</v>
      </c>
      <c r="D402" s="63" t="s">
        <v>1006</v>
      </c>
      <c r="E402" s="52"/>
      <c r="F402" s="49"/>
      <c r="G402" s="49"/>
      <c r="H402" s="49"/>
      <c r="I402" s="49"/>
    </row>
    <row r="403" ht="15.75" customHeight="1" spans="1:9">
      <c r="A403" s="47"/>
      <c r="B403" s="57" t="s">
        <v>1004</v>
      </c>
      <c r="C403" s="60">
        <v>35</v>
      </c>
      <c r="D403" s="60" t="s">
        <v>1007</v>
      </c>
      <c r="E403" s="38"/>
      <c r="F403" s="49"/>
      <c r="G403" s="49"/>
      <c r="H403" s="49"/>
      <c r="I403" s="49"/>
    </row>
    <row r="404" ht="15.75" customHeight="1" spans="1:9">
      <c r="A404" s="47"/>
      <c r="B404" s="57" t="s">
        <v>1004</v>
      </c>
      <c r="C404" s="60">
        <v>35</v>
      </c>
      <c r="D404" s="60" t="s">
        <v>1008</v>
      </c>
      <c r="E404" s="38"/>
      <c r="F404" s="49"/>
      <c r="G404" s="49"/>
      <c r="H404" s="49"/>
      <c r="I404" s="49"/>
    </row>
    <row r="405" ht="15.75" customHeight="1" spans="1:9">
      <c r="A405" s="47"/>
      <c r="B405" s="57" t="s">
        <v>1004</v>
      </c>
      <c r="C405" s="60">
        <v>35</v>
      </c>
      <c r="D405" s="60" t="s">
        <v>1009</v>
      </c>
      <c r="E405" s="38"/>
      <c r="F405" s="49"/>
      <c r="G405" s="49"/>
      <c r="H405" s="49"/>
      <c r="I405" s="49"/>
    </row>
    <row r="406" ht="15.75" customHeight="1" spans="1:9">
      <c r="A406" s="47"/>
      <c r="B406" s="57" t="s">
        <v>1004</v>
      </c>
      <c r="C406" s="60">
        <v>35</v>
      </c>
      <c r="D406" s="60" t="s">
        <v>1010</v>
      </c>
      <c r="E406" s="38"/>
      <c r="F406" s="49"/>
      <c r="G406" s="49"/>
      <c r="H406" s="49"/>
      <c r="I406" s="49"/>
    </row>
    <row r="407" ht="15.75" customHeight="1" spans="1:9">
      <c r="A407" s="47"/>
      <c r="B407" s="57" t="s">
        <v>1004</v>
      </c>
      <c r="C407" s="60">
        <v>35</v>
      </c>
      <c r="D407" s="60" t="s">
        <v>1011</v>
      </c>
      <c r="E407" s="52"/>
      <c r="F407" s="49"/>
      <c r="G407" s="49"/>
      <c r="H407" s="49"/>
      <c r="I407" s="49"/>
    </row>
    <row r="408" ht="15.75" customHeight="1" spans="1:9">
      <c r="A408" s="47"/>
      <c r="B408" s="57" t="s">
        <v>1004</v>
      </c>
      <c r="C408" s="60">
        <v>35</v>
      </c>
      <c r="D408" s="60" t="s">
        <v>1012</v>
      </c>
      <c r="E408" s="52"/>
      <c r="F408" s="49"/>
      <c r="G408" s="49"/>
      <c r="H408" s="49"/>
      <c r="I408" s="49"/>
    </row>
    <row r="409" ht="15.75" customHeight="1" spans="1:9">
      <c r="A409" s="47"/>
      <c r="B409" s="57" t="s">
        <v>1004</v>
      </c>
      <c r="C409" s="60">
        <v>35</v>
      </c>
      <c r="D409" s="60" t="s">
        <v>1013</v>
      </c>
      <c r="E409" s="38"/>
      <c r="F409" s="49"/>
      <c r="G409" s="49"/>
      <c r="H409" s="49"/>
      <c r="I409" s="49"/>
    </row>
    <row r="410" ht="15.75" customHeight="1" spans="1:9">
      <c r="A410" s="47"/>
      <c r="B410" s="57" t="s">
        <v>1004</v>
      </c>
      <c r="C410" s="60">
        <v>35</v>
      </c>
      <c r="D410" s="60" t="s">
        <v>1014</v>
      </c>
      <c r="E410" s="38"/>
      <c r="F410" s="49"/>
      <c r="G410" s="49"/>
      <c r="H410" s="49"/>
      <c r="I410" s="49"/>
    </row>
    <row r="411" ht="15.75" customHeight="1" spans="1:9">
      <c r="A411" s="47"/>
      <c r="B411" s="57" t="s">
        <v>1004</v>
      </c>
      <c r="C411" s="60">
        <v>35</v>
      </c>
      <c r="D411" s="60" t="s">
        <v>1014</v>
      </c>
      <c r="E411" s="38"/>
      <c r="F411" s="49"/>
      <c r="G411" s="49"/>
      <c r="H411" s="49"/>
      <c r="I411" s="49"/>
    </row>
    <row r="412" ht="15.75" customHeight="1" spans="1:9">
      <c r="A412" s="47"/>
      <c r="B412" s="57" t="s">
        <v>1004</v>
      </c>
      <c r="C412" s="60">
        <v>35</v>
      </c>
      <c r="D412" s="60" t="s">
        <v>1015</v>
      </c>
      <c r="E412" s="38"/>
      <c r="F412" s="49"/>
      <c r="G412" s="49"/>
      <c r="H412" s="49"/>
      <c r="I412" s="49"/>
    </row>
    <row r="413" ht="15.75" customHeight="1" spans="1:9">
      <c r="A413" s="47"/>
      <c r="B413" s="57" t="s">
        <v>1004</v>
      </c>
      <c r="C413" s="60">
        <v>35</v>
      </c>
      <c r="D413" s="60" t="s">
        <v>1016</v>
      </c>
      <c r="E413" s="38"/>
      <c r="F413" s="49"/>
      <c r="G413" s="49"/>
      <c r="H413" s="49"/>
      <c r="I413" s="49"/>
    </row>
    <row r="414" ht="15.75" customHeight="1" spans="1:9">
      <c r="A414" s="47"/>
      <c r="B414" s="57" t="s">
        <v>1004</v>
      </c>
      <c r="C414" s="60">
        <v>35</v>
      </c>
      <c r="D414" s="60" t="s">
        <v>1017</v>
      </c>
      <c r="E414" s="52"/>
      <c r="F414" s="49"/>
      <c r="G414" s="49"/>
      <c r="H414" s="49"/>
      <c r="I414" s="49"/>
    </row>
    <row r="415" ht="15.75" customHeight="1" spans="1:9">
      <c r="A415" s="47"/>
      <c r="B415" s="57" t="s">
        <v>1004</v>
      </c>
      <c r="C415" s="60">
        <v>35</v>
      </c>
      <c r="D415" s="60" t="s">
        <v>1018</v>
      </c>
      <c r="E415" s="38"/>
      <c r="F415" s="49"/>
      <c r="G415" s="49"/>
      <c r="H415" s="49"/>
      <c r="I415" s="49"/>
    </row>
    <row r="416" ht="15.75" customHeight="1" spans="1:9">
      <c r="A416" s="47"/>
      <c r="B416" s="57" t="s">
        <v>1004</v>
      </c>
      <c r="C416" s="60">
        <v>35</v>
      </c>
      <c r="D416" s="60" t="s">
        <v>1019</v>
      </c>
      <c r="E416" s="38"/>
      <c r="F416" s="49"/>
      <c r="G416" s="49"/>
      <c r="H416" s="49"/>
      <c r="I416" s="49"/>
    </row>
    <row r="417" ht="15.75" customHeight="1" spans="1:9">
      <c r="A417" s="47"/>
      <c r="B417" s="57" t="s">
        <v>1004</v>
      </c>
      <c r="C417" s="60">
        <v>37</v>
      </c>
      <c r="D417" s="60">
        <v>37</v>
      </c>
      <c r="E417" s="38"/>
      <c r="F417" s="49"/>
      <c r="G417" s="49"/>
      <c r="H417" s="49"/>
      <c r="I417" s="49"/>
    </row>
    <row r="418" ht="15.75" customHeight="1" spans="1:9">
      <c r="A418" s="47"/>
      <c r="B418" s="57" t="s">
        <v>1004</v>
      </c>
      <c r="C418" s="60">
        <v>37</v>
      </c>
      <c r="D418" s="60" t="s">
        <v>1020</v>
      </c>
      <c r="E418" s="38"/>
      <c r="F418" s="49"/>
      <c r="G418" s="49"/>
      <c r="H418" s="49"/>
      <c r="I418" s="49"/>
    </row>
    <row r="419" ht="15.75" customHeight="1" spans="1:9">
      <c r="A419" s="47"/>
      <c r="B419" s="57" t="s">
        <v>1004</v>
      </c>
      <c r="C419" s="60">
        <v>37</v>
      </c>
      <c r="D419" s="60" t="s">
        <v>1020</v>
      </c>
      <c r="E419" s="38"/>
      <c r="F419" s="49"/>
      <c r="G419" s="49"/>
      <c r="H419" s="49"/>
      <c r="I419" s="49"/>
    </row>
    <row r="420" ht="15.75" customHeight="1" spans="1:9">
      <c r="A420" s="47"/>
      <c r="B420" s="57" t="s">
        <v>1004</v>
      </c>
      <c r="C420" s="60">
        <v>37</v>
      </c>
      <c r="D420" s="60" t="s">
        <v>1021</v>
      </c>
      <c r="E420" s="52"/>
      <c r="F420" s="49"/>
      <c r="G420" s="49"/>
      <c r="H420" s="49"/>
      <c r="I420" s="49"/>
    </row>
    <row r="421" ht="15.75" customHeight="1" spans="1:9">
      <c r="A421" s="47"/>
      <c r="B421" s="57" t="s">
        <v>1004</v>
      </c>
      <c r="C421" s="60">
        <v>37</v>
      </c>
      <c r="D421" s="60" t="s">
        <v>1022</v>
      </c>
      <c r="E421" s="52"/>
      <c r="F421" s="49"/>
      <c r="G421" s="49"/>
      <c r="H421" s="49"/>
      <c r="I421" s="49"/>
    </row>
    <row r="422" ht="15.75" customHeight="1" spans="1:9">
      <c r="A422" s="47"/>
      <c r="B422" s="57" t="s">
        <v>1004</v>
      </c>
      <c r="C422" s="60">
        <v>37</v>
      </c>
      <c r="D422" s="60" t="s">
        <v>1023</v>
      </c>
      <c r="E422" s="52"/>
      <c r="F422" s="49"/>
      <c r="G422" s="49"/>
      <c r="H422" s="49"/>
      <c r="I422" s="49"/>
    </row>
    <row r="423" ht="15.75" customHeight="1" spans="1:9">
      <c r="A423" s="47"/>
      <c r="B423" s="57" t="s">
        <v>1004</v>
      </c>
      <c r="C423" s="60">
        <v>37</v>
      </c>
      <c r="D423" s="60" t="s">
        <v>1024</v>
      </c>
      <c r="E423" s="52"/>
      <c r="F423" s="49"/>
      <c r="G423" s="49"/>
      <c r="H423" s="49"/>
      <c r="I423" s="49"/>
    </row>
    <row r="424" ht="15.75" customHeight="1" spans="1:9">
      <c r="A424" s="47"/>
      <c r="B424" s="57" t="s">
        <v>1004</v>
      </c>
      <c r="C424" s="60">
        <v>37</v>
      </c>
      <c r="D424" s="60" t="s">
        <v>1024</v>
      </c>
      <c r="E424" s="38"/>
      <c r="F424" s="49"/>
      <c r="G424" s="49"/>
      <c r="H424" s="49"/>
      <c r="I424" s="49"/>
    </row>
    <row r="425" ht="15.75" customHeight="1" spans="1:9">
      <c r="A425" s="47"/>
      <c r="B425" s="57" t="s">
        <v>1004</v>
      </c>
      <c r="C425" s="60">
        <v>37</v>
      </c>
      <c r="D425" s="60" t="s">
        <v>1025</v>
      </c>
      <c r="E425" s="38"/>
      <c r="F425" s="49"/>
      <c r="G425" s="49"/>
      <c r="H425" s="49"/>
      <c r="I425" s="49"/>
    </row>
    <row r="426" ht="15.75" customHeight="1" spans="1:9">
      <c r="A426" s="47"/>
      <c r="B426" s="57" t="s">
        <v>1004</v>
      </c>
      <c r="C426" s="60">
        <v>37</v>
      </c>
      <c r="D426" s="60" t="s">
        <v>1026</v>
      </c>
      <c r="E426" s="38"/>
      <c r="F426" s="49"/>
      <c r="G426" s="49"/>
      <c r="H426" s="49"/>
      <c r="I426" s="49"/>
    </row>
    <row r="427" ht="15.75" customHeight="1" spans="1:9">
      <c r="A427" s="47"/>
      <c r="B427" s="57" t="s">
        <v>1004</v>
      </c>
      <c r="C427" s="60">
        <v>37</v>
      </c>
      <c r="D427" s="60" t="s">
        <v>1027</v>
      </c>
      <c r="E427" s="38"/>
      <c r="F427" s="49"/>
      <c r="G427" s="49"/>
      <c r="H427" s="49"/>
      <c r="I427" s="49"/>
    </row>
    <row r="428" ht="15.75" customHeight="1" spans="1:9">
      <c r="A428" s="47"/>
      <c r="B428" s="57" t="s">
        <v>1004</v>
      </c>
      <c r="C428" s="60">
        <v>12</v>
      </c>
      <c r="D428" s="60">
        <v>12</v>
      </c>
      <c r="E428" s="38"/>
      <c r="F428" s="49"/>
      <c r="G428" s="49"/>
      <c r="H428" s="49"/>
      <c r="I428" s="49"/>
    </row>
    <row r="429" ht="15.75" customHeight="1" spans="1:9">
      <c r="A429" s="47"/>
      <c r="B429" s="57" t="s">
        <v>1004</v>
      </c>
      <c r="C429" s="60">
        <v>12</v>
      </c>
      <c r="D429" s="60" t="s">
        <v>1028</v>
      </c>
      <c r="E429" s="52"/>
      <c r="F429" s="49"/>
      <c r="G429" s="49"/>
      <c r="H429" s="49"/>
      <c r="I429" s="49"/>
    </row>
    <row r="430" ht="15.75" customHeight="1" spans="1:9">
      <c r="A430" s="47"/>
      <c r="B430" s="57" t="s">
        <v>1004</v>
      </c>
      <c r="C430" s="60">
        <v>12</v>
      </c>
      <c r="D430" s="60" t="s">
        <v>1028</v>
      </c>
      <c r="E430" s="38"/>
      <c r="F430" s="49"/>
      <c r="G430" s="49"/>
      <c r="H430" s="49"/>
      <c r="I430" s="49"/>
    </row>
    <row r="431" ht="15.75" customHeight="1" spans="1:9">
      <c r="A431" s="47"/>
      <c r="B431" s="57" t="s">
        <v>1004</v>
      </c>
      <c r="C431" s="60">
        <v>12</v>
      </c>
      <c r="D431" s="60" t="s">
        <v>1029</v>
      </c>
      <c r="E431" s="38"/>
      <c r="F431" s="49"/>
      <c r="G431" s="49"/>
      <c r="H431" s="49"/>
      <c r="I431" s="49"/>
    </row>
    <row r="432" ht="15.75" customHeight="1" spans="1:9">
      <c r="A432" s="47"/>
      <c r="B432" s="57" t="s">
        <v>1004</v>
      </c>
      <c r="C432" s="60">
        <v>12</v>
      </c>
      <c r="D432" s="60" t="s">
        <v>1030</v>
      </c>
      <c r="E432" s="52"/>
      <c r="F432" s="49"/>
      <c r="G432" s="49"/>
      <c r="H432" s="49"/>
      <c r="I432" s="49"/>
    </row>
    <row r="433" ht="15.75" customHeight="1" spans="1:9">
      <c r="A433" s="47"/>
      <c r="B433" s="57" t="s">
        <v>1004</v>
      </c>
      <c r="C433" s="60">
        <v>12</v>
      </c>
      <c r="D433" s="60" t="s">
        <v>1031</v>
      </c>
      <c r="E433" s="52"/>
      <c r="F433" s="49"/>
      <c r="G433" s="49"/>
      <c r="H433" s="49"/>
      <c r="I433" s="49"/>
    </row>
    <row r="434" ht="15.75" customHeight="1" spans="1:9">
      <c r="A434" s="47"/>
      <c r="B434" s="57" t="s">
        <v>1004</v>
      </c>
      <c r="C434" s="60">
        <v>12</v>
      </c>
      <c r="D434" s="60" t="s">
        <v>1032</v>
      </c>
      <c r="E434" s="52"/>
      <c r="F434" s="49"/>
      <c r="G434" s="49"/>
      <c r="H434" s="49"/>
      <c r="I434" s="49"/>
    </row>
    <row r="435" ht="15.75" customHeight="1" spans="1:9">
      <c r="A435" s="47"/>
      <c r="B435" s="57" t="s">
        <v>1004</v>
      </c>
      <c r="C435" s="60">
        <v>12</v>
      </c>
      <c r="D435" s="60" t="s">
        <v>1032</v>
      </c>
      <c r="E435" s="38"/>
      <c r="F435" s="49"/>
      <c r="G435" s="49"/>
      <c r="H435" s="49"/>
      <c r="I435" s="49"/>
    </row>
    <row r="436" ht="15.75" customHeight="1" spans="1:9">
      <c r="A436" s="47"/>
      <c r="B436" s="57" t="s">
        <v>1004</v>
      </c>
      <c r="C436" s="60">
        <v>12</v>
      </c>
      <c r="D436" s="60" t="s">
        <v>1033</v>
      </c>
      <c r="E436" s="38"/>
      <c r="F436" s="49"/>
      <c r="G436" s="49"/>
      <c r="H436" s="49"/>
      <c r="I436" s="49"/>
    </row>
    <row r="437" ht="15.75" customHeight="1" spans="1:9">
      <c r="A437" s="47"/>
      <c r="B437" s="57" t="s">
        <v>1004</v>
      </c>
      <c r="C437" s="60">
        <v>12</v>
      </c>
      <c r="D437" s="64" t="s">
        <v>1034</v>
      </c>
      <c r="E437" s="38"/>
      <c r="F437" s="49"/>
      <c r="G437" s="49"/>
      <c r="H437" s="49"/>
      <c r="I437" s="49"/>
    </row>
    <row r="438" ht="15.75" customHeight="1" spans="1:9">
      <c r="A438" s="47"/>
      <c r="B438" s="57" t="s">
        <v>1004</v>
      </c>
      <c r="C438" s="60">
        <v>18</v>
      </c>
      <c r="D438" s="60">
        <v>18</v>
      </c>
      <c r="E438" s="38"/>
      <c r="F438" s="49"/>
      <c r="G438" s="49"/>
      <c r="H438" s="49"/>
      <c r="I438" s="49"/>
    </row>
    <row r="439" ht="15.75" customHeight="1" spans="1:9">
      <c r="A439" s="47"/>
      <c r="B439" s="57" t="s">
        <v>1004</v>
      </c>
      <c r="C439" s="60">
        <v>18</v>
      </c>
      <c r="D439" s="60" t="s">
        <v>1035</v>
      </c>
      <c r="E439" s="38"/>
      <c r="F439" s="49"/>
      <c r="G439" s="49"/>
      <c r="H439" s="49"/>
      <c r="I439" s="49"/>
    </row>
    <row r="440" ht="15.75" customHeight="1" spans="1:9">
      <c r="A440" s="47"/>
      <c r="B440" s="57" t="s">
        <v>1004</v>
      </c>
      <c r="C440" s="60">
        <v>18</v>
      </c>
      <c r="D440" s="60" t="s">
        <v>1035</v>
      </c>
      <c r="E440" s="52"/>
      <c r="F440" s="49"/>
      <c r="G440" s="49"/>
      <c r="H440" s="49"/>
      <c r="I440" s="49"/>
    </row>
    <row r="441" ht="15.75" customHeight="1" spans="1:9">
      <c r="A441" s="47"/>
      <c r="B441" s="57" t="s">
        <v>1004</v>
      </c>
      <c r="C441" s="60">
        <v>18</v>
      </c>
      <c r="D441" s="60" t="s">
        <v>1036</v>
      </c>
      <c r="E441" s="38"/>
      <c r="F441" s="49"/>
      <c r="G441" s="49"/>
      <c r="H441" s="49"/>
      <c r="I441" s="49"/>
    </row>
    <row r="442" ht="15.75" customHeight="1" spans="1:9">
      <c r="A442" s="47"/>
      <c r="B442" s="57" t="s">
        <v>1004</v>
      </c>
      <c r="C442" s="60">
        <v>18</v>
      </c>
      <c r="D442" s="60" t="s">
        <v>1037</v>
      </c>
      <c r="E442" s="38"/>
      <c r="F442" s="49"/>
      <c r="G442" s="49"/>
      <c r="H442" s="49"/>
      <c r="I442" s="49"/>
    </row>
    <row r="443" ht="15.75" customHeight="1" spans="1:9">
      <c r="A443" s="47"/>
      <c r="B443" s="57" t="s">
        <v>1004</v>
      </c>
      <c r="C443" s="60">
        <v>18</v>
      </c>
      <c r="D443" s="60" t="s">
        <v>1038</v>
      </c>
      <c r="E443" s="38"/>
      <c r="F443" s="49"/>
      <c r="G443" s="49"/>
      <c r="H443" s="49"/>
      <c r="I443" s="49"/>
    </row>
    <row r="444" ht="15.75" customHeight="1" spans="1:9">
      <c r="A444" s="47"/>
      <c r="B444" s="57" t="s">
        <v>1004</v>
      </c>
      <c r="C444" s="60">
        <v>18</v>
      </c>
      <c r="D444" s="60" t="s">
        <v>1038</v>
      </c>
      <c r="E444" s="38"/>
      <c r="F444" s="49"/>
      <c r="G444" s="49"/>
      <c r="H444" s="49"/>
      <c r="I444" s="49"/>
    </row>
    <row r="445" ht="15.75" customHeight="1" spans="1:9">
      <c r="A445" s="47"/>
      <c r="B445" s="57" t="s">
        <v>1004</v>
      </c>
      <c r="C445" s="60">
        <v>18</v>
      </c>
      <c r="D445" s="60" t="s">
        <v>1038</v>
      </c>
      <c r="E445" s="38"/>
      <c r="F445" s="49"/>
      <c r="G445" s="49"/>
      <c r="H445" s="49"/>
      <c r="I445" s="49"/>
    </row>
    <row r="446" ht="15.75" customHeight="1" spans="1:9">
      <c r="A446" s="47"/>
      <c r="B446" s="57" t="s">
        <v>1004</v>
      </c>
      <c r="C446" s="60">
        <v>18</v>
      </c>
      <c r="D446" s="60" t="s">
        <v>1039</v>
      </c>
      <c r="E446" s="52"/>
      <c r="F446" s="49"/>
      <c r="G446" s="49"/>
      <c r="H446" s="49"/>
      <c r="I446" s="49"/>
    </row>
    <row r="447" ht="15.75" customHeight="1" spans="1:9">
      <c r="A447" s="47"/>
      <c r="B447" s="57" t="s">
        <v>1004</v>
      </c>
      <c r="C447" s="60">
        <v>18</v>
      </c>
      <c r="D447" s="64" t="s">
        <v>1040</v>
      </c>
      <c r="E447" s="52"/>
      <c r="F447" s="49"/>
      <c r="G447" s="49"/>
      <c r="H447" s="49"/>
      <c r="I447" s="49"/>
    </row>
    <row r="448" ht="15.75" customHeight="1" spans="1:9">
      <c r="A448" s="47"/>
      <c r="B448" s="57" t="s">
        <v>1004</v>
      </c>
      <c r="C448" s="60">
        <v>10</v>
      </c>
      <c r="D448" s="60">
        <v>10</v>
      </c>
      <c r="E448" s="38"/>
      <c r="F448" s="49"/>
      <c r="G448" s="49"/>
      <c r="H448" s="49"/>
      <c r="I448" s="49"/>
    </row>
    <row r="449" ht="15.75" customHeight="1" spans="1:9">
      <c r="A449" s="47"/>
      <c r="B449" s="57" t="s">
        <v>1004</v>
      </c>
      <c r="C449" s="60">
        <v>10</v>
      </c>
      <c r="D449" s="60" t="s">
        <v>1041</v>
      </c>
      <c r="E449" s="38"/>
      <c r="F449" s="49"/>
      <c r="G449" s="49"/>
      <c r="H449" s="49"/>
      <c r="I449" s="49"/>
    </row>
    <row r="450" ht="15.75" customHeight="1" spans="1:9">
      <c r="A450" s="47"/>
      <c r="B450" s="57" t="s">
        <v>1004</v>
      </c>
      <c r="C450" s="60">
        <v>10</v>
      </c>
      <c r="D450" s="60" t="s">
        <v>1042</v>
      </c>
      <c r="E450" s="38"/>
      <c r="F450" s="49"/>
      <c r="G450" s="49"/>
      <c r="H450" s="49"/>
      <c r="I450" s="49"/>
    </row>
    <row r="451" ht="15.75" customHeight="1" spans="1:9">
      <c r="A451" s="47"/>
      <c r="B451" s="57" t="s">
        <v>1004</v>
      </c>
      <c r="C451" s="60">
        <v>10</v>
      </c>
      <c r="D451" s="60" t="s">
        <v>1043</v>
      </c>
      <c r="E451" s="38"/>
      <c r="F451" s="49"/>
      <c r="G451" s="49"/>
      <c r="H451" s="49"/>
      <c r="I451" s="49"/>
    </row>
    <row r="452" ht="15.75" customHeight="1" spans="1:9">
      <c r="A452" s="47"/>
      <c r="B452" s="57" t="s">
        <v>1004</v>
      </c>
      <c r="C452" s="60">
        <v>10</v>
      </c>
      <c r="D452" s="60" t="s">
        <v>1043</v>
      </c>
      <c r="E452" s="38"/>
      <c r="F452" s="49"/>
      <c r="G452" s="49"/>
      <c r="H452" s="49"/>
      <c r="I452" s="49"/>
    </row>
    <row r="453" ht="15.75" customHeight="1" spans="1:9">
      <c r="A453" s="47"/>
      <c r="B453" s="57" t="s">
        <v>1004</v>
      </c>
      <c r="C453" s="60">
        <v>10</v>
      </c>
      <c r="D453" s="60" t="s">
        <v>1043</v>
      </c>
      <c r="E453" s="38"/>
      <c r="F453" s="49"/>
      <c r="G453" s="49"/>
      <c r="H453" s="49"/>
      <c r="I453" s="49"/>
    </row>
    <row r="454" ht="15.75" customHeight="1" spans="1:9">
      <c r="A454" s="47"/>
      <c r="B454" s="57" t="s">
        <v>1004</v>
      </c>
      <c r="C454" s="60">
        <v>10</v>
      </c>
      <c r="D454" s="60" t="s">
        <v>1044</v>
      </c>
      <c r="E454" s="52"/>
      <c r="F454" s="49"/>
      <c r="G454" s="49"/>
      <c r="H454" s="49"/>
      <c r="I454" s="49"/>
    </row>
    <row r="455" ht="15.75" customHeight="1" spans="1:9">
      <c r="A455" s="47"/>
      <c r="B455" s="57" t="s">
        <v>1004</v>
      </c>
      <c r="C455" s="60">
        <v>10</v>
      </c>
      <c r="D455" s="60" t="s">
        <v>1045</v>
      </c>
      <c r="E455" s="52"/>
      <c r="F455" s="49"/>
      <c r="G455" s="49"/>
      <c r="H455" s="49"/>
      <c r="I455" s="49"/>
    </row>
    <row r="456" ht="15.75" customHeight="1" spans="1:9">
      <c r="A456" s="47"/>
      <c r="B456" s="57" t="s">
        <v>1004</v>
      </c>
      <c r="C456" s="60">
        <v>10</v>
      </c>
      <c r="D456" s="64" t="s">
        <v>1046</v>
      </c>
      <c r="E456" s="38"/>
      <c r="F456" s="49"/>
      <c r="G456" s="49"/>
      <c r="H456" s="49"/>
      <c r="I456" s="49"/>
    </row>
    <row r="457" ht="15.75" customHeight="1" spans="1:9">
      <c r="A457" s="47"/>
      <c r="B457" s="57" t="s">
        <v>1004</v>
      </c>
      <c r="C457" s="60">
        <v>4</v>
      </c>
      <c r="D457" s="60" t="s">
        <v>1047</v>
      </c>
      <c r="E457" s="38"/>
      <c r="F457" s="49"/>
      <c r="G457" s="49"/>
      <c r="H457" s="49"/>
      <c r="I457" s="49"/>
    </row>
    <row r="458" ht="15.75" customHeight="1" spans="1:9">
      <c r="A458" s="47"/>
      <c r="B458" s="57" t="s">
        <v>1004</v>
      </c>
      <c r="C458" s="60">
        <v>4</v>
      </c>
      <c r="D458" s="60" t="s">
        <v>1048</v>
      </c>
      <c r="E458" s="52"/>
      <c r="F458" s="49"/>
      <c r="G458" s="49"/>
      <c r="H458" s="49"/>
      <c r="I458" s="49"/>
    </row>
    <row r="459" ht="15.75" customHeight="1" spans="1:9">
      <c r="A459" s="47"/>
      <c r="B459" s="57" t="s">
        <v>1004</v>
      </c>
      <c r="C459" s="60">
        <v>4</v>
      </c>
      <c r="D459" s="60" t="s">
        <v>1049</v>
      </c>
      <c r="E459" s="52"/>
      <c r="F459" s="49"/>
      <c r="G459" s="49"/>
      <c r="H459" s="49"/>
      <c r="I459" s="49"/>
    </row>
    <row r="460" ht="15.75" customHeight="1" spans="1:9">
      <c r="A460" s="47"/>
      <c r="B460" s="57" t="s">
        <v>1004</v>
      </c>
      <c r="C460" s="60">
        <v>4</v>
      </c>
      <c r="D460" s="60">
        <v>4</v>
      </c>
      <c r="E460" s="38"/>
      <c r="F460" s="49"/>
      <c r="G460" s="49"/>
      <c r="H460" s="49"/>
      <c r="I460" s="49"/>
    </row>
    <row r="461" ht="15.75" customHeight="1" spans="1:9">
      <c r="A461" s="47"/>
      <c r="B461" s="57" t="s">
        <v>1004</v>
      </c>
      <c r="C461" s="60">
        <v>4</v>
      </c>
      <c r="D461" s="60">
        <v>4</v>
      </c>
      <c r="E461" s="52"/>
      <c r="F461" s="49"/>
      <c r="G461" s="49"/>
      <c r="H461" s="49"/>
      <c r="I461" s="49"/>
    </row>
    <row r="462" ht="15.75" customHeight="1" spans="1:9">
      <c r="A462" s="47"/>
      <c r="B462" s="57" t="s">
        <v>1004</v>
      </c>
      <c r="C462" s="60">
        <v>4</v>
      </c>
      <c r="D462" s="60" t="s">
        <v>1050</v>
      </c>
      <c r="E462" s="52"/>
      <c r="F462" s="49"/>
      <c r="G462" s="49"/>
      <c r="H462" s="49"/>
      <c r="I462" s="49"/>
    </row>
    <row r="463" ht="15.75" customHeight="1" spans="1:9">
      <c r="A463" s="47"/>
      <c r="B463" s="57" t="s">
        <v>1004</v>
      </c>
      <c r="C463" s="60">
        <v>4</v>
      </c>
      <c r="D463" s="60" t="s">
        <v>1051</v>
      </c>
      <c r="E463" s="52"/>
      <c r="F463" s="49"/>
      <c r="G463" s="49"/>
      <c r="H463" s="49"/>
      <c r="I463" s="49"/>
    </row>
    <row r="464" ht="15.75" customHeight="1" spans="1:9">
      <c r="A464" s="47"/>
      <c r="B464" s="57" t="s">
        <v>1004</v>
      </c>
      <c r="C464" s="60">
        <v>4</v>
      </c>
      <c r="D464" s="60" t="s">
        <v>1051</v>
      </c>
      <c r="E464" s="38"/>
      <c r="F464" s="49"/>
      <c r="G464" s="49"/>
      <c r="H464" s="49"/>
      <c r="I464" s="49"/>
    </row>
    <row r="465" ht="15.75" customHeight="1" spans="1:9">
      <c r="A465" s="47"/>
      <c r="B465" s="57" t="s">
        <v>1004</v>
      </c>
      <c r="C465" s="60">
        <v>4</v>
      </c>
      <c r="D465" s="60" t="s">
        <v>1051</v>
      </c>
      <c r="E465" s="38"/>
      <c r="F465" s="49"/>
      <c r="G465" s="49"/>
      <c r="H465" s="49"/>
      <c r="I465" s="49"/>
    </row>
    <row r="466" ht="15.75" customHeight="1" spans="1:9">
      <c r="A466" s="47"/>
      <c r="B466" s="57" t="s">
        <v>1004</v>
      </c>
      <c r="C466" s="60">
        <v>4</v>
      </c>
      <c r="D466" s="60" t="s">
        <v>1052</v>
      </c>
      <c r="E466" s="38"/>
      <c r="F466" s="49"/>
      <c r="G466" s="49"/>
      <c r="H466" s="49"/>
      <c r="I466" s="49"/>
    </row>
    <row r="467" ht="15.75" customHeight="1" spans="1:9">
      <c r="A467" s="47"/>
      <c r="B467" s="57" t="s">
        <v>1004</v>
      </c>
      <c r="C467" s="60">
        <v>4</v>
      </c>
      <c r="D467" s="60" t="s">
        <v>1053</v>
      </c>
      <c r="E467" s="38"/>
      <c r="F467" s="49"/>
      <c r="G467" s="49"/>
      <c r="H467" s="49"/>
      <c r="I467" s="49"/>
    </row>
    <row r="468" ht="15.75" customHeight="1" spans="1:9">
      <c r="A468" s="47"/>
      <c r="B468" s="57" t="s">
        <v>1004</v>
      </c>
      <c r="C468" s="60">
        <v>4</v>
      </c>
      <c r="D468" s="60" t="s">
        <v>1054</v>
      </c>
      <c r="E468" s="38"/>
      <c r="F468" s="49"/>
      <c r="G468" s="49"/>
      <c r="H468" s="49"/>
      <c r="I468" s="49"/>
    </row>
    <row r="469" ht="15.75" customHeight="1" spans="1:9">
      <c r="A469" s="47"/>
      <c r="B469" s="57" t="s">
        <v>1004</v>
      </c>
      <c r="C469" s="60">
        <v>4</v>
      </c>
      <c r="D469" s="64" t="s">
        <v>1055</v>
      </c>
      <c r="E469" s="38"/>
      <c r="F469" s="49"/>
      <c r="G469" s="49"/>
      <c r="H469" s="49"/>
      <c r="I469" s="49"/>
    </row>
    <row r="470" ht="15.75" customHeight="1" spans="1:9">
      <c r="A470" s="47"/>
      <c r="B470" s="57" t="s">
        <v>1004</v>
      </c>
      <c r="C470" s="60">
        <v>4</v>
      </c>
      <c r="D470" s="60" t="s">
        <v>1056</v>
      </c>
      <c r="E470" s="38"/>
      <c r="F470" s="49"/>
      <c r="G470" s="49"/>
      <c r="H470" s="49"/>
      <c r="I470" s="49"/>
    </row>
    <row r="471" ht="15.75" customHeight="1" spans="1:9">
      <c r="A471" s="47"/>
      <c r="B471" s="57" t="s">
        <v>1004</v>
      </c>
      <c r="C471" s="60">
        <v>22</v>
      </c>
      <c r="D471" s="60">
        <v>22</v>
      </c>
      <c r="E471" s="38"/>
      <c r="F471" s="49"/>
      <c r="G471" s="49"/>
      <c r="H471" s="49"/>
      <c r="I471" s="49"/>
    </row>
    <row r="472" ht="15.75" customHeight="1" spans="1:9">
      <c r="A472" s="47"/>
      <c r="B472" s="57" t="s">
        <v>1004</v>
      </c>
      <c r="C472" s="60">
        <v>22</v>
      </c>
      <c r="D472" s="60" t="s">
        <v>1057</v>
      </c>
      <c r="E472" s="38"/>
      <c r="F472" s="49"/>
      <c r="G472" s="49"/>
      <c r="H472" s="49"/>
      <c r="I472" s="49"/>
    </row>
    <row r="473" ht="15.75" customHeight="1" spans="1:9">
      <c r="A473" s="47"/>
      <c r="B473" s="57" t="s">
        <v>1004</v>
      </c>
      <c r="C473" s="60">
        <v>22</v>
      </c>
      <c r="D473" s="60" t="s">
        <v>1057</v>
      </c>
      <c r="E473" s="38"/>
      <c r="F473" s="49"/>
      <c r="G473" s="49"/>
      <c r="H473" s="49"/>
      <c r="I473" s="49"/>
    </row>
    <row r="474" ht="15.75" customHeight="1" spans="1:9">
      <c r="A474" s="47"/>
      <c r="B474" s="57" t="s">
        <v>1004</v>
      </c>
      <c r="C474" s="60">
        <v>22</v>
      </c>
      <c r="D474" s="60" t="s">
        <v>1058</v>
      </c>
      <c r="E474" s="38"/>
      <c r="F474" s="49"/>
      <c r="G474" s="49"/>
      <c r="H474" s="49"/>
      <c r="I474" s="49"/>
    </row>
    <row r="475" ht="15.75" customHeight="1" spans="1:9">
      <c r="A475" s="47"/>
      <c r="B475" s="57" t="s">
        <v>1004</v>
      </c>
      <c r="C475" s="60">
        <v>22</v>
      </c>
      <c r="D475" s="60" t="s">
        <v>1059</v>
      </c>
      <c r="E475" s="52"/>
      <c r="F475" s="49"/>
      <c r="G475" s="49"/>
      <c r="H475" s="49"/>
      <c r="I475" s="49"/>
    </row>
    <row r="476" ht="15.75" customHeight="1" spans="1:9">
      <c r="A476" s="47"/>
      <c r="B476" s="57" t="s">
        <v>1004</v>
      </c>
      <c r="C476" s="60">
        <v>22</v>
      </c>
      <c r="D476" s="60" t="s">
        <v>1060</v>
      </c>
      <c r="E476" s="52"/>
      <c r="F476" s="49"/>
      <c r="G476" s="49"/>
      <c r="H476" s="49"/>
      <c r="I476" s="49"/>
    </row>
    <row r="477" ht="15.75" customHeight="1" spans="1:9">
      <c r="A477" s="47"/>
      <c r="B477" s="57" t="s">
        <v>1004</v>
      </c>
      <c r="C477" s="60">
        <v>22</v>
      </c>
      <c r="D477" s="60" t="s">
        <v>1061</v>
      </c>
      <c r="E477" s="38"/>
      <c r="F477" s="49"/>
      <c r="G477" s="49"/>
      <c r="H477" s="49"/>
      <c r="I477" s="49"/>
    </row>
    <row r="478" ht="15.75" customHeight="1" spans="1:9">
      <c r="A478" s="47"/>
      <c r="B478" s="57" t="s">
        <v>1004</v>
      </c>
      <c r="C478" s="60">
        <v>22</v>
      </c>
      <c r="D478" s="60" t="s">
        <v>1062</v>
      </c>
      <c r="E478" s="52"/>
      <c r="F478" s="49"/>
      <c r="G478" s="49"/>
      <c r="H478" s="49"/>
      <c r="I478" s="49"/>
    </row>
    <row r="479" ht="15.75" customHeight="1" spans="1:9">
      <c r="A479" s="47"/>
      <c r="B479" s="57" t="s">
        <v>1004</v>
      </c>
      <c r="C479" s="60">
        <v>22</v>
      </c>
      <c r="D479" s="60" t="s">
        <v>1063</v>
      </c>
      <c r="E479" s="52"/>
      <c r="F479" s="49"/>
      <c r="G479" s="49"/>
      <c r="H479" s="49"/>
      <c r="I479" s="49"/>
    </row>
    <row r="480" ht="15.75" customHeight="1" spans="1:9">
      <c r="A480" s="47"/>
      <c r="B480" s="57" t="s">
        <v>1004</v>
      </c>
      <c r="C480" s="60">
        <v>22</v>
      </c>
      <c r="D480" s="60" t="s">
        <v>1064</v>
      </c>
      <c r="E480" s="38"/>
      <c r="F480" s="49"/>
      <c r="G480" s="49"/>
      <c r="H480" s="49"/>
      <c r="I480" s="49"/>
    </row>
    <row r="481" ht="15.75" customHeight="1" spans="1:9">
      <c r="A481" s="47"/>
      <c r="B481" s="57" t="s">
        <v>1004</v>
      </c>
      <c r="C481" s="60">
        <v>22</v>
      </c>
      <c r="D481" s="60" t="s">
        <v>1065</v>
      </c>
      <c r="E481" s="38"/>
      <c r="F481" s="49"/>
      <c r="G481" s="49"/>
      <c r="H481" s="49"/>
      <c r="I481" s="49"/>
    </row>
    <row r="482" ht="15.75" customHeight="1" spans="1:9">
      <c r="A482" s="47"/>
      <c r="B482" s="57" t="s">
        <v>1004</v>
      </c>
      <c r="C482" s="60">
        <v>22</v>
      </c>
      <c r="D482" s="60" t="s">
        <v>1065</v>
      </c>
      <c r="E482" s="52"/>
      <c r="F482" s="49"/>
      <c r="G482" s="49"/>
      <c r="H482" s="49"/>
      <c r="I482" s="49"/>
    </row>
    <row r="483" ht="15.75" customHeight="1" spans="1:9">
      <c r="A483" s="47"/>
      <c r="B483" s="57" t="s">
        <v>1004</v>
      </c>
      <c r="C483" s="60">
        <v>22</v>
      </c>
      <c r="D483" s="60" t="s">
        <v>1065</v>
      </c>
      <c r="E483" s="38"/>
      <c r="F483" s="49"/>
      <c r="G483" s="49"/>
      <c r="H483" s="49"/>
      <c r="I483" s="49"/>
    </row>
    <row r="484" ht="15.75" customHeight="1" spans="1:9">
      <c r="A484" s="47"/>
      <c r="B484" s="57" t="s">
        <v>1004</v>
      </c>
      <c r="C484" s="60">
        <v>22</v>
      </c>
      <c r="D484" s="60" t="s">
        <v>1066</v>
      </c>
      <c r="E484" s="38"/>
      <c r="F484" s="49"/>
      <c r="G484" s="49"/>
      <c r="H484" s="49"/>
      <c r="I484" s="49"/>
    </row>
    <row r="485" ht="15.75" customHeight="1" spans="1:9">
      <c r="A485" s="47"/>
      <c r="B485" s="57" t="s">
        <v>1004</v>
      </c>
      <c r="C485" s="60">
        <v>22</v>
      </c>
      <c r="D485" s="60" t="s">
        <v>1067</v>
      </c>
      <c r="E485" s="38"/>
      <c r="F485" s="49"/>
      <c r="G485" s="49"/>
      <c r="H485" s="49"/>
      <c r="I485" s="49"/>
    </row>
    <row r="486" ht="15.75" customHeight="1" spans="1:9">
      <c r="A486" s="47"/>
      <c r="B486" s="57" t="s">
        <v>1004</v>
      </c>
      <c r="C486" s="60">
        <v>22</v>
      </c>
      <c r="D486" s="65" t="s">
        <v>1068</v>
      </c>
      <c r="E486" s="38"/>
      <c r="F486" s="49"/>
      <c r="G486" s="49"/>
      <c r="H486" s="49"/>
      <c r="I486" s="49"/>
    </row>
    <row r="487" ht="15.75" customHeight="1" spans="1:9">
      <c r="A487" s="47"/>
      <c r="B487" s="57" t="s">
        <v>1004</v>
      </c>
      <c r="C487" s="66">
        <v>22</v>
      </c>
      <c r="D487" s="67" t="s">
        <v>1069</v>
      </c>
      <c r="E487" s="50"/>
      <c r="F487" s="49"/>
      <c r="G487" s="49"/>
      <c r="H487" s="49"/>
      <c r="I487" s="49"/>
    </row>
    <row r="488" ht="15.75" customHeight="1" spans="1:9">
      <c r="A488" s="47"/>
      <c r="B488" s="57" t="s">
        <v>1004</v>
      </c>
      <c r="C488" s="66">
        <v>22</v>
      </c>
      <c r="D488" s="68" t="s">
        <v>1070</v>
      </c>
      <c r="E488" s="51"/>
      <c r="F488" s="49"/>
      <c r="G488" s="49"/>
      <c r="H488" s="49"/>
      <c r="I488" s="49"/>
    </row>
    <row r="489" ht="15.75" customHeight="1" spans="1:9">
      <c r="A489" s="47"/>
      <c r="B489" s="57" t="s">
        <v>1004</v>
      </c>
      <c r="C489" s="66">
        <v>26</v>
      </c>
      <c r="D489" s="68">
        <v>26</v>
      </c>
      <c r="E489" s="50"/>
      <c r="F489" s="49"/>
      <c r="G489" s="49"/>
      <c r="H489" s="49"/>
      <c r="I489" s="49"/>
    </row>
    <row r="490" ht="15.75" customHeight="1" spans="1:9">
      <c r="A490" s="47"/>
      <c r="B490" s="57" t="s">
        <v>1004</v>
      </c>
      <c r="C490" s="66">
        <v>26</v>
      </c>
      <c r="D490" s="68" t="s">
        <v>1071</v>
      </c>
      <c r="E490" s="50"/>
      <c r="F490" s="49"/>
      <c r="G490" s="49"/>
      <c r="H490" s="49"/>
      <c r="I490" s="49"/>
    </row>
    <row r="491" ht="15.75" customHeight="1" spans="1:9">
      <c r="A491" s="47"/>
      <c r="B491" s="57" t="s">
        <v>1004</v>
      </c>
      <c r="C491" s="66">
        <v>26</v>
      </c>
      <c r="D491" s="69" t="s">
        <v>1072</v>
      </c>
      <c r="E491" s="72"/>
      <c r="F491" s="73"/>
      <c r="G491" s="49"/>
      <c r="H491" s="49"/>
      <c r="I491" s="49"/>
    </row>
    <row r="492" ht="15.75" customHeight="1" spans="1:9">
      <c r="A492" s="47"/>
      <c r="B492" s="57" t="s">
        <v>1004</v>
      </c>
      <c r="C492" s="66">
        <v>26</v>
      </c>
      <c r="D492" s="68" t="s">
        <v>1073</v>
      </c>
      <c r="E492" s="51"/>
      <c r="F492" s="49"/>
      <c r="G492" s="49"/>
      <c r="H492" s="49"/>
      <c r="I492" s="49"/>
    </row>
    <row r="493" ht="15.75" customHeight="1" spans="1:9">
      <c r="A493" s="47"/>
      <c r="B493" s="57" t="s">
        <v>1004</v>
      </c>
      <c r="C493" s="66">
        <v>26</v>
      </c>
      <c r="D493" s="68" t="s">
        <v>1074</v>
      </c>
      <c r="E493" s="51"/>
      <c r="F493" s="49"/>
      <c r="G493" s="49"/>
      <c r="H493" s="49"/>
      <c r="I493" s="49"/>
    </row>
    <row r="494" ht="15.75" customHeight="1" spans="1:9">
      <c r="A494" s="47"/>
      <c r="B494" s="57" t="s">
        <v>1004</v>
      </c>
      <c r="C494" s="66">
        <v>26</v>
      </c>
      <c r="D494" s="70" t="s">
        <v>1075</v>
      </c>
      <c r="E494" s="74"/>
      <c r="F494" s="73"/>
      <c r="G494" s="49"/>
      <c r="H494" s="49"/>
      <c r="I494" s="49"/>
    </row>
    <row r="495" ht="15.75" customHeight="1" spans="1:9">
      <c r="A495" s="47"/>
      <c r="B495" s="57" t="s">
        <v>1004</v>
      </c>
      <c r="C495" s="66">
        <v>26</v>
      </c>
      <c r="D495" s="70" t="s">
        <v>1076</v>
      </c>
      <c r="E495" s="74"/>
      <c r="F495" s="75"/>
      <c r="G495" s="49"/>
      <c r="H495" s="49"/>
      <c r="I495" s="49"/>
    </row>
    <row r="496" ht="15.75" customHeight="1" spans="1:9">
      <c r="A496" s="47"/>
      <c r="B496" s="57" t="s">
        <v>1004</v>
      </c>
      <c r="C496" s="66">
        <v>26</v>
      </c>
      <c r="D496" s="70" t="s">
        <v>1073</v>
      </c>
      <c r="E496" s="74"/>
      <c r="F496" s="73"/>
      <c r="G496" s="49"/>
      <c r="H496" s="49"/>
      <c r="I496" s="49"/>
    </row>
    <row r="497" ht="15.75" customHeight="1" spans="1:9">
      <c r="A497" s="47"/>
      <c r="B497" s="57" t="s">
        <v>1004</v>
      </c>
      <c r="C497" s="66">
        <v>26</v>
      </c>
      <c r="D497" s="70" t="s">
        <v>1077</v>
      </c>
      <c r="E497" s="74"/>
      <c r="F497" s="73"/>
      <c r="G497" s="49"/>
      <c r="H497" s="49"/>
      <c r="I497" s="49"/>
    </row>
    <row r="498" ht="15.75" customHeight="1" spans="1:9">
      <c r="A498" s="47"/>
      <c r="B498" s="57" t="s">
        <v>1004</v>
      </c>
      <c r="C498" s="66">
        <v>26</v>
      </c>
      <c r="D498" s="70" t="s">
        <v>1078</v>
      </c>
      <c r="E498" s="74"/>
      <c r="F498" s="73"/>
      <c r="G498" s="49"/>
      <c r="H498" s="49"/>
      <c r="I498" s="49"/>
    </row>
    <row r="499" ht="15.75" customHeight="1" spans="1:9">
      <c r="A499" s="47"/>
      <c r="B499" s="57" t="s">
        <v>1004</v>
      </c>
      <c r="C499" s="66">
        <v>26</v>
      </c>
      <c r="D499" s="70" t="s">
        <v>1079</v>
      </c>
      <c r="E499" s="72"/>
      <c r="F499" s="73"/>
      <c r="G499" s="49"/>
      <c r="H499" s="49"/>
      <c r="I499" s="49"/>
    </row>
    <row r="500" ht="15.75" customHeight="1" spans="1:9">
      <c r="A500" s="47"/>
      <c r="B500" s="57" t="s">
        <v>1004</v>
      </c>
      <c r="C500" s="66">
        <v>26</v>
      </c>
      <c r="D500" s="70" t="s">
        <v>1080</v>
      </c>
      <c r="E500" s="72"/>
      <c r="F500" s="73"/>
      <c r="G500" s="49"/>
      <c r="H500" s="49"/>
      <c r="I500" s="49"/>
    </row>
    <row r="501" ht="15.75" customHeight="1" spans="1:9">
      <c r="A501" s="47"/>
      <c r="B501" s="57" t="s">
        <v>1004</v>
      </c>
      <c r="C501" s="66">
        <v>26</v>
      </c>
      <c r="D501" s="70" t="s">
        <v>1081</v>
      </c>
      <c r="E501" s="72"/>
      <c r="F501" s="73"/>
      <c r="G501" s="49"/>
      <c r="H501" s="49"/>
      <c r="I501" s="49"/>
    </row>
    <row r="502" ht="15.75" customHeight="1" spans="1:9">
      <c r="A502" s="47"/>
      <c r="B502" s="57" t="s">
        <v>1004</v>
      </c>
      <c r="C502" s="66">
        <v>26</v>
      </c>
      <c r="D502" s="70" t="s">
        <v>1082</v>
      </c>
      <c r="E502" s="72"/>
      <c r="F502" s="73"/>
      <c r="G502" s="49"/>
      <c r="H502" s="49"/>
      <c r="I502" s="49"/>
    </row>
    <row r="503" ht="15.75" customHeight="1" spans="1:9">
      <c r="A503" s="47"/>
      <c r="B503" s="57" t="s">
        <v>1004</v>
      </c>
      <c r="C503" s="66">
        <v>26</v>
      </c>
      <c r="D503" s="70" t="s">
        <v>1083</v>
      </c>
      <c r="E503" s="72"/>
      <c r="F503" s="73"/>
      <c r="G503" s="49"/>
      <c r="H503" s="49"/>
      <c r="I503" s="49"/>
    </row>
    <row r="504" ht="15.75" customHeight="1" spans="1:9">
      <c r="A504" s="47"/>
      <c r="B504" s="57" t="s">
        <v>1004</v>
      </c>
      <c r="C504" s="66">
        <v>26</v>
      </c>
      <c r="D504" s="70" t="s">
        <v>1083</v>
      </c>
      <c r="E504" s="72"/>
      <c r="F504" s="73"/>
      <c r="G504" s="49"/>
      <c r="H504" s="49"/>
      <c r="I504" s="49"/>
    </row>
    <row r="505" ht="15.75" customHeight="1" spans="1:9">
      <c r="A505" s="47"/>
      <c r="B505" s="57" t="s">
        <v>1004</v>
      </c>
      <c r="C505" s="60">
        <v>26</v>
      </c>
      <c r="D505" s="71" t="s">
        <v>1084</v>
      </c>
      <c r="E505" s="52"/>
      <c r="F505" s="49"/>
      <c r="G505" s="49"/>
      <c r="H505" s="49"/>
      <c r="I505" s="49"/>
    </row>
    <row r="506" ht="15.75" customHeight="1" spans="1:9">
      <c r="A506" s="47"/>
      <c r="B506" s="57" t="s">
        <v>1004</v>
      </c>
      <c r="C506" s="60">
        <v>26</v>
      </c>
      <c r="D506" s="60" t="s">
        <v>666</v>
      </c>
      <c r="E506" s="52"/>
      <c r="F506" s="49"/>
      <c r="G506" s="49"/>
      <c r="H506" s="49"/>
      <c r="I506" s="49"/>
    </row>
    <row r="507" ht="15.75" customHeight="1" spans="1:9">
      <c r="A507" s="47"/>
      <c r="B507" s="57" t="s">
        <v>1004</v>
      </c>
      <c r="C507" s="60">
        <v>26</v>
      </c>
      <c r="D507" s="60" t="s">
        <v>666</v>
      </c>
      <c r="E507" s="52"/>
      <c r="F507" s="49"/>
      <c r="G507" s="49"/>
      <c r="H507" s="49"/>
      <c r="I507" s="49"/>
    </row>
    <row r="508" ht="15.75" customHeight="1" spans="1:9">
      <c r="A508" s="47"/>
      <c r="B508" s="57" t="s">
        <v>1004</v>
      </c>
      <c r="C508" s="60">
        <v>26</v>
      </c>
      <c r="D508" s="60" t="s">
        <v>1085</v>
      </c>
      <c r="E508" s="52"/>
      <c r="F508" s="49"/>
      <c r="G508" s="49"/>
      <c r="H508" s="49"/>
      <c r="I508" s="49"/>
    </row>
    <row r="509" ht="15.75" customHeight="1" spans="1:9">
      <c r="A509" s="47"/>
      <c r="B509" s="57" t="s">
        <v>1004</v>
      </c>
      <c r="C509" s="60">
        <v>26</v>
      </c>
      <c r="D509" s="60" t="s">
        <v>1086</v>
      </c>
      <c r="E509" s="52"/>
      <c r="F509" s="49"/>
      <c r="G509" s="49"/>
      <c r="H509" s="49"/>
      <c r="I509" s="49"/>
    </row>
    <row r="510" ht="15.75" customHeight="1" spans="1:9">
      <c r="A510" s="47"/>
      <c r="B510" s="57" t="s">
        <v>1004</v>
      </c>
      <c r="C510" s="60">
        <v>26</v>
      </c>
      <c r="D510" s="60" t="s">
        <v>1087</v>
      </c>
      <c r="E510" s="52"/>
      <c r="F510" s="49"/>
      <c r="G510" s="49"/>
      <c r="H510" s="49"/>
      <c r="I510" s="49"/>
    </row>
    <row r="511" ht="15.75" customHeight="1" spans="1:9">
      <c r="A511" s="47" t="s">
        <v>1088</v>
      </c>
      <c r="B511" s="57" t="s">
        <v>1004</v>
      </c>
      <c r="C511" s="60">
        <v>26</v>
      </c>
      <c r="D511" s="60" t="s">
        <v>1089</v>
      </c>
      <c r="E511" s="38" t="s">
        <v>1090</v>
      </c>
      <c r="F511" s="49"/>
      <c r="G511" s="49"/>
      <c r="H511" s="49"/>
      <c r="I511" s="49"/>
    </row>
    <row r="512" ht="15.75" customHeight="1" spans="1:9">
      <c r="A512" s="47" t="s">
        <v>1088</v>
      </c>
      <c r="B512" s="57" t="s">
        <v>1004</v>
      </c>
      <c r="C512" s="60">
        <v>26</v>
      </c>
      <c r="D512" s="60" t="s">
        <v>1091</v>
      </c>
      <c r="E512" s="38" t="s">
        <v>1090</v>
      </c>
      <c r="F512" s="49"/>
      <c r="G512" s="49"/>
      <c r="H512" s="49"/>
      <c r="I512" s="49"/>
    </row>
    <row r="513" ht="15.75" customHeight="1" spans="1:9">
      <c r="A513" s="47" t="s">
        <v>1088</v>
      </c>
      <c r="B513" s="57" t="s">
        <v>1004</v>
      </c>
      <c r="C513" s="60">
        <v>26</v>
      </c>
      <c r="D513" s="60" t="s">
        <v>1092</v>
      </c>
      <c r="E513" s="38" t="s">
        <v>1090</v>
      </c>
      <c r="F513" s="49"/>
      <c r="G513" s="49"/>
      <c r="H513" s="49"/>
      <c r="I513" s="49"/>
    </row>
    <row r="514" ht="15.75" customHeight="1" spans="1:9">
      <c r="A514" s="47" t="s">
        <v>1088</v>
      </c>
      <c r="B514" s="57" t="s">
        <v>1004</v>
      </c>
      <c r="C514" s="60">
        <v>26</v>
      </c>
      <c r="D514" s="60" t="s">
        <v>1093</v>
      </c>
      <c r="E514" s="38" t="s">
        <v>1090</v>
      </c>
      <c r="F514" s="49"/>
      <c r="G514" s="49"/>
      <c r="H514" s="49"/>
      <c r="I514" s="49"/>
    </row>
    <row r="515" ht="15.75" customHeight="1" spans="1:9">
      <c r="A515" s="47" t="s">
        <v>1088</v>
      </c>
      <c r="B515" s="57" t="s">
        <v>1004</v>
      </c>
      <c r="C515" s="60">
        <v>25</v>
      </c>
      <c r="D515" s="60">
        <v>25</v>
      </c>
      <c r="E515" s="38" t="s">
        <v>1090</v>
      </c>
      <c r="F515" s="49"/>
      <c r="G515" s="49"/>
      <c r="H515" s="49"/>
      <c r="I515" s="49"/>
    </row>
    <row r="516" ht="15.75" customHeight="1" spans="1:9">
      <c r="A516" s="47" t="s">
        <v>1088</v>
      </c>
      <c r="B516" s="57" t="s">
        <v>1004</v>
      </c>
      <c r="C516" s="60">
        <v>25</v>
      </c>
      <c r="D516" s="60" t="s">
        <v>1094</v>
      </c>
      <c r="E516" s="38" t="s">
        <v>1090</v>
      </c>
      <c r="F516" s="49"/>
      <c r="G516" s="49"/>
      <c r="H516" s="49"/>
      <c r="I516" s="49"/>
    </row>
    <row r="517" ht="15.75" customHeight="1" spans="1:9">
      <c r="A517" s="47" t="s">
        <v>1088</v>
      </c>
      <c r="B517" s="57" t="s">
        <v>1004</v>
      </c>
      <c r="C517" s="60">
        <v>25</v>
      </c>
      <c r="D517" s="60" t="s">
        <v>1094</v>
      </c>
      <c r="E517" s="38" t="s">
        <v>1090</v>
      </c>
      <c r="F517" s="49"/>
      <c r="G517" s="49"/>
      <c r="H517" s="49"/>
      <c r="I517" s="49"/>
    </row>
    <row r="518" ht="15.75" customHeight="1" spans="1:9">
      <c r="A518" s="47" t="s">
        <v>1088</v>
      </c>
      <c r="B518" s="57" t="s">
        <v>1004</v>
      </c>
      <c r="C518" s="60">
        <v>25</v>
      </c>
      <c r="D518" s="60" t="s">
        <v>1095</v>
      </c>
      <c r="E518" s="38" t="s">
        <v>1090</v>
      </c>
      <c r="F518" s="49"/>
      <c r="G518" s="49"/>
      <c r="H518" s="49"/>
      <c r="I518" s="49"/>
    </row>
    <row r="519" ht="15.75" customHeight="1" spans="1:9">
      <c r="A519" s="47" t="s">
        <v>1088</v>
      </c>
      <c r="B519" s="57" t="s">
        <v>1004</v>
      </c>
      <c r="C519" s="60">
        <v>25</v>
      </c>
      <c r="D519" s="60" t="s">
        <v>1096</v>
      </c>
      <c r="E519" s="38" t="s">
        <v>1090</v>
      </c>
      <c r="F519" s="49"/>
      <c r="G519" s="49"/>
      <c r="H519" s="49"/>
      <c r="I519" s="49"/>
    </row>
    <row r="520" ht="15.75" customHeight="1" spans="1:9">
      <c r="A520" s="47" t="s">
        <v>1088</v>
      </c>
      <c r="B520" s="57" t="s">
        <v>1004</v>
      </c>
      <c r="C520" s="60">
        <v>25</v>
      </c>
      <c r="D520" s="60" t="s">
        <v>1097</v>
      </c>
      <c r="E520" s="38" t="s">
        <v>1090</v>
      </c>
      <c r="F520" s="49"/>
      <c r="G520" s="49"/>
      <c r="H520" s="49"/>
      <c r="I520" s="49"/>
    </row>
    <row r="521" ht="15.75" customHeight="1" spans="1:9">
      <c r="A521" s="47" t="s">
        <v>1088</v>
      </c>
      <c r="B521" s="57" t="s">
        <v>1004</v>
      </c>
      <c r="C521" s="60">
        <v>25</v>
      </c>
      <c r="D521" s="60" t="s">
        <v>1098</v>
      </c>
      <c r="E521" s="38" t="s">
        <v>1090</v>
      </c>
      <c r="F521" s="49"/>
      <c r="G521" s="49"/>
      <c r="H521" s="49"/>
      <c r="I521" s="49"/>
    </row>
    <row r="522" ht="15.75" customHeight="1" spans="1:9">
      <c r="A522" s="47" t="s">
        <v>1088</v>
      </c>
      <c r="B522" s="57" t="s">
        <v>1004</v>
      </c>
      <c r="C522" s="60">
        <v>25</v>
      </c>
      <c r="D522" s="60" t="s">
        <v>1099</v>
      </c>
      <c r="E522" s="38" t="s">
        <v>1090</v>
      </c>
      <c r="F522" s="49"/>
      <c r="G522" s="49"/>
      <c r="H522" s="49"/>
      <c r="I522" s="49"/>
    </row>
    <row r="523" ht="15.75" customHeight="1" spans="1:9">
      <c r="A523" s="47" t="s">
        <v>1088</v>
      </c>
      <c r="B523" s="57" t="s">
        <v>1004</v>
      </c>
      <c r="C523" s="60">
        <v>25</v>
      </c>
      <c r="D523" s="60" t="s">
        <v>1099</v>
      </c>
      <c r="E523" s="38" t="s">
        <v>1090</v>
      </c>
      <c r="F523" s="49"/>
      <c r="G523" s="49"/>
      <c r="H523" s="49"/>
      <c r="I523" s="49"/>
    </row>
    <row r="524" ht="15.75" customHeight="1" spans="1:9">
      <c r="A524" s="47" t="s">
        <v>1088</v>
      </c>
      <c r="B524" s="57" t="s">
        <v>1004</v>
      </c>
      <c r="C524" s="60">
        <v>25</v>
      </c>
      <c r="D524" s="60" t="s">
        <v>1100</v>
      </c>
      <c r="E524" s="38" t="s">
        <v>1090</v>
      </c>
      <c r="F524" s="49"/>
      <c r="G524" s="49"/>
      <c r="H524" s="49"/>
      <c r="I524" s="49"/>
    </row>
    <row r="525" ht="15.75" customHeight="1" spans="1:9">
      <c r="A525" s="47" t="s">
        <v>1088</v>
      </c>
      <c r="B525" s="57" t="s">
        <v>1004</v>
      </c>
      <c r="C525" s="60">
        <v>25</v>
      </c>
      <c r="D525" s="60" t="s">
        <v>1100</v>
      </c>
      <c r="E525" s="38" t="s">
        <v>1090</v>
      </c>
      <c r="F525" s="49"/>
      <c r="G525" s="49"/>
      <c r="H525" s="49"/>
      <c r="I525" s="49"/>
    </row>
    <row r="526" ht="15.75" customHeight="1" spans="1:9">
      <c r="A526" s="47" t="s">
        <v>1088</v>
      </c>
      <c r="B526" s="57" t="s">
        <v>1004</v>
      </c>
      <c r="C526" s="60">
        <v>25</v>
      </c>
      <c r="D526" s="60" t="s">
        <v>1101</v>
      </c>
      <c r="E526" s="38" t="s">
        <v>1090</v>
      </c>
      <c r="F526" s="49"/>
      <c r="G526" s="49"/>
      <c r="H526" s="49"/>
      <c r="I526" s="49"/>
    </row>
    <row r="527" ht="15.75" customHeight="1" spans="1:9">
      <c r="A527" s="47" t="s">
        <v>1088</v>
      </c>
      <c r="B527" s="57" t="s">
        <v>1004</v>
      </c>
      <c r="C527" s="60">
        <v>25</v>
      </c>
      <c r="D527" s="60" t="s">
        <v>1102</v>
      </c>
      <c r="E527" s="38" t="s">
        <v>1090</v>
      </c>
      <c r="F527" s="49"/>
      <c r="G527" s="49"/>
      <c r="H527" s="49"/>
      <c r="I527" s="49"/>
    </row>
    <row r="528" ht="15.75" customHeight="1" spans="1:9">
      <c r="A528" s="47" t="s">
        <v>1088</v>
      </c>
      <c r="B528" s="57" t="s">
        <v>1004</v>
      </c>
      <c r="C528" s="60">
        <v>25</v>
      </c>
      <c r="D528" s="60" t="s">
        <v>1103</v>
      </c>
      <c r="E528" s="38" t="s">
        <v>1090</v>
      </c>
      <c r="F528" s="49"/>
      <c r="G528" s="49"/>
      <c r="H528" s="49"/>
      <c r="I528" s="49"/>
    </row>
    <row r="529" ht="15.75" customHeight="1" spans="1:9">
      <c r="A529" s="47" t="s">
        <v>1088</v>
      </c>
      <c r="B529" s="57" t="s">
        <v>1004</v>
      </c>
      <c r="C529" s="60">
        <v>7</v>
      </c>
      <c r="D529" s="60" t="s">
        <v>1104</v>
      </c>
      <c r="E529" s="38" t="s">
        <v>1090</v>
      </c>
      <c r="F529" s="49"/>
      <c r="G529" s="49"/>
      <c r="H529" s="49"/>
      <c r="I529" s="49"/>
    </row>
    <row r="530" ht="15.75" customHeight="1" spans="1:9">
      <c r="A530" s="47" t="s">
        <v>1088</v>
      </c>
      <c r="B530" s="57" t="s">
        <v>1004</v>
      </c>
      <c r="C530" s="60">
        <v>7</v>
      </c>
      <c r="D530" s="60" t="s">
        <v>1104</v>
      </c>
      <c r="E530" s="38" t="s">
        <v>1090</v>
      </c>
      <c r="F530" s="49"/>
      <c r="G530" s="49"/>
      <c r="H530" s="49"/>
      <c r="I530" s="49"/>
    </row>
    <row r="531" ht="15.75" customHeight="1" spans="1:9">
      <c r="A531" s="47" t="s">
        <v>1088</v>
      </c>
      <c r="B531" s="57" t="s">
        <v>1004</v>
      </c>
      <c r="C531" s="60">
        <v>7</v>
      </c>
      <c r="D531" s="60">
        <v>7</v>
      </c>
      <c r="E531" s="38" t="s">
        <v>1090</v>
      </c>
      <c r="F531" s="49"/>
      <c r="G531" s="49"/>
      <c r="H531" s="49"/>
      <c r="I531" s="49"/>
    </row>
    <row r="532" ht="15.75" customHeight="1" spans="1:9">
      <c r="A532" s="47" t="s">
        <v>1088</v>
      </c>
      <c r="B532" s="57" t="s">
        <v>1004</v>
      </c>
      <c r="C532" s="60">
        <v>7</v>
      </c>
      <c r="D532" s="60">
        <v>7</v>
      </c>
      <c r="E532" s="38" t="s">
        <v>1090</v>
      </c>
      <c r="F532" s="49"/>
      <c r="G532" s="49"/>
      <c r="H532" s="49"/>
      <c r="I532" s="49"/>
    </row>
    <row r="533" ht="15.75" customHeight="1" spans="1:9">
      <c r="A533" s="47" t="s">
        <v>1088</v>
      </c>
      <c r="B533" s="57" t="s">
        <v>1004</v>
      </c>
      <c r="C533" s="60">
        <v>7</v>
      </c>
      <c r="D533" s="60" t="s">
        <v>1105</v>
      </c>
      <c r="E533" s="38" t="s">
        <v>1090</v>
      </c>
      <c r="F533" s="49"/>
      <c r="G533" s="49"/>
      <c r="H533" s="49"/>
      <c r="I533" s="49"/>
    </row>
    <row r="534" ht="15.75" customHeight="1" spans="1:9">
      <c r="A534" s="47" t="s">
        <v>1088</v>
      </c>
      <c r="B534" s="57" t="s">
        <v>1004</v>
      </c>
      <c r="C534" s="60">
        <v>7</v>
      </c>
      <c r="D534" s="60" t="s">
        <v>1106</v>
      </c>
      <c r="E534" s="38" t="s">
        <v>1090</v>
      </c>
      <c r="F534" s="49"/>
      <c r="G534" s="49"/>
      <c r="H534" s="49"/>
      <c r="I534" s="49"/>
    </row>
    <row r="535" ht="15.75" customHeight="1" spans="1:9">
      <c r="A535" s="47" t="s">
        <v>1088</v>
      </c>
      <c r="B535" s="57" t="s">
        <v>1004</v>
      </c>
      <c r="C535" s="60">
        <v>7</v>
      </c>
      <c r="D535" s="60" t="s">
        <v>1107</v>
      </c>
      <c r="E535" s="38" t="s">
        <v>1090</v>
      </c>
      <c r="F535" s="49"/>
      <c r="G535" s="49"/>
      <c r="H535" s="49"/>
      <c r="I535" s="49"/>
    </row>
    <row r="536" ht="15.75" customHeight="1" spans="1:9">
      <c r="A536" s="47" t="s">
        <v>1088</v>
      </c>
      <c r="B536" s="57" t="s">
        <v>1004</v>
      </c>
      <c r="C536" s="60">
        <v>7</v>
      </c>
      <c r="D536" s="60" t="s">
        <v>1108</v>
      </c>
      <c r="E536" s="38" t="s">
        <v>1090</v>
      </c>
      <c r="F536" s="49"/>
      <c r="G536" s="49"/>
      <c r="H536" s="49"/>
      <c r="I536" s="49"/>
    </row>
    <row r="537" ht="15.75" customHeight="1" spans="1:9">
      <c r="A537" s="47" t="s">
        <v>1088</v>
      </c>
      <c r="B537" s="57" t="s">
        <v>1004</v>
      </c>
      <c r="C537" s="60">
        <v>7</v>
      </c>
      <c r="D537" s="60" t="s">
        <v>1108</v>
      </c>
      <c r="E537" s="38" t="s">
        <v>1090</v>
      </c>
      <c r="F537" s="49"/>
      <c r="G537" s="49"/>
      <c r="H537" s="49"/>
      <c r="I537" s="49"/>
    </row>
    <row r="538" ht="15.75" customHeight="1" spans="1:9">
      <c r="A538" s="47" t="s">
        <v>1088</v>
      </c>
      <c r="B538" s="57" t="s">
        <v>1004</v>
      </c>
      <c r="C538" s="60">
        <v>7</v>
      </c>
      <c r="D538" s="60" t="s">
        <v>1108</v>
      </c>
      <c r="E538" s="38" t="s">
        <v>1090</v>
      </c>
      <c r="F538" s="49"/>
      <c r="G538" s="49"/>
      <c r="H538" s="49"/>
      <c r="I538" s="49"/>
    </row>
    <row r="539" ht="15.75" customHeight="1" spans="1:9">
      <c r="A539" s="47" t="s">
        <v>1088</v>
      </c>
      <c r="B539" s="57" t="s">
        <v>1004</v>
      </c>
      <c r="C539" s="60">
        <v>7</v>
      </c>
      <c r="D539" s="60" t="s">
        <v>1109</v>
      </c>
      <c r="E539" s="38" t="s">
        <v>1090</v>
      </c>
      <c r="F539" s="49"/>
      <c r="G539" s="49"/>
      <c r="H539" s="49"/>
      <c r="I539" s="49"/>
    </row>
    <row r="540" ht="15.75" customHeight="1" spans="1:9">
      <c r="A540" s="47" t="s">
        <v>1088</v>
      </c>
      <c r="B540" s="57" t="s">
        <v>1004</v>
      </c>
      <c r="C540" s="60">
        <v>7</v>
      </c>
      <c r="D540" s="60" t="s">
        <v>1110</v>
      </c>
      <c r="E540" s="38" t="s">
        <v>1090</v>
      </c>
      <c r="F540" s="49"/>
      <c r="G540" s="49"/>
      <c r="H540" s="49"/>
      <c r="I540" s="49"/>
    </row>
    <row r="541" ht="15.75" customHeight="1" spans="1:9">
      <c r="A541" s="47" t="s">
        <v>1088</v>
      </c>
      <c r="B541" s="57" t="s">
        <v>1004</v>
      </c>
      <c r="C541" s="60">
        <v>7</v>
      </c>
      <c r="D541" s="60" t="s">
        <v>1111</v>
      </c>
      <c r="E541" s="38" t="s">
        <v>1090</v>
      </c>
      <c r="F541" s="49"/>
      <c r="G541" s="49"/>
      <c r="H541" s="49"/>
      <c r="I541" s="49"/>
    </row>
    <row r="542" ht="15.75" customHeight="1" spans="1:9">
      <c r="A542" s="47" t="s">
        <v>1088</v>
      </c>
      <c r="B542" s="57" t="s">
        <v>1004</v>
      </c>
      <c r="C542" s="60">
        <v>7</v>
      </c>
      <c r="D542" s="60" t="s">
        <v>1112</v>
      </c>
      <c r="E542" s="38" t="s">
        <v>1090</v>
      </c>
      <c r="F542" s="49"/>
      <c r="G542" s="49"/>
      <c r="H542" s="49"/>
      <c r="I542" s="49"/>
    </row>
    <row r="543" ht="15.75" customHeight="1" spans="1:9">
      <c r="A543" s="47" t="s">
        <v>1088</v>
      </c>
      <c r="B543" s="57" t="s">
        <v>1004</v>
      </c>
      <c r="C543" s="60">
        <v>7</v>
      </c>
      <c r="D543" s="60" t="s">
        <v>1113</v>
      </c>
      <c r="E543" s="38" t="s">
        <v>1090</v>
      </c>
      <c r="F543" s="49"/>
      <c r="G543" s="49"/>
      <c r="H543" s="49"/>
      <c r="I543" s="49"/>
    </row>
    <row r="544" ht="15.75" customHeight="1" spans="1:9">
      <c r="A544" s="47" t="s">
        <v>1088</v>
      </c>
      <c r="B544" s="57" t="s">
        <v>1004</v>
      </c>
      <c r="C544" s="60">
        <v>30</v>
      </c>
      <c r="D544" s="60">
        <v>30</v>
      </c>
      <c r="E544" s="38" t="s">
        <v>1090</v>
      </c>
      <c r="F544" s="49"/>
      <c r="G544" s="49"/>
      <c r="H544" s="49"/>
      <c r="I544" s="49"/>
    </row>
    <row r="545" ht="15.75" customHeight="1" spans="1:9">
      <c r="A545" s="47" t="s">
        <v>1088</v>
      </c>
      <c r="B545" s="57" t="s">
        <v>1004</v>
      </c>
      <c r="C545" s="60">
        <v>30</v>
      </c>
      <c r="D545" s="60" t="s">
        <v>1114</v>
      </c>
      <c r="E545" s="38" t="s">
        <v>1090</v>
      </c>
      <c r="F545" s="49"/>
      <c r="G545" s="49"/>
      <c r="H545" s="49"/>
      <c r="I545" s="49"/>
    </row>
    <row r="546" ht="15.75" customHeight="1" spans="1:9">
      <c r="A546" s="47" t="s">
        <v>1088</v>
      </c>
      <c r="B546" s="57" t="s">
        <v>1004</v>
      </c>
      <c r="C546" s="60">
        <v>30</v>
      </c>
      <c r="D546" s="60" t="s">
        <v>1114</v>
      </c>
      <c r="E546" s="38" t="s">
        <v>1090</v>
      </c>
      <c r="F546" s="49"/>
      <c r="G546" s="49"/>
      <c r="H546" s="49"/>
      <c r="I546" s="49"/>
    </row>
    <row r="547" ht="15.75" customHeight="1" spans="1:9">
      <c r="A547" s="47" t="s">
        <v>1088</v>
      </c>
      <c r="B547" s="57" t="s">
        <v>1004</v>
      </c>
      <c r="C547" s="60">
        <v>30</v>
      </c>
      <c r="D547" s="60" t="s">
        <v>1115</v>
      </c>
      <c r="E547" s="38" t="s">
        <v>1090</v>
      </c>
      <c r="F547" s="49"/>
      <c r="G547" s="49"/>
      <c r="H547" s="49"/>
      <c r="I547" s="49"/>
    </row>
    <row r="548" ht="15.75" customHeight="1" spans="1:9">
      <c r="A548" s="47" t="s">
        <v>1088</v>
      </c>
      <c r="B548" s="57" t="s">
        <v>1004</v>
      </c>
      <c r="C548" s="60">
        <v>30</v>
      </c>
      <c r="D548" s="60" t="s">
        <v>1116</v>
      </c>
      <c r="E548" s="38" t="s">
        <v>1090</v>
      </c>
      <c r="F548" s="49"/>
      <c r="G548" s="49"/>
      <c r="H548" s="49"/>
      <c r="I548" s="49"/>
    </row>
    <row r="549" ht="15.75" customHeight="1" spans="1:9">
      <c r="A549" s="47" t="s">
        <v>1088</v>
      </c>
      <c r="B549" s="57" t="s">
        <v>1004</v>
      </c>
      <c r="C549" s="60">
        <v>30</v>
      </c>
      <c r="D549" s="60" t="s">
        <v>1117</v>
      </c>
      <c r="E549" s="38" t="s">
        <v>1090</v>
      </c>
      <c r="F549" s="49"/>
      <c r="G549" s="49"/>
      <c r="H549" s="49"/>
      <c r="I549" s="49"/>
    </row>
    <row r="550" ht="15.75" customHeight="1" spans="1:9">
      <c r="A550" s="47" t="s">
        <v>1088</v>
      </c>
      <c r="B550" s="57" t="s">
        <v>1004</v>
      </c>
      <c r="C550" s="60">
        <v>30</v>
      </c>
      <c r="D550" s="60" t="s">
        <v>1117</v>
      </c>
      <c r="E550" s="38" t="s">
        <v>1090</v>
      </c>
      <c r="F550" s="49"/>
      <c r="G550" s="49"/>
      <c r="H550" s="49"/>
      <c r="I550" s="49"/>
    </row>
    <row r="551" ht="15.75" customHeight="1" spans="1:9">
      <c r="A551" s="47" t="s">
        <v>1088</v>
      </c>
      <c r="B551" s="57" t="s">
        <v>1004</v>
      </c>
      <c r="C551" s="60">
        <v>30</v>
      </c>
      <c r="D551" s="60" t="s">
        <v>1117</v>
      </c>
      <c r="E551" s="38" t="s">
        <v>1090</v>
      </c>
      <c r="F551" s="49"/>
      <c r="G551" s="49"/>
      <c r="H551" s="49"/>
      <c r="I551" s="49"/>
    </row>
    <row r="552" ht="15.75" customHeight="1" spans="1:9">
      <c r="A552" s="47" t="s">
        <v>1088</v>
      </c>
      <c r="B552" s="57" t="s">
        <v>1004</v>
      </c>
      <c r="C552" s="60">
        <v>30</v>
      </c>
      <c r="D552" s="60" t="s">
        <v>1118</v>
      </c>
      <c r="E552" s="38" t="s">
        <v>1090</v>
      </c>
      <c r="F552" s="49"/>
      <c r="G552" s="49"/>
      <c r="H552" s="49"/>
      <c r="I552" s="49"/>
    </row>
    <row r="553" ht="15.75" customHeight="1" spans="1:9">
      <c r="A553" s="47" t="s">
        <v>1088</v>
      </c>
      <c r="B553" s="57" t="s">
        <v>1004</v>
      </c>
      <c r="C553" s="60">
        <v>30</v>
      </c>
      <c r="D553" s="64" t="s">
        <v>1119</v>
      </c>
      <c r="E553" s="38" t="s">
        <v>1090</v>
      </c>
      <c r="F553" s="49"/>
      <c r="G553" s="49"/>
      <c r="H553" s="49"/>
      <c r="I553" s="49"/>
    </row>
    <row r="554" ht="15.75" customHeight="1" spans="1:9">
      <c r="A554" s="47" t="s">
        <v>1088</v>
      </c>
      <c r="B554" s="57" t="s">
        <v>1004</v>
      </c>
      <c r="C554" s="60">
        <v>24</v>
      </c>
      <c r="D554" s="60">
        <v>24</v>
      </c>
      <c r="E554" s="38" t="s">
        <v>1090</v>
      </c>
      <c r="F554" s="49"/>
      <c r="G554" s="49"/>
      <c r="H554" s="49"/>
      <c r="I554" s="49"/>
    </row>
    <row r="555" ht="15.75" customHeight="1" spans="1:9">
      <c r="A555" s="47" t="s">
        <v>1088</v>
      </c>
      <c r="B555" s="57" t="s">
        <v>1004</v>
      </c>
      <c r="C555" s="60">
        <v>24</v>
      </c>
      <c r="D555" s="60" t="s">
        <v>1120</v>
      </c>
      <c r="E555" s="38" t="s">
        <v>1090</v>
      </c>
      <c r="F555" s="49"/>
      <c r="G555" s="49"/>
      <c r="H555" s="49"/>
      <c r="I555" s="49"/>
    </row>
    <row r="556" ht="15.75" customHeight="1" spans="1:9">
      <c r="A556" s="47" t="s">
        <v>1088</v>
      </c>
      <c r="B556" s="57" t="s">
        <v>1004</v>
      </c>
      <c r="C556" s="60">
        <v>24</v>
      </c>
      <c r="D556" s="60" t="s">
        <v>1120</v>
      </c>
      <c r="E556" s="38" t="s">
        <v>1090</v>
      </c>
      <c r="F556" s="49"/>
      <c r="G556" s="49"/>
      <c r="H556" s="49"/>
      <c r="I556" s="49"/>
    </row>
    <row r="557" ht="15.75" customHeight="1" spans="1:9">
      <c r="A557" s="47" t="s">
        <v>1088</v>
      </c>
      <c r="B557" s="57" t="s">
        <v>1004</v>
      </c>
      <c r="C557" s="60">
        <v>24</v>
      </c>
      <c r="D557" s="60" t="s">
        <v>1121</v>
      </c>
      <c r="E557" s="38" t="s">
        <v>1090</v>
      </c>
      <c r="F557" s="49"/>
      <c r="G557" s="49"/>
      <c r="H557" s="49"/>
      <c r="I557" s="49"/>
    </row>
    <row r="558" ht="15.75" customHeight="1" spans="1:9">
      <c r="A558" s="47" t="s">
        <v>1088</v>
      </c>
      <c r="B558" s="57" t="s">
        <v>1004</v>
      </c>
      <c r="C558" s="60">
        <v>24</v>
      </c>
      <c r="D558" s="60" t="s">
        <v>1122</v>
      </c>
      <c r="E558" s="38" t="s">
        <v>1090</v>
      </c>
      <c r="F558" s="49"/>
      <c r="G558" s="49"/>
      <c r="H558" s="49"/>
      <c r="I558" s="49"/>
    </row>
    <row r="559" ht="15.75" customHeight="1" spans="1:9">
      <c r="A559" s="47" t="s">
        <v>1088</v>
      </c>
      <c r="B559" s="57" t="s">
        <v>1004</v>
      </c>
      <c r="C559" s="60">
        <v>24</v>
      </c>
      <c r="D559" s="60" t="s">
        <v>1123</v>
      </c>
      <c r="E559" s="38" t="s">
        <v>1090</v>
      </c>
      <c r="F559" s="49"/>
      <c r="G559" s="49"/>
      <c r="H559" s="49"/>
      <c r="I559" s="49"/>
    </row>
    <row r="560" ht="15.75" customHeight="1" spans="1:9">
      <c r="A560" s="47" t="s">
        <v>1088</v>
      </c>
      <c r="B560" s="57" t="s">
        <v>1004</v>
      </c>
      <c r="C560" s="60">
        <v>24</v>
      </c>
      <c r="D560" s="60" t="s">
        <v>1124</v>
      </c>
      <c r="E560" s="38" t="s">
        <v>1090</v>
      </c>
      <c r="F560" s="49"/>
      <c r="G560" s="49"/>
      <c r="H560" s="49"/>
      <c r="I560" s="49"/>
    </row>
    <row r="561" ht="15.75" customHeight="1" spans="1:9">
      <c r="A561" s="47" t="s">
        <v>1088</v>
      </c>
      <c r="B561" s="57" t="s">
        <v>1004</v>
      </c>
      <c r="C561" s="60">
        <v>24</v>
      </c>
      <c r="D561" s="60" t="s">
        <v>1125</v>
      </c>
      <c r="E561" s="38" t="s">
        <v>1090</v>
      </c>
      <c r="F561" s="49"/>
      <c r="G561" s="49"/>
      <c r="H561" s="49"/>
      <c r="I561" s="49"/>
    </row>
    <row r="562" ht="15.75" customHeight="1" spans="1:9">
      <c r="A562" s="47" t="s">
        <v>1088</v>
      </c>
      <c r="B562" s="57" t="s">
        <v>1004</v>
      </c>
      <c r="C562" s="60">
        <v>24</v>
      </c>
      <c r="D562" s="60" t="s">
        <v>1125</v>
      </c>
      <c r="E562" s="38" t="s">
        <v>1090</v>
      </c>
      <c r="F562" s="49"/>
      <c r="G562" s="49"/>
      <c r="H562" s="49"/>
      <c r="I562" s="49"/>
    </row>
    <row r="563" ht="15.75" customHeight="1" spans="1:9">
      <c r="A563" s="47" t="s">
        <v>1088</v>
      </c>
      <c r="B563" s="57" t="s">
        <v>1004</v>
      </c>
      <c r="C563" s="60">
        <v>24</v>
      </c>
      <c r="D563" s="60" t="s">
        <v>1125</v>
      </c>
      <c r="E563" s="38" t="s">
        <v>1090</v>
      </c>
      <c r="F563" s="49"/>
      <c r="G563" s="49"/>
      <c r="H563" s="49"/>
      <c r="I563" s="49"/>
    </row>
    <row r="564" ht="15.75" customHeight="1" spans="1:9">
      <c r="A564" s="47" t="s">
        <v>1088</v>
      </c>
      <c r="B564" s="57" t="s">
        <v>1004</v>
      </c>
      <c r="C564" s="60">
        <v>24</v>
      </c>
      <c r="D564" s="60" t="s">
        <v>1126</v>
      </c>
      <c r="E564" s="38" t="s">
        <v>1090</v>
      </c>
      <c r="F564" s="49"/>
      <c r="G564" s="49"/>
      <c r="H564" s="49"/>
      <c r="I564" s="49"/>
    </row>
    <row r="565" ht="15.75" customHeight="1" spans="1:9">
      <c r="A565" s="47" t="s">
        <v>1088</v>
      </c>
      <c r="B565" s="57" t="s">
        <v>1004</v>
      </c>
      <c r="C565" s="60">
        <v>24</v>
      </c>
      <c r="D565" s="60" t="s">
        <v>1127</v>
      </c>
      <c r="E565" s="38" t="s">
        <v>1090</v>
      </c>
      <c r="F565" s="49"/>
      <c r="G565" s="49"/>
      <c r="H565" s="49"/>
      <c r="I565" s="49"/>
    </row>
    <row r="566" ht="15.75" customHeight="1" spans="1:9">
      <c r="A566" s="47" t="s">
        <v>1088</v>
      </c>
      <c r="B566" s="57" t="s">
        <v>1004</v>
      </c>
      <c r="C566" s="60">
        <v>24</v>
      </c>
      <c r="D566" s="60" t="s">
        <v>1128</v>
      </c>
      <c r="E566" s="38" t="s">
        <v>1090</v>
      </c>
      <c r="F566" s="49"/>
      <c r="G566" s="49"/>
      <c r="H566" s="49"/>
      <c r="I566" s="49"/>
    </row>
    <row r="567" ht="15.75" customHeight="1" spans="1:9">
      <c r="A567" s="47" t="s">
        <v>1088</v>
      </c>
      <c r="B567" s="57" t="s">
        <v>1004</v>
      </c>
      <c r="C567" s="60">
        <v>24</v>
      </c>
      <c r="D567" s="60" t="s">
        <v>1129</v>
      </c>
      <c r="E567" s="38" t="s">
        <v>1090</v>
      </c>
      <c r="F567" s="49"/>
      <c r="G567" s="49"/>
      <c r="H567" s="49"/>
      <c r="I567" s="49"/>
    </row>
    <row r="568" ht="15.75" customHeight="1" spans="1:9">
      <c r="A568" s="47" t="s">
        <v>1088</v>
      </c>
      <c r="B568" s="57" t="s">
        <v>1004</v>
      </c>
      <c r="C568" s="60">
        <v>6</v>
      </c>
      <c r="D568" s="60" t="s">
        <v>1130</v>
      </c>
      <c r="E568" s="38" t="s">
        <v>1090</v>
      </c>
      <c r="F568" s="49"/>
      <c r="G568" s="49"/>
      <c r="H568" s="49"/>
      <c r="I568" s="49"/>
    </row>
    <row r="569" ht="15.75" customHeight="1" spans="1:9">
      <c r="A569" s="47" t="s">
        <v>1088</v>
      </c>
      <c r="B569" s="57" t="s">
        <v>1004</v>
      </c>
      <c r="C569" s="60">
        <v>6</v>
      </c>
      <c r="D569" s="60" t="s">
        <v>1130</v>
      </c>
      <c r="E569" s="38" t="s">
        <v>1090</v>
      </c>
      <c r="F569" s="49"/>
      <c r="G569" s="49"/>
      <c r="H569" s="49"/>
      <c r="I569" s="49"/>
    </row>
    <row r="570" ht="15.75" customHeight="1" spans="1:9">
      <c r="A570" s="47" t="s">
        <v>1088</v>
      </c>
      <c r="B570" s="57" t="s">
        <v>1004</v>
      </c>
      <c r="C570" s="60">
        <v>6</v>
      </c>
      <c r="D570" s="60">
        <v>6</v>
      </c>
      <c r="E570" s="38" t="s">
        <v>1090</v>
      </c>
      <c r="F570" s="49"/>
      <c r="G570" s="49"/>
      <c r="H570" s="49"/>
      <c r="I570" s="49"/>
    </row>
    <row r="571" ht="15.75" customHeight="1" spans="1:9">
      <c r="A571" s="47" t="s">
        <v>1088</v>
      </c>
      <c r="B571" s="57" t="s">
        <v>1004</v>
      </c>
      <c r="C571" s="60">
        <v>6</v>
      </c>
      <c r="D571" s="60">
        <v>6</v>
      </c>
      <c r="E571" s="38" t="s">
        <v>1090</v>
      </c>
      <c r="F571" s="49"/>
      <c r="G571" s="49"/>
      <c r="H571" s="49"/>
      <c r="I571" s="49"/>
    </row>
    <row r="572" ht="15.75" customHeight="1" spans="1:9">
      <c r="A572" s="47" t="s">
        <v>1088</v>
      </c>
      <c r="B572" s="57" t="s">
        <v>1004</v>
      </c>
      <c r="C572" s="60">
        <v>6</v>
      </c>
      <c r="D572" s="60" t="s">
        <v>1131</v>
      </c>
      <c r="E572" s="38" t="s">
        <v>1090</v>
      </c>
      <c r="F572" s="49"/>
      <c r="G572" s="49"/>
      <c r="H572" s="49"/>
      <c r="I572" s="49"/>
    </row>
    <row r="573" ht="15.75" customHeight="1" spans="1:9">
      <c r="A573" s="47" t="s">
        <v>1088</v>
      </c>
      <c r="B573" s="57" t="s">
        <v>1004</v>
      </c>
      <c r="C573" s="60">
        <v>6</v>
      </c>
      <c r="D573" s="60" t="s">
        <v>1132</v>
      </c>
      <c r="E573" s="38" t="s">
        <v>1090</v>
      </c>
      <c r="F573" s="49"/>
      <c r="G573" s="49"/>
      <c r="H573" s="49"/>
      <c r="I573" s="49"/>
    </row>
    <row r="574" ht="15.75" customHeight="1" spans="1:9">
      <c r="A574" s="47" t="s">
        <v>1088</v>
      </c>
      <c r="B574" s="57" t="s">
        <v>1004</v>
      </c>
      <c r="C574" s="60">
        <v>6</v>
      </c>
      <c r="D574" s="60" t="s">
        <v>1132</v>
      </c>
      <c r="E574" s="38" t="s">
        <v>1090</v>
      </c>
      <c r="F574" s="49"/>
      <c r="G574" s="49"/>
      <c r="H574" s="49"/>
      <c r="I574" s="49"/>
    </row>
    <row r="575" ht="15.75" customHeight="1" spans="1:9">
      <c r="A575" s="47" t="s">
        <v>1088</v>
      </c>
      <c r="B575" s="57" t="s">
        <v>1004</v>
      </c>
      <c r="C575" s="60">
        <v>6</v>
      </c>
      <c r="D575" s="60" t="s">
        <v>1132</v>
      </c>
      <c r="E575" s="38" t="s">
        <v>1090</v>
      </c>
      <c r="F575" s="49"/>
      <c r="G575" s="49"/>
      <c r="H575" s="49"/>
      <c r="I575" s="49"/>
    </row>
    <row r="576" ht="15.75" customHeight="1" spans="1:9">
      <c r="A576" s="47" t="s">
        <v>1088</v>
      </c>
      <c r="B576" s="57" t="s">
        <v>1004</v>
      </c>
      <c r="C576" s="60">
        <v>6</v>
      </c>
      <c r="D576" s="60" t="s">
        <v>1133</v>
      </c>
      <c r="E576" s="38" t="s">
        <v>1090</v>
      </c>
      <c r="F576" s="49"/>
      <c r="G576" s="49"/>
      <c r="H576" s="49"/>
      <c r="I576" s="49"/>
    </row>
    <row r="577" ht="15.75" customHeight="1" spans="1:9">
      <c r="A577" s="47" t="s">
        <v>1088</v>
      </c>
      <c r="B577" s="57" t="s">
        <v>1004</v>
      </c>
      <c r="C577" s="60">
        <v>6</v>
      </c>
      <c r="D577" s="60" t="s">
        <v>1134</v>
      </c>
      <c r="E577" s="38" t="s">
        <v>1090</v>
      </c>
      <c r="F577" s="49"/>
      <c r="G577" s="49"/>
      <c r="H577" s="49"/>
      <c r="I577" s="49"/>
    </row>
    <row r="578" ht="15.75" customHeight="1" spans="1:9">
      <c r="A578" s="47" t="s">
        <v>1088</v>
      </c>
      <c r="B578" s="57" t="s">
        <v>1004</v>
      </c>
      <c r="C578" s="60">
        <v>6</v>
      </c>
      <c r="D578" s="64" t="s">
        <v>1135</v>
      </c>
      <c r="E578" s="38" t="s">
        <v>1090</v>
      </c>
      <c r="F578" s="49"/>
      <c r="G578" s="49"/>
      <c r="H578" s="49"/>
      <c r="I578" s="49"/>
    </row>
    <row r="579" ht="15.75" customHeight="1" spans="1:9">
      <c r="A579" s="47" t="s">
        <v>1088</v>
      </c>
      <c r="B579" s="57" t="s">
        <v>1004</v>
      </c>
      <c r="C579" s="60">
        <v>2</v>
      </c>
      <c r="D579" s="60" t="s">
        <v>1136</v>
      </c>
      <c r="E579" s="38" t="s">
        <v>1090</v>
      </c>
      <c r="F579" s="49"/>
      <c r="G579" s="49"/>
      <c r="H579" s="49"/>
      <c r="I579" s="49"/>
    </row>
    <row r="580" ht="15.75" customHeight="1" spans="1:9">
      <c r="A580" s="47" t="s">
        <v>1088</v>
      </c>
      <c r="B580" s="57" t="s">
        <v>1004</v>
      </c>
      <c r="C580" s="60">
        <v>2</v>
      </c>
      <c r="D580" s="60" t="s">
        <v>1136</v>
      </c>
      <c r="E580" s="38" t="s">
        <v>1090</v>
      </c>
      <c r="F580" s="49"/>
      <c r="G580" s="49"/>
      <c r="H580" s="49"/>
      <c r="I580" s="49"/>
    </row>
    <row r="581" ht="15.75" customHeight="1" spans="1:9">
      <c r="A581" s="47" t="s">
        <v>1088</v>
      </c>
      <c r="B581" s="57" t="s">
        <v>1004</v>
      </c>
      <c r="C581" s="60">
        <v>2</v>
      </c>
      <c r="D581" s="60">
        <v>2</v>
      </c>
      <c r="E581" s="38" t="s">
        <v>1090</v>
      </c>
      <c r="F581" s="49"/>
      <c r="G581" s="49"/>
      <c r="H581" s="49"/>
      <c r="I581" s="49"/>
    </row>
    <row r="582" ht="15.75" customHeight="1" spans="1:9">
      <c r="A582" s="47" t="s">
        <v>1088</v>
      </c>
      <c r="B582" s="57" t="s">
        <v>1004</v>
      </c>
      <c r="C582" s="60">
        <v>2</v>
      </c>
      <c r="D582" s="60">
        <v>2</v>
      </c>
      <c r="E582" s="38" t="s">
        <v>1090</v>
      </c>
      <c r="F582" s="49"/>
      <c r="G582" s="49"/>
      <c r="H582" s="49"/>
      <c r="I582" s="49"/>
    </row>
    <row r="583" ht="15.75" customHeight="1" spans="1:9">
      <c r="A583" s="47" t="s">
        <v>1088</v>
      </c>
      <c r="B583" s="57" t="s">
        <v>1004</v>
      </c>
      <c r="C583" s="60">
        <v>2</v>
      </c>
      <c r="D583" s="60" t="s">
        <v>1137</v>
      </c>
      <c r="E583" s="38" t="s">
        <v>1090</v>
      </c>
      <c r="F583" s="49"/>
      <c r="G583" s="49"/>
      <c r="H583" s="49"/>
      <c r="I583" s="49"/>
    </row>
    <row r="584" ht="15.75" customHeight="1" spans="1:9">
      <c r="A584" s="47" t="s">
        <v>1088</v>
      </c>
      <c r="B584" s="57" t="s">
        <v>1004</v>
      </c>
      <c r="C584" s="60">
        <v>2</v>
      </c>
      <c r="D584" s="60" t="s">
        <v>1138</v>
      </c>
      <c r="E584" s="38" t="s">
        <v>1090</v>
      </c>
      <c r="F584" s="49"/>
      <c r="G584" s="49"/>
      <c r="H584" s="49"/>
      <c r="I584" s="49"/>
    </row>
    <row r="585" ht="15.75" customHeight="1" spans="1:9">
      <c r="A585" s="47" t="s">
        <v>1088</v>
      </c>
      <c r="B585" s="57" t="s">
        <v>1004</v>
      </c>
      <c r="C585" s="60">
        <v>2</v>
      </c>
      <c r="D585" s="60" t="s">
        <v>1139</v>
      </c>
      <c r="E585" s="38" t="s">
        <v>1090</v>
      </c>
      <c r="F585" s="49"/>
      <c r="G585" s="49"/>
      <c r="H585" s="49"/>
      <c r="I585" s="49"/>
    </row>
    <row r="586" ht="15.75" customHeight="1" spans="1:9">
      <c r="A586" s="47" t="s">
        <v>1088</v>
      </c>
      <c r="B586" s="57" t="s">
        <v>1004</v>
      </c>
      <c r="C586" s="60">
        <v>2</v>
      </c>
      <c r="D586" s="60" t="s">
        <v>1140</v>
      </c>
      <c r="E586" s="38" t="s">
        <v>1090</v>
      </c>
      <c r="F586" s="49"/>
      <c r="G586" s="49"/>
      <c r="H586" s="49"/>
      <c r="I586" s="49"/>
    </row>
    <row r="587" ht="15.75" customHeight="1" spans="1:9">
      <c r="A587" s="47" t="s">
        <v>1088</v>
      </c>
      <c r="B587" s="57" t="s">
        <v>1004</v>
      </c>
      <c r="C587" s="60">
        <v>2</v>
      </c>
      <c r="D587" s="60" t="s">
        <v>1140</v>
      </c>
      <c r="E587" s="38" t="s">
        <v>1090</v>
      </c>
      <c r="F587" s="49"/>
      <c r="G587" s="49"/>
      <c r="H587" s="49"/>
      <c r="I587" s="49"/>
    </row>
    <row r="588" ht="15.75" customHeight="1" spans="1:9">
      <c r="A588" s="47" t="s">
        <v>1088</v>
      </c>
      <c r="B588" s="57" t="s">
        <v>1004</v>
      </c>
      <c r="C588" s="60">
        <v>2</v>
      </c>
      <c r="D588" s="60" t="s">
        <v>1141</v>
      </c>
      <c r="E588" s="38" t="s">
        <v>1090</v>
      </c>
      <c r="F588" s="49"/>
      <c r="G588" s="49"/>
      <c r="H588" s="49"/>
      <c r="I588" s="49"/>
    </row>
    <row r="589" ht="15.75" customHeight="1" spans="1:9">
      <c r="A589" s="47" t="s">
        <v>1088</v>
      </c>
      <c r="B589" s="57" t="s">
        <v>1004</v>
      </c>
      <c r="C589" s="60">
        <v>2</v>
      </c>
      <c r="D589" s="60" t="s">
        <v>1142</v>
      </c>
      <c r="E589" s="38" t="s">
        <v>1090</v>
      </c>
      <c r="F589" s="49"/>
      <c r="G589" s="49"/>
      <c r="H589" s="49"/>
      <c r="I589" s="49"/>
    </row>
    <row r="590" ht="15.75" customHeight="1" spans="1:9">
      <c r="A590" s="47" t="s">
        <v>1088</v>
      </c>
      <c r="B590" s="57" t="s">
        <v>1004</v>
      </c>
      <c r="C590" s="60">
        <v>2</v>
      </c>
      <c r="D590" s="60" t="s">
        <v>1143</v>
      </c>
      <c r="E590" s="38" t="s">
        <v>1090</v>
      </c>
      <c r="F590" s="49"/>
      <c r="G590" s="49"/>
      <c r="H590" s="49"/>
      <c r="I590" s="49"/>
    </row>
    <row r="591" ht="15.75" customHeight="1" spans="1:9">
      <c r="A591" s="47" t="s">
        <v>1088</v>
      </c>
      <c r="B591" s="57" t="s">
        <v>1004</v>
      </c>
      <c r="C591" s="60">
        <v>1</v>
      </c>
      <c r="D591" s="60" t="s">
        <v>1144</v>
      </c>
      <c r="E591" s="38" t="s">
        <v>1090</v>
      </c>
      <c r="F591" s="49"/>
      <c r="G591" s="49"/>
      <c r="H591" s="49"/>
      <c r="I591" s="49"/>
    </row>
    <row r="592" ht="15.75" customHeight="1" spans="1:9">
      <c r="A592" s="47" t="s">
        <v>1088</v>
      </c>
      <c r="B592" s="57" t="s">
        <v>1004</v>
      </c>
      <c r="C592" s="60">
        <v>1</v>
      </c>
      <c r="D592" s="60" t="s">
        <v>1144</v>
      </c>
      <c r="E592" s="38" t="s">
        <v>1090</v>
      </c>
      <c r="F592" s="49"/>
      <c r="G592" s="49"/>
      <c r="H592" s="49"/>
      <c r="I592" s="49"/>
    </row>
    <row r="593" ht="15.75" customHeight="1" spans="1:9">
      <c r="A593" s="47" t="s">
        <v>1088</v>
      </c>
      <c r="B593" s="57" t="s">
        <v>1004</v>
      </c>
      <c r="C593" s="60">
        <v>1</v>
      </c>
      <c r="D593" s="60" t="s">
        <v>1145</v>
      </c>
      <c r="E593" s="38" t="s">
        <v>1090</v>
      </c>
      <c r="F593" s="49"/>
      <c r="G593" s="49"/>
      <c r="H593" s="49"/>
      <c r="I593" s="49"/>
    </row>
    <row r="594" ht="15.75" customHeight="1" spans="1:9">
      <c r="A594" s="47" t="s">
        <v>1088</v>
      </c>
      <c r="B594" s="57" t="s">
        <v>1004</v>
      </c>
      <c r="C594" s="60">
        <v>1</v>
      </c>
      <c r="D594" s="60">
        <v>1</v>
      </c>
      <c r="E594" s="38" t="s">
        <v>1090</v>
      </c>
      <c r="F594" s="49"/>
      <c r="G594" s="49"/>
      <c r="H594" s="49"/>
      <c r="I594" s="49"/>
    </row>
    <row r="595" ht="15.75" customHeight="1" spans="1:9">
      <c r="A595" s="47" t="s">
        <v>1088</v>
      </c>
      <c r="B595" s="57" t="s">
        <v>1004</v>
      </c>
      <c r="C595" s="60">
        <v>1</v>
      </c>
      <c r="D595" s="60" t="s">
        <v>1146</v>
      </c>
      <c r="E595" s="38" t="s">
        <v>1090</v>
      </c>
      <c r="F595" s="49"/>
      <c r="G595" s="49"/>
      <c r="H595" s="49"/>
      <c r="I595" s="49"/>
    </row>
    <row r="596" ht="15.75" customHeight="1" spans="1:9">
      <c r="A596" s="47" t="s">
        <v>1088</v>
      </c>
      <c r="B596" s="57" t="s">
        <v>1004</v>
      </c>
      <c r="C596" s="60">
        <v>1</v>
      </c>
      <c r="D596" s="60">
        <v>1</v>
      </c>
      <c r="E596" s="38" t="s">
        <v>1090</v>
      </c>
      <c r="F596" s="49"/>
      <c r="G596" s="49"/>
      <c r="H596" s="49"/>
      <c r="I596" s="49"/>
    </row>
    <row r="597" ht="15.75" customHeight="1" spans="1:9">
      <c r="A597" s="47" t="s">
        <v>1088</v>
      </c>
      <c r="B597" s="57" t="s">
        <v>1004</v>
      </c>
      <c r="C597" s="60">
        <v>1</v>
      </c>
      <c r="D597" s="60" t="s">
        <v>1147</v>
      </c>
      <c r="E597" s="38" t="s">
        <v>1090</v>
      </c>
      <c r="F597" s="49"/>
      <c r="G597" s="49"/>
      <c r="H597" s="49"/>
      <c r="I597" s="49"/>
    </row>
    <row r="598" ht="15.75" customHeight="1" spans="1:9">
      <c r="A598" s="47" t="s">
        <v>1088</v>
      </c>
      <c r="B598" s="57" t="s">
        <v>1004</v>
      </c>
      <c r="C598" s="60">
        <v>1</v>
      </c>
      <c r="D598" s="60" t="s">
        <v>1148</v>
      </c>
      <c r="E598" s="38" t="s">
        <v>1090</v>
      </c>
      <c r="F598" s="49"/>
      <c r="G598" s="49"/>
      <c r="H598" s="49"/>
      <c r="I598" s="49"/>
    </row>
    <row r="599" ht="15.75" customHeight="1" spans="1:9">
      <c r="A599" s="47" t="s">
        <v>1088</v>
      </c>
      <c r="B599" s="57" t="s">
        <v>1004</v>
      </c>
      <c r="C599" s="60">
        <v>1</v>
      </c>
      <c r="D599" s="60" t="s">
        <v>1149</v>
      </c>
      <c r="E599" s="38" t="s">
        <v>1090</v>
      </c>
      <c r="F599" s="49"/>
      <c r="G599" s="49"/>
      <c r="H599" s="49"/>
      <c r="I599" s="49"/>
    </row>
    <row r="600" ht="15.75" customHeight="1" spans="1:9">
      <c r="A600" s="47" t="s">
        <v>1088</v>
      </c>
      <c r="B600" s="57" t="s">
        <v>1004</v>
      </c>
      <c r="C600" s="60">
        <v>1</v>
      </c>
      <c r="D600" s="60" t="s">
        <v>1150</v>
      </c>
      <c r="E600" s="38" t="s">
        <v>1090</v>
      </c>
      <c r="F600" s="49"/>
      <c r="G600" s="49"/>
      <c r="H600" s="49"/>
      <c r="I600" s="49"/>
    </row>
    <row r="601" ht="15.75" customHeight="1" spans="1:9">
      <c r="A601" s="47" t="s">
        <v>1088</v>
      </c>
      <c r="B601" s="57" t="s">
        <v>1004</v>
      </c>
      <c r="C601" s="60">
        <v>1</v>
      </c>
      <c r="D601" s="60" t="s">
        <v>1151</v>
      </c>
      <c r="E601" s="38" t="s">
        <v>1090</v>
      </c>
      <c r="F601" s="49"/>
      <c r="G601" s="49"/>
      <c r="H601" s="49"/>
      <c r="I601" s="49"/>
    </row>
    <row r="602" ht="15.75" customHeight="1" spans="1:9">
      <c r="A602" s="47" t="s">
        <v>1088</v>
      </c>
      <c r="B602" s="57" t="s">
        <v>1004</v>
      </c>
      <c r="C602" s="60">
        <v>1</v>
      </c>
      <c r="D602" s="60" t="s">
        <v>1152</v>
      </c>
      <c r="E602" s="38" t="s">
        <v>1090</v>
      </c>
      <c r="F602" s="49"/>
      <c r="G602" s="49"/>
      <c r="H602" s="49"/>
      <c r="I602" s="49"/>
    </row>
    <row r="603" ht="15.75" customHeight="1" spans="1:9">
      <c r="A603" s="47" t="s">
        <v>1088</v>
      </c>
      <c r="B603" s="57" t="s">
        <v>1004</v>
      </c>
      <c r="C603" s="60">
        <v>1</v>
      </c>
      <c r="D603" s="60" t="s">
        <v>1152</v>
      </c>
      <c r="E603" s="38" t="s">
        <v>1090</v>
      </c>
      <c r="F603" s="49"/>
      <c r="G603" s="49"/>
      <c r="H603" s="49"/>
      <c r="I603" s="49"/>
    </row>
    <row r="604" ht="15.75" customHeight="1" spans="1:9">
      <c r="A604" s="47" t="s">
        <v>1088</v>
      </c>
      <c r="B604" s="57" t="s">
        <v>1004</v>
      </c>
      <c r="C604" s="60">
        <v>1</v>
      </c>
      <c r="D604" s="60" t="s">
        <v>1153</v>
      </c>
      <c r="E604" s="38" t="s">
        <v>1090</v>
      </c>
      <c r="F604" s="49"/>
      <c r="G604" s="49"/>
      <c r="H604" s="49"/>
      <c r="I604" s="49"/>
    </row>
    <row r="605" ht="15.75" customHeight="1" spans="1:9">
      <c r="A605" s="47" t="s">
        <v>1088</v>
      </c>
      <c r="B605" s="57" t="s">
        <v>1004</v>
      </c>
      <c r="C605" s="60">
        <v>20</v>
      </c>
      <c r="D605" s="60">
        <v>20</v>
      </c>
      <c r="E605" s="38" t="s">
        <v>1090</v>
      </c>
      <c r="F605" s="49"/>
      <c r="G605" s="49"/>
      <c r="H605" s="49"/>
      <c r="I605" s="49"/>
    </row>
    <row r="606" ht="15.75" customHeight="1" spans="1:9">
      <c r="A606" s="47" t="s">
        <v>1088</v>
      </c>
      <c r="B606" s="57" t="s">
        <v>1004</v>
      </c>
      <c r="C606" s="60">
        <v>20</v>
      </c>
      <c r="D606" s="60" t="s">
        <v>1154</v>
      </c>
      <c r="E606" s="38" t="s">
        <v>1090</v>
      </c>
      <c r="F606" s="49"/>
      <c r="G606" s="49"/>
      <c r="H606" s="49"/>
      <c r="I606" s="49"/>
    </row>
    <row r="607" ht="15.75" customHeight="1" spans="1:9">
      <c r="A607" s="47" t="s">
        <v>1088</v>
      </c>
      <c r="B607" s="57" t="s">
        <v>1004</v>
      </c>
      <c r="C607" s="60">
        <v>20</v>
      </c>
      <c r="D607" s="60" t="s">
        <v>1154</v>
      </c>
      <c r="E607" s="38" t="s">
        <v>1090</v>
      </c>
      <c r="F607" s="49"/>
      <c r="G607" s="49"/>
      <c r="H607" s="49"/>
      <c r="I607" s="49"/>
    </row>
    <row r="608" ht="15.75" customHeight="1" spans="1:9">
      <c r="A608" s="47" t="s">
        <v>1088</v>
      </c>
      <c r="B608" s="57" t="s">
        <v>1004</v>
      </c>
      <c r="C608" s="60">
        <v>20</v>
      </c>
      <c r="D608" s="60" t="s">
        <v>1155</v>
      </c>
      <c r="E608" s="38" t="s">
        <v>1090</v>
      </c>
      <c r="F608" s="49"/>
      <c r="G608" s="49"/>
      <c r="H608" s="49"/>
      <c r="I608" s="49"/>
    </row>
    <row r="609" ht="15.75" customHeight="1" spans="1:9">
      <c r="A609" s="47" t="s">
        <v>1088</v>
      </c>
      <c r="B609" s="57" t="s">
        <v>1004</v>
      </c>
      <c r="C609" s="60">
        <v>20</v>
      </c>
      <c r="D609" s="60" t="s">
        <v>1156</v>
      </c>
      <c r="E609" s="38" t="s">
        <v>1090</v>
      </c>
      <c r="F609" s="49"/>
      <c r="G609" s="49"/>
      <c r="H609" s="49"/>
      <c r="I609" s="49"/>
    </row>
    <row r="610" ht="15.75" customHeight="1" spans="1:9">
      <c r="A610" s="47" t="s">
        <v>1088</v>
      </c>
      <c r="B610" s="57" t="s">
        <v>1004</v>
      </c>
      <c r="C610" s="60">
        <v>20</v>
      </c>
      <c r="D610" s="60" t="s">
        <v>1157</v>
      </c>
      <c r="E610" s="38" t="s">
        <v>1090</v>
      </c>
      <c r="F610" s="49"/>
      <c r="G610" s="49"/>
      <c r="H610" s="49"/>
      <c r="I610" s="49"/>
    </row>
    <row r="611" ht="15.75" customHeight="1" spans="1:9">
      <c r="A611" s="47" t="s">
        <v>1088</v>
      </c>
      <c r="B611" s="57" t="s">
        <v>1004</v>
      </c>
      <c r="C611" s="60">
        <v>20</v>
      </c>
      <c r="D611" s="60" t="s">
        <v>1158</v>
      </c>
      <c r="E611" s="38" t="s">
        <v>1090</v>
      </c>
      <c r="F611" s="49"/>
      <c r="G611" s="49"/>
      <c r="H611" s="49"/>
      <c r="I611" s="49"/>
    </row>
    <row r="612" ht="15.75" customHeight="1" spans="1:9">
      <c r="A612" s="47" t="s">
        <v>1088</v>
      </c>
      <c r="B612" s="57" t="s">
        <v>1004</v>
      </c>
      <c r="C612" s="60">
        <v>20</v>
      </c>
      <c r="D612" s="60" t="s">
        <v>1159</v>
      </c>
      <c r="E612" s="38" t="s">
        <v>1090</v>
      </c>
      <c r="F612" s="49"/>
      <c r="G612" s="49"/>
      <c r="H612" s="49"/>
      <c r="I612" s="49"/>
    </row>
    <row r="613" ht="15.75" customHeight="1" spans="1:9">
      <c r="A613" s="47" t="s">
        <v>1088</v>
      </c>
      <c r="B613" s="57" t="s">
        <v>1004</v>
      </c>
      <c r="C613" s="60">
        <v>20</v>
      </c>
      <c r="D613" s="60" t="s">
        <v>1159</v>
      </c>
      <c r="E613" s="38" t="s">
        <v>1090</v>
      </c>
      <c r="F613" s="49"/>
      <c r="G613" s="49"/>
      <c r="H613" s="49"/>
      <c r="I613" s="49"/>
    </row>
    <row r="614" ht="15.75" customHeight="1" spans="1:9">
      <c r="A614" s="47" t="s">
        <v>1088</v>
      </c>
      <c r="B614" s="57" t="s">
        <v>1004</v>
      </c>
      <c r="C614" s="60">
        <v>20</v>
      </c>
      <c r="D614" s="60" t="s">
        <v>1159</v>
      </c>
      <c r="E614" s="38" t="s">
        <v>1090</v>
      </c>
      <c r="F614" s="49"/>
      <c r="G614" s="49"/>
      <c r="H614" s="49"/>
      <c r="I614" s="49"/>
    </row>
    <row r="615" ht="15.75" customHeight="1" spans="1:9">
      <c r="A615" s="47" t="s">
        <v>1088</v>
      </c>
      <c r="B615" s="57" t="s">
        <v>1004</v>
      </c>
      <c r="C615" s="60">
        <v>29</v>
      </c>
      <c r="D615" s="60">
        <v>29</v>
      </c>
      <c r="E615" s="38" t="s">
        <v>1090</v>
      </c>
      <c r="F615" s="49"/>
      <c r="G615" s="49"/>
      <c r="H615" s="49"/>
      <c r="I615" s="49"/>
    </row>
    <row r="616" ht="15.75" customHeight="1" spans="1:9">
      <c r="A616" s="47" t="s">
        <v>1088</v>
      </c>
      <c r="B616" s="57" t="s">
        <v>1004</v>
      </c>
      <c r="C616" s="60">
        <v>29</v>
      </c>
      <c r="D616" s="60" t="s">
        <v>1160</v>
      </c>
      <c r="E616" s="38" t="s">
        <v>1090</v>
      </c>
      <c r="F616" s="49"/>
      <c r="G616" s="49"/>
      <c r="H616" s="49"/>
      <c r="I616" s="49"/>
    </row>
    <row r="617" ht="15.75" customHeight="1" spans="1:9">
      <c r="A617" s="47" t="s">
        <v>1088</v>
      </c>
      <c r="B617" s="57" t="s">
        <v>1004</v>
      </c>
      <c r="C617" s="60">
        <v>29</v>
      </c>
      <c r="D617" s="60" t="s">
        <v>1160</v>
      </c>
      <c r="E617" s="38" t="s">
        <v>1090</v>
      </c>
      <c r="F617" s="49"/>
      <c r="G617" s="49"/>
      <c r="H617" s="49"/>
      <c r="I617" s="49"/>
    </row>
    <row r="618" ht="15.75" customHeight="1" spans="1:9">
      <c r="A618" s="47" t="s">
        <v>1088</v>
      </c>
      <c r="B618" s="57" t="s">
        <v>1004</v>
      </c>
      <c r="C618" s="60">
        <v>29</v>
      </c>
      <c r="D618" s="60" t="s">
        <v>1161</v>
      </c>
      <c r="E618" s="38" t="s">
        <v>1090</v>
      </c>
      <c r="F618" s="49"/>
      <c r="G618" s="49"/>
      <c r="H618" s="49"/>
      <c r="I618" s="49"/>
    </row>
    <row r="619" ht="15.75" customHeight="1" spans="1:9">
      <c r="A619" s="47" t="s">
        <v>1088</v>
      </c>
      <c r="B619" s="57" t="s">
        <v>1004</v>
      </c>
      <c r="C619" s="60">
        <v>29</v>
      </c>
      <c r="D619" s="60" t="s">
        <v>1162</v>
      </c>
      <c r="E619" s="38" t="s">
        <v>1090</v>
      </c>
      <c r="F619" s="49"/>
      <c r="G619" s="49"/>
      <c r="H619" s="49"/>
      <c r="I619" s="49"/>
    </row>
    <row r="620" ht="15.75" customHeight="1" spans="1:9">
      <c r="A620" s="47" t="s">
        <v>1088</v>
      </c>
      <c r="B620" s="57" t="s">
        <v>1004</v>
      </c>
      <c r="C620" s="60">
        <v>29</v>
      </c>
      <c r="D620" s="60" t="s">
        <v>1163</v>
      </c>
      <c r="E620" s="38" t="s">
        <v>1090</v>
      </c>
      <c r="F620" s="49"/>
      <c r="G620" s="49"/>
      <c r="H620" s="49"/>
      <c r="I620" s="49"/>
    </row>
    <row r="621" ht="15.75" customHeight="1" spans="1:9">
      <c r="A621" s="47" t="s">
        <v>1088</v>
      </c>
      <c r="B621" s="57" t="s">
        <v>1004</v>
      </c>
      <c r="C621" s="60">
        <v>29</v>
      </c>
      <c r="D621" s="60" t="s">
        <v>1164</v>
      </c>
      <c r="E621" s="38" t="s">
        <v>1090</v>
      </c>
      <c r="F621" s="49"/>
      <c r="G621" s="49"/>
      <c r="H621" s="49"/>
      <c r="I621" s="49"/>
    </row>
    <row r="622" ht="15.75" customHeight="1" spans="1:9">
      <c r="A622" s="47" t="s">
        <v>1088</v>
      </c>
      <c r="B622" s="57" t="s">
        <v>1004</v>
      </c>
      <c r="C622" s="60">
        <v>29</v>
      </c>
      <c r="D622" s="60" t="s">
        <v>1165</v>
      </c>
      <c r="E622" s="38" t="s">
        <v>1090</v>
      </c>
      <c r="F622" s="49"/>
      <c r="G622" s="49"/>
      <c r="H622" s="49"/>
      <c r="I622" s="49"/>
    </row>
    <row r="623" ht="15.75" customHeight="1" spans="1:9">
      <c r="A623" s="47" t="s">
        <v>1088</v>
      </c>
      <c r="B623" s="57" t="s">
        <v>1004</v>
      </c>
      <c r="C623" s="60">
        <v>29</v>
      </c>
      <c r="D623" s="60" t="s">
        <v>1166</v>
      </c>
      <c r="E623" s="38" t="s">
        <v>1090</v>
      </c>
      <c r="F623" s="49"/>
      <c r="G623" s="49"/>
      <c r="H623" s="49"/>
      <c r="I623" s="49"/>
    </row>
    <row r="624" ht="15.75" customHeight="1" spans="1:9">
      <c r="A624" s="47" t="s">
        <v>1088</v>
      </c>
      <c r="B624" s="57" t="s">
        <v>1004</v>
      </c>
      <c r="C624" s="60">
        <v>29</v>
      </c>
      <c r="D624" s="60" t="s">
        <v>1167</v>
      </c>
      <c r="E624" s="38" t="s">
        <v>1090</v>
      </c>
      <c r="F624" s="49"/>
      <c r="G624" s="49"/>
      <c r="H624" s="49"/>
      <c r="I624" s="49"/>
    </row>
    <row r="625" ht="15.75" customHeight="1" spans="1:9">
      <c r="A625" s="47" t="s">
        <v>1088</v>
      </c>
      <c r="B625" s="57" t="s">
        <v>1004</v>
      </c>
      <c r="C625" s="60">
        <v>29</v>
      </c>
      <c r="D625" s="60" t="s">
        <v>1167</v>
      </c>
      <c r="E625" s="38" t="s">
        <v>1090</v>
      </c>
      <c r="F625" s="49"/>
      <c r="G625" s="49"/>
      <c r="H625" s="49"/>
      <c r="I625" s="49"/>
    </row>
    <row r="626" ht="15.75" customHeight="1" spans="1:9">
      <c r="A626" s="47" t="s">
        <v>1088</v>
      </c>
      <c r="B626" s="57" t="s">
        <v>1004</v>
      </c>
      <c r="C626" s="60">
        <v>29</v>
      </c>
      <c r="D626" s="60" t="s">
        <v>1167</v>
      </c>
      <c r="E626" s="38" t="s">
        <v>1090</v>
      </c>
      <c r="F626" s="49"/>
      <c r="G626" s="49"/>
      <c r="H626" s="49"/>
      <c r="I626" s="49"/>
    </row>
    <row r="627" ht="15.75" customHeight="1" spans="1:9">
      <c r="A627" s="47" t="s">
        <v>1088</v>
      </c>
      <c r="B627" s="57" t="s">
        <v>1004</v>
      </c>
      <c r="C627" s="60">
        <v>29</v>
      </c>
      <c r="D627" s="60" t="s">
        <v>1168</v>
      </c>
      <c r="E627" s="38" t="s">
        <v>1090</v>
      </c>
      <c r="F627" s="49"/>
      <c r="G627" s="49"/>
      <c r="H627" s="49"/>
      <c r="I627" s="49"/>
    </row>
    <row r="628" ht="15.75" customHeight="1" spans="1:9">
      <c r="A628" s="47" t="s">
        <v>1088</v>
      </c>
      <c r="B628" s="57" t="s">
        <v>1004</v>
      </c>
      <c r="C628" s="60">
        <v>32</v>
      </c>
      <c r="D628" s="60">
        <v>32</v>
      </c>
      <c r="E628" s="38" t="s">
        <v>1090</v>
      </c>
      <c r="F628" s="49"/>
      <c r="G628" s="49"/>
      <c r="H628" s="49"/>
      <c r="I628" s="49"/>
    </row>
    <row r="629" ht="15.75" customHeight="1" spans="1:9">
      <c r="A629" s="47" t="s">
        <v>1088</v>
      </c>
      <c r="B629" s="57" t="s">
        <v>1004</v>
      </c>
      <c r="C629" s="60">
        <v>32</v>
      </c>
      <c r="D629" s="60" t="s">
        <v>1169</v>
      </c>
      <c r="E629" s="38" t="s">
        <v>1090</v>
      </c>
      <c r="F629" s="49"/>
      <c r="G629" s="49"/>
      <c r="H629" s="49"/>
      <c r="I629" s="49"/>
    </row>
    <row r="630" ht="15.75" customHeight="1" spans="1:9">
      <c r="A630" s="47" t="s">
        <v>1088</v>
      </c>
      <c r="B630" s="57" t="s">
        <v>1004</v>
      </c>
      <c r="C630" s="60">
        <v>32</v>
      </c>
      <c r="D630" s="60" t="s">
        <v>1169</v>
      </c>
      <c r="E630" s="38" t="s">
        <v>1090</v>
      </c>
      <c r="F630" s="49"/>
      <c r="G630" s="49"/>
      <c r="H630" s="49"/>
      <c r="I630" s="49"/>
    </row>
    <row r="631" ht="15.75" customHeight="1" spans="1:9">
      <c r="A631" s="47" t="s">
        <v>1088</v>
      </c>
      <c r="B631" s="57" t="s">
        <v>1004</v>
      </c>
      <c r="C631" s="60">
        <v>32</v>
      </c>
      <c r="D631" s="60" t="s">
        <v>1170</v>
      </c>
      <c r="E631" s="38" t="s">
        <v>1090</v>
      </c>
      <c r="F631" s="49"/>
      <c r="G631" s="49"/>
      <c r="H631" s="49"/>
      <c r="I631" s="49"/>
    </row>
    <row r="632" ht="15.75" customHeight="1" spans="1:9">
      <c r="A632" s="47" t="s">
        <v>1088</v>
      </c>
      <c r="B632" s="57" t="s">
        <v>1004</v>
      </c>
      <c r="C632" s="60">
        <v>32</v>
      </c>
      <c r="D632" s="60" t="s">
        <v>1171</v>
      </c>
      <c r="E632" s="38" t="s">
        <v>1090</v>
      </c>
      <c r="F632" s="49"/>
      <c r="G632" s="49"/>
      <c r="H632" s="49"/>
      <c r="I632" s="49"/>
    </row>
    <row r="633" ht="15.75" customHeight="1" spans="1:9">
      <c r="A633" s="47" t="s">
        <v>1088</v>
      </c>
      <c r="B633" s="57" t="s">
        <v>1004</v>
      </c>
      <c r="C633" s="60">
        <v>32</v>
      </c>
      <c r="D633" s="60" t="s">
        <v>1172</v>
      </c>
      <c r="E633" s="38" t="s">
        <v>1090</v>
      </c>
      <c r="F633" s="49"/>
      <c r="G633" s="49"/>
      <c r="H633" s="49"/>
      <c r="I633" s="49"/>
    </row>
    <row r="634" ht="15.75" customHeight="1" spans="1:9">
      <c r="A634" s="47" t="s">
        <v>1088</v>
      </c>
      <c r="B634" s="57" t="s">
        <v>1004</v>
      </c>
      <c r="C634" s="60">
        <v>32</v>
      </c>
      <c r="D634" s="60" t="s">
        <v>1173</v>
      </c>
      <c r="E634" s="38" t="s">
        <v>1090</v>
      </c>
      <c r="F634" s="49"/>
      <c r="G634" s="49"/>
      <c r="H634" s="49"/>
      <c r="I634" s="49"/>
    </row>
    <row r="635" ht="15.75" customHeight="1" spans="1:9">
      <c r="A635" s="47" t="s">
        <v>1088</v>
      </c>
      <c r="B635" s="57" t="s">
        <v>1004</v>
      </c>
      <c r="C635" s="60">
        <v>32</v>
      </c>
      <c r="D635" s="60" t="s">
        <v>1174</v>
      </c>
      <c r="E635" s="38" t="s">
        <v>1090</v>
      </c>
      <c r="F635" s="49"/>
      <c r="G635" s="49"/>
      <c r="H635" s="49"/>
      <c r="I635" s="49"/>
    </row>
    <row r="636" ht="15.75" customHeight="1" spans="1:9">
      <c r="A636" s="47" t="s">
        <v>1088</v>
      </c>
      <c r="B636" s="57" t="s">
        <v>1004</v>
      </c>
      <c r="C636" s="60">
        <v>32</v>
      </c>
      <c r="D636" s="60" t="s">
        <v>1175</v>
      </c>
      <c r="E636" s="38" t="s">
        <v>1090</v>
      </c>
      <c r="F636" s="49"/>
      <c r="G636" s="49"/>
      <c r="H636" s="49"/>
      <c r="I636" s="49"/>
    </row>
    <row r="637" ht="15.75" customHeight="1" spans="1:9">
      <c r="A637" s="47" t="s">
        <v>1088</v>
      </c>
      <c r="B637" s="57" t="s">
        <v>1004</v>
      </c>
      <c r="C637" s="60">
        <v>32</v>
      </c>
      <c r="D637" s="60" t="s">
        <v>1176</v>
      </c>
      <c r="E637" s="38" t="s">
        <v>1090</v>
      </c>
      <c r="F637" s="49"/>
      <c r="G637" s="49"/>
      <c r="H637" s="49"/>
      <c r="I637" s="49"/>
    </row>
    <row r="638" ht="15.75" customHeight="1" spans="1:9">
      <c r="A638" s="47" t="s">
        <v>1088</v>
      </c>
      <c r="B638" s="57" t="s">
        <v>1004</v>
      </c>
      <c r="C638" s="60">
        <v>32</v>
      </c>
      <c r="D638" s="60" t="s">
        <v>1177</v>
      </c>
      <c r="E638" s="38" t="s">
        <v>1090</v>
      </c>
      <c r="F638" s="49"/>
      <c r="G638" s="49"/>
      <c r="H638" s="49"/>
      <c r="I638" s="49"/>
    </row>
    <row r="639" ht="15.75" customHeight="1" spans="1:9">
      <c r="A639" s="47" t="s">
        <v>1088</v>
      </c>
      <c r="B639" s="57" t="s">
        <v>1004</v>
      </c>
      <c r="C639" s="60">
        <v>32</v>
      </c>
      <c r="D639" s="60" t="s">
        <v>1177</v>
      </c>
      <c r="E639" s="38" t="s">
        <v>1090</v>
      </c>
      <c r="F639" s="49"/>
      <c r="G639" s="49"/>
      <c r="H639" s="49"/>
      <c r="I639" s="49"/>
    </row>
    <row r="640" ht="15.75" customHeight="1" spans="1:9">
      <c r="A640" s="47" t="s">
        <v>1088</v>
      </c>
      <c r="B640" s="57" t="s">
        <v>1004</v>
      </c>
      <c r="C640" s="60">
        <v>32</v>
      </c>
      <c r="D640" s="60" t="s">
        <v>1177</v>
      </c>
      <c r="E640" s="38" t="s">
        <v>1090</v>
      </c>
      <c r="F640" s="49"/>
      <c r="G640" s="49"/>
      <c r="H640" s="49"/>
      <c r="I640" s="49"/>
    </row>
    <row r="641" ht="15.75" customHeight="1" spans="1:9">
      <c r="A641" s="47" t="s">
        <v>1088</v>
      </c>
      <c r="B641" s="57" t="s">
        <v>1004</v>
      </c>
      <c r="C641" s="60">
        <v>32</v>
      </c>
      <c r="D641" s="60" t="s">
        <v>1178</v>
      </c>
      <c r="E641" s="38" t="s">
        <v>1090</v>
      </c>
      <c r="F641" s="49"/>
      <c r="G641" s="49"/>
      <c r="H641" s="49"/>
      <c r="I641" s="49"/>
    </row>
    <row r="642" ht="15.75" customHeight="1" spans="1:9">
      <c r="A642" s="47" t="s">
        <v>1088</v>
      </c>
      <c r="B642" s="57" t="s">
        <v>1004</v>
      </c>
      <c r="C642" s="60">
        <v>38</v>
      </c>
      <c r="D642" s="60" t="s">
        <v>1179</v>
      </c>
      <c r="E642" s="38" t="s">
        <v>1090</v>
      </c>
      <c r="F642" s="49"/>
      <c r="G642" s="49"/>
      <c r="H642" s="49"/>
      <c r="I642" s="49"/>
    </row>
    <row r="643" ht="15.75" customHeight="1" spans="1:9">
      <c r="A643" s="47" t="s">
        <v>1088</v>
      </c>
      <c r="B643" s="57" t="s">
        <v>1004</v>
      </c>
      <c r="C643" s="60">
        <v>38</v>
      </c>
      <c r="D643" s="60">
        <v>38</v>
      </c>
      <c r="E643" s="38" t="s">
        <v>1090</v>
      </c>
      <c r="F643" s="49"/>
      <c r="G643" s="49"/>
      <c r="H643" s="49"/>
      <c r="I643" s="49"/>
    </row>
    <row r="644" ht="15.75" customHeight="1" spans="1:9">
      <c r="A644" s="47" t="s">
        <v>1088</v>
      </c>
      <c r="B644" s="57" t="s">
        <v>1004</v>
      </c>
      <c r="C644" s="60">
        <v>38</v>
      </c>
      <c r="D644" s="60" t="s">
        <v>1180</v>
      </c>
      <c r="E644" s="38" t="s">
        <v>1090</v>
      </c>
      <c r="F644" s="49"/>
      <c r="G644" s="49"/>
      <c r="H644" s="49"/>
      <c r="I644" s="49"/>
    </row>
    <row r="645" ht="15.75" customHeight="1" spans="1:9">
      <c r="A645" s="47" t="s">
        <v>1088</v>
      </c>
      <c r="B645" s="57" t="s">
        <v>1004</v>
      </c>
      <c r="C645" s="60">
        <v>38</v>
      </c>
      <c r="D645" s="60" t="s">
        <v>1181</v>
      </c>
      <c r="E645" s="38" t="s">
        <v>1090</v>
      </c>
      <c r="F645" s="49"/>
      <c r="G645" s="49"/>
      <c r="H645" s="49"/>
      <c r="I645" s="49"/>
    </row>
    <row r="646" ht="15.75" customHeight="1" spans="1:9">
      <c r="A646" s="47" t="s">
        <v>1088</v>
      </c>
      <c r="B646" s="57" t="s">
        <v>1004</v>
      </c>
      <c r="C646" s="60">
        <v>97</v>
      </c>
      <c r="D646" s="60">
        <v>97</v>
      </c>
      <c r="E646" s="38" t="s">
        <v>1090</v>
      </c>
      <c r="F646" s="49"/>
      <c r="G646" s="49"/>
      <c r="H646" s="49"/>
      <c r="I646" s="49"/>
    </row>
    <row r="647" ht="15.75" customHeight="1" spans="1:9">
      <c r="A647" s="47" t="s">
        <v>1088</v>
      </c>
      <c r="B647" s="57" t="s">
        <v>1004</v>
      </c>
      <c r="C647" s="60">
        <v>97</v>
      </c>
      <c r="D647" s="60" t="s">
        <v>1182</v>
      </c>
      <c r="E647" s="38" t="s">
        <v>1090</v>
      </c>
      <c r="F647" s="49"/>
      <c r="G647" s="49"/>
      <c r="H647" s="49"/>
      <c r="I647" s="49"/>
    </row>
    <row r="648" ht="15.75" customHeight="1" spans="1:9">
      <c r="A648" s="47" t="s">
        <v>1088</v>
      </c>
      <c r="B648" s="57" t="s">
        <v>1004</v>
      </c>
      <c r="C648" s="60">
        <v>97</v>
      </c>
      <c r="D648" s="60" t="s">
        <v>1183</v>
      </c>
      <c r="E648" s="38" t="s">
        <v>1090</v>
      </c>
      <c r="F648" s="49"/>
      <c r="G648" s="49"/>
      <c r="H648" s="49"/>
      <c r="I648" s="49"/>
    </row>
    <row r="649" ht="15.75" customHeight="1" spans="1:9">
      <c r="A649" s="47" t="s">
        <v>1088</v>
      </c>
      <c r="B649" s="57" t="s">
        <v>1004</v>
      </c>
      <c r="C649" s="60">
        <v>97</v>
      </c>
      <c r="D649" s="60" t="s">
        <v>1184</v>
      </c>
      <c r="E649" s="38" t="s">
        <v>1090</v>
      </c>
      <c r="F649" s="49"/>
      <c r="G649" s="49"/>
      <c r="H649" s="49"/>
      <c r="I649" s="49"/>
    </row>
    <row r="650" ht="15.75" customHeight="1" spans="1:9">
      <c r="A650" s="47" t="s">
        <v>1088</v>
      </c>
      <c r="B650" s="57" t="s">
        <v>1004</v>
      </c>
      <c r="C650" s="60">
        <v>97</v>
      </c>
      <c r="D650" s="60" t="s">
        <v>1185</v>
      </c>
      <c r="E650" s="38" t="s">
        <v>1090</v>
      </c>
      <c r="F650" s="49"/>
      <c r="G650" s="49"/>
      <c r="H650" s="49"/>
      <c r="I650" s="49"/>
    </row>
    <row r="651" ht="15.75" customHeight="1" spans="1:9">
      <c r="A651" s="47" t="s">
        <v>1088</v>
      </c>
      <c r="B651" s="57" t="s">
        <v>1004</v>
      </c>
      <c r="C651" s="60">
        <v>97</v>
      </c>
      <c r="D651" s="60" t="s">
        <v>1186</v>
      </c>
      <c r="E651" s="38" t="s">
        <v>1090</v>
      </c>
      <c r="F651" s="49"/>
      <c r="G651" s="49"/>
      <c r="H651" s="49"/>
      <c r="I651" s="49"/>
    </row>
    <row r="652" ht="15.75" customHeight="1" spans="1:9">
      <c r="A652" s="47" t="s">
        <v>1088</v>
      </c>
      <c r="B652" s="57" t="s">
        <v>1004</v>
      </c>
      <c r="C652" s="60">
        <v>97</v>
      </c>
      <c r="D652" s="60" t="s">
        <v>1187</v>
      </c>
      <c r="E652" s="38" t="s">
        <v>1090</v>
      </c>
      <c r="F652" s="49"/>
      <c r="G652" s="49"/>
      <c r="H652" s="49"/>
      <c r="I652" s="49"/>
    </row>
    <row r="653" ht="15.75" customHeight="1" spans="1:9">
      <c r="A653" s="47" t="s">
        <v>1088</v>
      </c>
      <c r="B653" s="57" t="s">
        <v>1004</v>
      </c>
      <c r="C653" s="60">
        <v>97</v>
      </c>
      <c r="D653" s="60" t="s">
        <v>1002</v>
      </c>
      <c r="E653" s="38" t="s">
        <v>1090</v>
      </c>
      <c r="F653" s="49"/>
      <c r="G653" s="49"/>
      <c r="H653" s="49"/>
      <c r="I653" s="49"/>
    </row>
    <row r="654" ht="15.75" customHeight="1" spans="1:9">
      <c r="A654" s="47" t="s">
        <v>1088</v>
      </c>
      <c r="B654" s="57" t="s">
        <v>1004</v>
      </c>
      <c r="C654" s="60">
        <v>97</v>
      </c>
      <c r="D654" s="60" t="s">
        <v>1001</v>
      </c>
      <c r="E654" s="38" t="s">
        <v>1090</v>
      </c>
      <c r="F654" s="49"/>
      <c r="G654" s="49"/>
      <c r="H654" s="49"/>
      <c r="I654" s="49"/>
    </row>
    <row r="655" ht="15.75" customHeight="1" spans="1:9">
      <c r="A655" s="47" t="s">
        <v>1088</v>
      </c>
      <c r="B655" s="57" t="s">
        <v>1004</v>
      </c>
      <c r="C655" s="60">
        <v>31</v>
      </c>
      <c r="D655" s="60">
        <v>31</v>
      </c>
      <c r="E655" s="38" t="s">
        <v>1090</v>
      </c>
      <c r="F655" s="49"/>
      <c r="G655" s="49"/>
      <c r="H655" s="49"/>
      <c r="I655" s="49"/>
    </row>
    <row r="656" ht="15.75" customHeight="1" spans="1:9">
      <c r="A656" s="47" t="s">
        <v>1088</v>
      </c>
      <c r="B656" s="57" t="s">
        <v>1004</v>
      </c>
      <c r="C656" s="60">
        <v>31</v>
      </c>
      <c r="D656" s="60" t="s">
        <v>1188</v>
      </c>
      <c r="E656" s="38" t="s">
        <v>1090</v>
      </c>
      <c r="F656" s="49"/>
      <c r="G656" s="49"/>
      <c r="H656" s="49"/>
      <c r="I656" s="49"/>
    </row>
    <row r="657" ht="15.75" customHeight="1" spans="1:9">
      <c r="A657" s="47" t="s">
        <v>1088</v>
      </c>
      <c r="B657" s="57" t="s">
        <v>1004</v>
      </c>
      <c r="C657" s="60">
        <v>31</v>
      </c>
      <c r="D657" s="60" t="s">
        <v>1188</v>
      </c>
      <c r="E657" s="38" t="s">
        <v>1090</v>
      </c>
      <c r="F657" s="49"/>
      <c r="G657" s="49"/>
      <c r="H657" s="49"/>
      <c r="I657" s="49"/>
    </row>
    <row r="658" ht="15.75" customHeight="1" spans="1:9">
      <c r="A658" s="47" t="s">
        <v>1088</v>
      </c>
      <c r="B658" s="57" t="s">
        <v>1004</v>
      </c>
      <c r="C658" s="60">
        <v>31</v>
      </c>
      <c r="D658" s="60" t="s">
        <v>1189</v>
      </c>
      <c r="E658" s="38" t="s">
        <v>1090</v>
      </c>
      <c r="F658" s="49"/>
      <c r="G658" s="49"/>
      <c r="H658" s="49"/>
      <c r="I658" s="49"/>
    </row>
    <row r="659" ht="15.75" customHeight="1" spans="1:9">
      <c r="A659" s="47" t="s">
        <v>1088</v>
      </c>
      <c r="B659" s="57" t="s">
        <v>1004</v>
      </c>
      <c r="C659" s="60">
        <v>31</v>
      </c>
      <c r="D659" s="60" t="s">
        <v>1190</v>
      </c>
      <c r="E659" s="38" t="s">
        <v>1090</v>
      </c>
      <c r="F659" s="49"/>
      <c r="G659" s="49"/>
      <c r="H659" s="49"/>
      <c r="I659" s="49"/>
    </row>
    <row r="660" ht="15.75" customHeight="1" spans="1:9">
      <c r="A660" s="47" t="s">
        <v>1088</v>
      </c>
      <c r="B660" s="57" t="s">
        <v>1004</v>
      </c>
      <c r="C660" s="60">
        <v>31</v>
      </c>
      <c r="D660" s="60" t="s">
        <v>1191</v>
      </c>
      <c r="E660" s="38" t="s">
        <v>1090</v>
      </c>
      <c r="F660" s="49"/>
      <c r="G660" s="49"/>
      <c r="H660" s="49"/>
      <c r="I660" s="49"/>
    </row>
    <row r="661" ht="15.75" customHeight="1" spans="1:9">
      <c r="A661" s="47" t="s">
        <v>1088</v>
      </c>
      <c r="B661" s="57" t="s">
        <v>1004</v>
      </c>
      <c r="C661" s="60">
        <v>31</v>
      </c>
      <c r="D661" s="60" t="s">
        <v>1192</v>
      </c>
      <c r="E661" s="38" t="s">
        <v>1090</v>
      </c>
      <c r="F661" s="49"/>
      <c r="G661" s="49"/>
      <c r="H661" s="49"/>
      <c r="I661" s="49"/>
    </row>
    <row r="662" ht="15.75" customHeight="1" spans="1:9">
      <c r="A662" s="47" t="s">
        <v>1088</v>
      </c>
      <c r="B662" s="57" t="s">
        <v>1004</v>
      </c>
      <c r="C662" s="60">
        <v>31</v>
      </c>
      <c r="D662" s="60" t="s">
        <v>1193</v>
      </c>
      <c r="E662" s="38" t="s">
        <v>1090</v>
      </c>
      <c r="F662" s="49"/>
      <c r="G662" s="49"/>
      <c r="H662" s="49"/>
      <c r="I662" s="49"/>
    </row>
    <row r="663" ht="15.75" customHeight="1" spans="1:9">
      <c r="A663" s="47" t="s">
        <v>1088</v>
      </c>
      <c r="B663" s="57" t="s">
        <v>1004</v>
      </c>
      <c r="C663" s="60">
        <v>31</v>
      </c>
      <c r="D663" s="60" t="s">
        <v>1194</v>
      </c>
      <c r="E663" s="38" t="s">
        <v>1090</v>
      </c>
      <c r="F663" s="49"/>
      <c r="G663" s="49"/>
      <c r="H663" s="49"/>
      <c r="I663" s="49"/>
    </row>
    <row r="664" ht="15.75" customHeight="1" spans="1:9">
      <c r="A664" s="47" t="s">
        <v>1088</v>
      </c>
      <c r="B664" s="57" t="s">
        <v>1004</v>
      </c>
      <c r="C664" s="60">
        <v>31</v>
      </c>
      <c r="D664" s="60" t="s">
        <v>1195</v>
      </c>
      <c r="E664" s="38" t="s">
        <v>1090</v>
      </c>
      <c r="F664" s="49"/>
      <c r="G664" s="49"/>
      <c r="H664" s="49"/>
      <c r="I664" s="49"/>
    </row>
    <row r="665" ht="15.75" customHeight="1" spans="1:9">
      <c r="A665" s="47" t="s">
        <v>1088</v>
      </c>
      <c r="B665" s="57" t="s">
        <v>1004</v>
      </c>
      <c r="C665" s="60">
        <v>31</v>
      </c>
      <c r="D665" s="60" t="s">
        <v>1196</v>
      </c>
      <c r="E665" s="38" t="s">
        <v>1090</v>
      </c>
      <c r="F665" s="49"/>
      <c r="G665" s="49"/>
      <c r="H665" s="49"/>
      <c r="I665" s="49"/>
    </row>
    <row r="666" ht="15.75" customHeight="1" spans="1:9">
      <c r="A666" s="47" t="s">
        <v>1088</v>
      </c>
      <c r="B666" s="57" t="s">
        <v>1004</v>
      </c>
      <c r="C666" s="60">
        <v>23</v>
      </c>
      <c r="D666" s="60">
        <v>23</v>
      </c>
      <c r="E666" s="38" t="s">
        <v>1090</v>
      </c>
      <c r="F666" s="49"/>
      <c r="G666" s="49"/>
      <c r="H666" s="49"/>
      <c r="I666" s="49"/>
    </row>
    <row r="667" ht="15.75" customHeight="1" spans="1:9">
      <c r="A667" s="47" t="s">
        <v>1088</v>
      </c>
      <c r="B667" s="57" t="s">
        <v>1004</v>
      </c>
      <c r="C667" s="60">
        <v>23</v>
      </c>
      <c r="D667" s="60" t="s">
        <v>1197</v>
      </c>
      <c r="E667" s="38" t="s">
        <v>1090</v>
      </c>
      <c r="F667" s="49"/>
      <c r="G667" s="49"/>
      <c r="H667" s="49"/>
      <c r="I667" s="49"/>
    </row>
    <row r="668" ht="15.75" customHeight="1" spans="1:9">
      <c r="A668" s="47" t="s">
        <v>1088</v>
      </c>
      <c r="B668" s="57" t="s">
        <v>1004</v>
      </c>
      <c r="C668" s="60">
        <v>23</v>
      </c>
      <c r="D668" s="60" t="s">
        <v>1197</v>
      </c>
      <c r="E668" s="38" t="s">
        <v>1090</v>
      </c>
      <c r="F668" s="49"/>
      <c r="G668" s="49"/>
      <c r="H668" s="49"/>
      <c r="I668" s="49"/>
    </row>
    <row r="669" ht="15.75" customHeight="1" spans="1:9">
      <c r="A669" s="47" t="s">
        <v>1088</v>
      </c>
      <c r="B669" s="57" t="s">
        <v>1004</v>
      </c>
      <c r="C669" s="60">
        <v>23</v>
      </c>
      <c r="D669" s="60" t="s">
        <v>1198</v>
      </c>
      <c r="E669" s="38" t="s">
        <v>1090</v>
      </c>
      <c r="F669" s="49"/>
      <c r="G669" s="49"/>
      <c r="H669" s="49"/>
      <c r="I669" s="49"/>
    </row>
    <row r="670" ht="15.75" customHeight="1" spans="1:9">
      <c r="A670" s="47" t="s">
        <v>1088</v>
      </c>
      <c r="B670" s="57" t="s">
        <v>1004</v>
      </c>
      <c r="C670" s="60">
        <v>23</v>
      </c>
      <c r="D670" s="60" t="s">
        <v>1199</v>
      </c>
      <c r="E670" s="38" t="s">
        <v>1090</v>
      </c>
      <c r="F670" s="49"/>
      <c r="G670" s="49"/>
      <c r="H670" s="49"/>
      <c r="I670" s="49"/>
    </row>
    <row r="671" ht="15.75" customHeight="1" spans="1:9">
      <c r="A671" s="47" t="s">
        <v>1088</v>
      </c>
      <c r="B671" s="57" t="s">
        <v>1004</v>
      </c>
      <c r="C671" s="60">
        <v>23</v>
      </c>
      <c r="D671" s="64" t="s">
        <v>1200</v>
      </c>
      <c r="E671" s="38" t="s">
        <v>1090</v>
      </c>
      <c r="F671" s="49"/>
      <c r="G671" s="49"/>
      <c r="H671" s="49"/>
      <c r="I671" s="49"/>
    </row>
    <row r="672" ht="15.75" customHeight="1" spans="1:9">
      <c r="A672" s="47" t="s">
        <v>1088</v>
      </c>
      <c r="B672" s="57" t="s">
        <v>1004</v>
      </c>
      <c r="C672" s="60">
        <v>23</v>
      </c>
      <c r="D672" s="60" t="s">
        <v>1201</v>
      </c>
      <c r="E672" s="38" t="s">
        <v>1090</v>
      </c>
      <c r="F672" s="49"/>
      <c r="G672" s="49"/>
      <c r="H672" s="49"/>
      <c r="I672" s="49"/>
    </row>
    <row r="673" ht="15.75" customHeight="1" spans="1:9">
      <c r="A673" s="47" t="s">
        <v>1088</v>
      </c>
      <c r="B673" s="57" t="s">
        <v>1004</v>
      </c>
      <c r="C673" s="60">
        <v>23</v>
      </c>
      <c r="D673" s="60" t="s">
        <v>1202</v>
      </c>
      <c r="E673" s="38" t="s">
        <v>1090</v>
      </c>
      <c r="F673" s="49"/>
      <c r="G673" s="49"/>
      <c r="H673" s="49"/>
      <c r="I673" s="49"/>
    </row>
    <row r="674" ht="15.75" customHeight="1" spans="1:9">
      <c r="A674" s="47" t="s">
        <v>1088</v>
      </c>
      <c r="B674" s="57" t="s">
        <v>1004</v>
      </c>
      <c r="C674" s="60">
        <v>23</v>
      </c>
      <c r="D674" s="60" t="s">
        <v>1202</v>
      </c>
      <c r="E674" s="38" t="s">
        <v>1090</v>
      </c>
      <c r="F674" s="49"/>
      <c r="G674" s="49"/>
      <c r="H674" s="49"/>
      <c r="I674" s="49"/>
    </row>
    <row r="675" ht="15.75" customHeight="1" spans="1:9">
      <c r="A675" s="47" t="s">
        <v>1088</v>
      </c>
      <c r="B675" s="57" t="s">
        <v>1004</v>
      </c>
      <c r="C675" s="60">
        <v>23</v>
      </c>
      <c r="D675" s="60" t="s">
        <v>1203</v>
      </c>
      <c r="E675" s="38" t="s">
        <v>1090</v>
      </c>
      <c r="F675" s="49"/>
      <c r="G675" s="49"/>
      <c r="H675" s="49"/>
      <c r="I675" s="49"/>
    </row>
    <row r="676" ht="15.75" customHeight="1" spans="1:9">
      <c r="A676" s="47" t="s">
        <v>1088</v>
      </c>
      <c r="B676" s="57" t="s">
        <v>1004</v>
      </c>
      <c r="C676" s="60">
        <v>27</v>
      </c>
      <c r="D676" s="60">
        <v>27</v>
      </c>
      <c r="E676" s="38" t="s">
        <v>1090</v>
      </c>
      <c r="F676" s="49"/>
      <c r="G676" s="49"/>
      <c r="H676" s="49"/>
      <c r="I676" s="49"/>
    </row>
    <row r="677" ht="15.75" customHeight="1" spans="1:9">
      <c r="A677" s="47" t="s">
        <v>1088</v>
      </c>
      <c r="B677" s="57" t="s">
        <v>1004</v>
      </c>
      <c r="C677" s="60">
        <v>27</v>
      </c>
      <c r="D677" s="60" t="s">
        <v>1204</v>
      </c>
      <c r="E677" s="38" t="s">
        <v>1090</v>
      </c>
      <c r="F677" s="49"/>
      <c r="G677" s="49"/>
      <c r="H677" s="49"/>
      <c r="I677" s="49"/>
    </row>
    <row r="678" ht="15.75" customHeight="1" spans="1:9">
      <c r="A678" s="47" t="s">
        <v>1088</v>
      </c>
      <c r="B678" s="57" t="s">
        <v>1004</v>
      </c>
      <c r="C678" s="60">
        <v>27</v>
      </c>
      <c r="D678" s="60" t="s">
        <v>1204</v>
      </c>
      <c r="E678" s="38" t="s">
        <v>1090</v>
      </c>
      <c r="F678" s="49"/>
      <c r="G678" s="49"/>
      <c r="H678" s="49"/>
      <c r="I678" s="49"/>
    </row>
    <row r="679" ht="15.75" customHeight="1" spans="1:9">
      <c r="A679" s="47" t="s">
        <v>1088</v>
      </c>
      <c r="B679" s="57" t="s">
        <v>1004</v>
      </c>
      <c r="C679" s="60">
        <v>27</v>
      </c>
      <c r="D679" s="60" t="s">
        <v>1205</v>
      </c>
      <c r="E679" s="38" t="s">
        <v>1090</v>
      </c>
      <c r="F679" s="49"/>
      <c r="G679" s="49"/>
      <c r="H679" s="49"/>
      <c r="I679" s="49"/>
    </row>
    <row r="680" ht="15.75" customHeight="1" spans="1:9">
      <c r="A680" s="47" t="s">
        <v>1088</v>
      </c>
      <c r="B680" s="57" t="s">
        <v>1004</v>
      </c>
      <c r="C680" s="60">
        <v>27</v>
      </c>
      <c r="D680" s="60" t="s">
        <v>1206</v>
      </c>
      <c r="E680" s="38" t="s">
        <v>1090</v>
      </c>
      <c r="F680" s="49"/>
      <c r="G680" s="49"/>
      <c r="H680" s="49"/>
      <c r="I680" s="49"/>
    </row>
    <row r="681" ht="15.75" customHeight="1" spans="1:9">
      <c r="A681" s="47" t="s">
        <v>1088</v>
      </c>
      <c r="B681" s="57" t="s">
        <v>1004</v>
      </c>
      <c r="C681" s="60">
        <v>27</v>
      </c>
      <c r="D681" s="60" t="s">
        <v>1207</v>
      </c>
      <c r="E681" s="38" t="s">
        <v>1090</v>
      </c>
      <c r="F681" s="49"/>
      <c r="G681" s="49"/>
      <c r="H681" s="49"/>
      <c r="I681" s="49"/>
    </row>
    <row r="682" ht="15.75" customHeight="1" spans="1:9">
      <c r="A682" s="47" t="s">
        <v>1088</v>
      </c>
      <c r="B682" s="57" t="s">
        <v>1004</v>
      </c>
      <c r="C682" s="60">
        <v>27</v>
      </c>
      <c r="D682" s="60" t="s">
        <v>1208</v>
      </c>
      <c r="E682" s="38" t="s">
        <v>1090</v>
      </c>
      <c r="F682" s="49"/>
      <c r="G682" s="49"/>
      <c r="H682" s="49"/>
      <c r="I682" s="49"/>
    </row>
    <row r="683" ht="15.75" customHeight="1" spans="1:9">
      <c r="A683" s="47" t="s">
        <v>1088</v>
      </c>
      <c r="B683" s="57" t="s">
        <v>1004</v>
      </c>
      <c r="C683" s="60">
        <v>27</v>
      </c>
      <c r="D683" s="60" t="s">
        <v>1209</v>
      </c>
      <c r="E683" s="38" t="s">
        <v>1090</v>
      </c>
      <c r="F683" s="49"/>
      <c r="G683" s="49"/>
      <c r="H683" s="49"/>
      <c r="I683" s="49"/>
    </row>
    <row r="684" ht="15.75" customHeight="1" spans="1:9">
      <c r="A684" s="47" t="s">
        <v>1088</v>
      </c>
      <c r="B684" s="57" t="s">
        <v>1004</v>
      </c>
      <c r="C684" s="60">
        <v>27</v>
      </c>
      <c r="D684" s="64" t="s">
        <v>1210</v>
      </c>
      <c r="E684" s="38" t="s">
        <v>1090</v>
      </c>
      <c r="F684" s="49"/>
      <c r="G684" s="49"/>
      <c r="H684" s="49"/>
      <c r="I684" s="49"/>
    </row>
    <row r="685" ht="15.75" customHeight="1" spans="1:9">
      <c r="A685" s="47" t="s">
        <v>1088</v>
      </c>
      <c r="B685" s="57" t="s">
        <v>1004</v>
      </c>
      <c r="C685" s="60">
        <v>27</v>
      </c>
      <c r="D685" s="60" t="s">
        <v>1211</v>
      </c>
      <c r="E685" s="38" t="s">
        <v>1090</v>
      </c>
      <c r="F685" s="49"/>
      <c r="G685" s="49"/>
      <c r="H685" s="49"/>
      <c r="I685" s="49"/>
    </row>
    <row r="686" ht="15.75" customHeight="1" spans="1:9">
      <c r="A686" s="47" t="s">
        <v>1088</v>
      </c>
      <c r="B686" s="57" t="s">
        <v>1004</v>
      </c>
      <c r="C686" s="60">
        <v>27</v>
      </c>
      <c r="D686" s="60" t="s">
        <v>1212</v>
      </c>
      <c r="E686" s="38" t="s">
        <v>1090</v>
      </c>
      <c r="F686" s="49"/>
      <c r="G686" s="49"/>
      <c r="H686" s="49"/>
      <c r="I686" s="49"/>
    </row>
    <row r="687" ht="15.75" customHeight="1" spans="1:9">
      <c r="A687" s="47" t="s">
        <v>1088</v>
      </c>
      <c r="B687" s="57" t="s">
        <v>1004</v>
      </c>
      <c r="C687" s="60">
        <v>27</v>
      </c>
      <c r="D687" s="60" t="s">
        <v>1213</v>
      </c>
      <c r="E687" s="38" t="s">
        <v>1090</v>
      </c>
      <c r="F687" s="49"/>
      <c r="G687" s="49"/>
      <c r="H687" s="49"/>
      <c r="I687" s="49"/>
    </row>
    <row r="688" ht="15.75" customHeight="1" spans="1:9">
      <c r="A688" s="47" t="s">
        <v>1088</v>
      </c>
      <c r="B688" s="57" t="s">
        <v>1004</v>
      </c>
      <c r="C688" s="60">
        <v>27</v>
      </c>
      <c r="D688" s="60" t="s">
        <v>1214</v>
      </c>
      <c r="E688" s="38" t="s">
        <v>1090</v>
      </c>
      <c r="F688" s="49"/>
      <c r="G688" s="49"/>
      <c r="H688" s="49"/>
      <c r="I688" s="49"/>
    </row>
    <row r="689" ht="15.75" customHeight="1" spans="1:9">
      <c r="A689" s="47" t="s">
        <v>1088</v>
      </c>
      <c r="B689" s="57" t="s">
        <v>1004</v>
      </c>
      <c r="C689" s="60">
        <v>27</v>
      </c>
      <c r="D689" s="60" t="s">
        <v>1215</v>
      </c>
      <c r="E689" s="38" t="s">
        <v>1090</v>
      </c>
      <c r="F689" s="49"/>
      <c r="G689" s="49"/>
      <c r="H689" s="49"/>
      <c r="I689" s="49"/>
    </row>
    <row r="690" ht="15.75" customHeight="1" spans="1:9">
      <c r="A690" s="47" t="s">
        <v>1088</v>
      </c>
      <c r="B690" s="57" t="s">
        <v>1004</v>
      </c>
      <c r="C690" s="60">
        <v>27</v>
      </c>
      <c r="D690" s="60" t="s">
        <v>1216</v>
      </c>
      <c r="E690" s="38" t="s">
        <v>1090</v>
      </c>
      <c r="F690" s="49"/>
      <c r="G690" s="49"/>
      <c r="H690" s="49"/>
      <c r="I690" s="49"/>
    </row>
    <row r="691" ht="15.75" customHeight="1" spans="1:9">
      <c r="A691" s="47" t="s">
        <v>1088</v>
      </c>
      <c r="B691" s="57" t="s">
        <v>1004</v>
      </c>
      <c r="C691" s="60">
        <v>14</v>
      </c>
      <c r="D691" s="60">
        <v>14</v>
      </c>
      <c r="E691" s="38" t="s">
        <v>1090</v>
      </c>
      <c r="F691" s="49"/>
      <c r="G691" s="49"/>
      <c r="H691" s="49"/>
      <c r="I691" s="49"/>
    </row>
    <row r="692" ht="15.75" customHeight="1" spans="1:9">
      <c r="A692" s="47" t="s">
        <v>1088</v>
      </c>
      <c r="B692" s="57" t="s">
        <v>1004</v>
      </c>
      <c r="C692" s="60">
        <v>14</v>
      </c>
      <c r="D692" s="60" t="s">
        <v>1217</v>
      </c>
      <c r="E692" s="38" t="s">
        <v>1090</v>
      </c>
      <c r="F692" s="49"/>
      <c r="G692" s="49"/>
      <c r="H692" s="49"/>
      <c r="I692" s="49"/>
    </row>
    <row r="693" ht="15.75" customHeight="1" spans="1:9">
      <c r="A693" s="47" t="s">
        <v>1088</v>
      </c>
      <c r="B693" s="57" t="s">
        <v>1004</v>
      </c>
      <c r="C693" s="60">
        <v>14</v>
      </c>
      <c r="D693" s="60" t="s">
        <v>1217</v>
      </c>
      <c r="E693" s="38" t="s">
        <v>1090</v>
      </c>
      <c r="F693" s="49"/>
      <c r="G693" s="49"/>
      <c r="H693" s="49"/>
      <c r="I693" s="49"/>
    </row>
    <row r="694" ht="15.75" customHeight="1" spans="1:9">
      <c r="A694" s="47" t="s">
        <v>1088</v>
      </c>
      <c r="B694" s="57" t="s">
        <v>1004</v>
      </c>
      <c r="C694" s="60">
        <v>14</v>
      </c>
      <c r="D694" s="60" t="s">
        <v>1218</v>
      </c>
      <c r="E694" s="38" t="s">
        <v>1090</v>
      </c>
      <c r="F694" s="49"/>
      <c r="G694" s="49"/>
      <c r="H694" s="49"/>
      <c r="I694" s="49"/>
    </row>
    <row r="695" ht="15.75" customHeight="1" spans="1:9">
      <c r="A695" s="47" t="s">
        <v>1088</v>
      </c>
      <c r="B695" s="57" t="s">
        <v>1004</v>
      </c>
      <c r="C695" s="60">
        <v>14</v>
      </c>
      <c r="D695" s="60" t="s">
        <v>1219</v>
      </c>
      <c r="E695" s="38" t="s">
        <v>1090</v>
      </c>
      <c r="F695" s="49"/>
      <c r="G695" s="49"/>
      <c r="H695" s="49"/>
      <c r="I695" s="49"/>
    </row>
    <row r="696" ht="15.75" customHeight="1" spans="1:9">
      <c r="A696" s="47" t="s">
        <v>1088</v>
      </c>
      <c r="B696" s="57" t="s">
        <v>1004</v>
      </c>
      <c r="C696" s="60">
        <v>14</v>
      </c>
      <c r="D696" s="60" t="s">
        <v>1220</v>
      </c>
      <c r="E696" s="38" t="s">
        <v>1090</v>
      </c>
      <c r="F696" s="49"/>
      <c r="G696" s="49"/>
      <c r="H696" s="49"/>
      <c r="I696" s="49"/>
    </row>
    <row r="697" ht="15.75" customHeight="1" spans="1:9">
      <c r="A697" s="47" t="s">
        <v>1088</v>
      </c>
      <c r="B697" s="57" t="s">
        <v>1004</v>
      </c>
      <c r="C697" s="60">
        <v>14</v>
      </c>
      <c r="D697" s="60" t="s">
        <v>1221</v>
      </c>
      <c r="E697" s="38" t="s">
        <v>1090</v>
      </c>
      <c r="F697" s="49"/>
      <c r="G697" s="49"/>
      <c r="H697" s="49"/>
      <c r="I697" s="49"/>
    </row>
    <row r="698" ht="15.75" customHeight="1" spans="1:9">
      <c r="A698" s="47" t="s">
        <v>1088</v>
      </c>
      <c r="B698" s="57" t="s">
        <v>1004</v>
      </c>
      <c r="C698" s="60">
        <v>14</v>
      </c>
      <c r="D698" s="64" t="s">
        <v>1222</v>
      </c>
      <c r="E698" s="38" t="s">
        <v>1090</v>
      </c>
      <c r="F698" s="49"/>
      <c r="G698" s="49"/>
      <c r="H698" s="49"/>
      <c r="I698" s="49"/>
    </row>
    <row r="699" ht="15.75" customHeight="1" spans="1:9">
      <c r="A699" s="47" t="s">
        <v>1088</v>
      </c>
      <c r="B699" s="57" t="s">
        <v>1004</v>
      </c>
      <c r="C699" s="60">
        <v>14</v>
      </c>
      <c r="D699" s="60" t="s">
        <v>1223</v>
      </c>
      <c r="E699" s="38" t="s">
        <v>1090</v>
      </c>
      <c r="F699" s="49"/>
      <c r="G699" s="49"/>
      <c r="H699" s="49"/>
      <c r="I699" s="49"/>
    </row>
    <row r="700" ht="15.75" customHeight="1" spans="1:9">
      <c r="A700" s="47" t="s">
        <v>1088</v>
      </c>
      <c r="B700" s="57" t="s">
        <v>1004</v>
      </c>
      <c r="C700" s="60">
        <v>14</v>
      </c>
      <c r="D700" s="60" t="s">
        <v>1224</v>
      </c>
      <c r="E700" s="38" t="s">
        <v>1090</v>
      </c>
      <c r="F700" s="49"/>
      <c r="G700" s="49"/>
      <c r="H700" s="49"/>
      <c r="I700" s="49"/>
    </row>
    <row r="701" ht="15.75" customHeight="1" spans="1:9">
      <c r="A701" s="47" t="s">
        <v>1088</v>
      </c>
      <c r="B701" s="57" t="s">
        <v>1004</v>
      </c>
      <c r="C701" s="60">
        <v>14</v>
      </c>
      <c r="D701" s="60" t="s">
        <v>1224</v>
      </c>
      <c r="E701" s="38" t="s">
        <v>1090</v>
      </c>
      <c r="F701" s="49"/>
      <c r="G701" s="49"/>
      <c r="H701" s="49"/>
      <c r="I701" s="49"/>
    </row>
    <row r="702" ht="15.75" customHeight="1" spans="1:9">
      <c r="A702" s="47" t="s">
        <v>1088</v>
      </c>
      <c r="B702" s="57" t="s">
        <v>1004</v>
      </c>
      <c r="C702" s="60">
        <v>14</v>
      </c>
      <c r="D702" s="60" t="s">
        <v>1225</v>
      </c>
      <c r="E702" s="38" t="s">
        <v>1090</v>
      </c>
      <c r="F702" s="49"/>
      <c r="G702" s="49"/>
      <c r="H702" s="49"/>
      <c r="I702" s="49"/>
    </row>
    <row r="703" ht="15.75" customHeight="1" spans="1:9">
      <c r="A703" s="47" t="s">
        <v>1088</v>
      </c>
      <c r="B703" s="57" t="s">
        <v>1004</v>
      </c>
      <c r="C703" s="60">
        <v>14</v>
      </c>
      <c r="D703" s="60" t="s">
        <v>1226</v>
      </c>
      <c r="E703" s="38" t="s">
        <v>1090</v>
      </c>
      <c r="F703" s="49"/>
      <c r="G703" s="49"/>
      <c r="H703" s="49"/>
      <c r="I703" s="49"/>
    </row>
    <row r="704" ht="15.75" customHeight="1" spans="1:9">
      <c r="A704" s="47" t="s">
        <v>1088</v>
      </c>
      <c r="B704" s="57" t="s">
        <v>1004</v>
      </c>
      <c r="C704" s="60">
        <v>14</v>
      </c>
      <c r="D704" s="60" t="s">
        <v>1227</v>
      </c>
      <c r="E704" s="38" t="s">
        <v>1090</v>
      </c>
      <c r="F704" s="49"/>
      <c r="G704" s="49"/>
      <c r="H704" s="49"/>
      <c r="I704" s="49"/>
    </row>
    <row r="705" ht="15.75" customHeight="1" spans="1:9">
      <c r="A705" s="47" t="s">
        <v>1088</v>
      </c>
      <c r="B705" s="57" t="s">
        <v>1004</v>
      </c>
      <c r="C705" s="60">
        <v>17</v>
      </c>
      <c r="D705" s="60">
        <v>17</v>
      </c>
      <c r="E705" s="38" t="s">
        <v>1090</v>
      </c>
      <c r="F705" s="49"/>
      <c r="G705" s="49"/>
      <c r="H705" s="49"/>
      <c r="I705" s="49"/>
    </row>
    <row r="706" ht="15.75" customHeight="1" spans="1:9">
      <c r="A706" s="47" t="s">
        <v>1088</v>
      </c>
      <c r="B706" s="57" t="s">
        <v>1004</v>
      </c>
      <c r="C706" s="60">
        <v>17</v>
      </c>
      <c r="D706" s="60" t="s">
        <v>1228</v>
      </c>
      <c r="E706" s="38" t="s">
        <v>1090</v>
      </c>
      <c r="F706" s="49"/>
      <c r="G706" s="49"/>
      <c r="H706" s="49"/>
      <c r="I706" s="49"/>
    </row>
    <row r="707" ht="15.75" customHeight="1" spans="1:9">
      <c r="A707" s="47" t="s">
        <v>1088</v>
      </c>
      <c r="B707" s="57" t="s">
        <v>1004</v>
      </c>
      <c r="C707" s="60">
        <v>17</v>
      </c>
      <c r="D707" s="60" t="s">
        <v>1229</v>
      </c>
      <c r="E707" s="38" t="s">
        <v>1090</v>
      </c>
      <c r="F707" s="49"/>
      <c r="G707" s="49"/>
      <c r="H707" s="49"/>
      <c r="I707" s="49"/>
    </row>
    <row r="708" ht="15.75" customHeight="1" spans="1:9">
      <c r="A708" s="47" t="s">
        <v>1088</v>
      </c>
      <c r="B708" s="57" t="s">
        <v>1004</v>
      </c>
      <c r="C708" s="60">
        <v>17</v>
      </c>
      <c r="D708" s="60" t="s">
        <v>1230</v>
      </c>
      <c r="E708" s="38" t="s">
        <v>1090</v>
      </c>
      <c r="F708" s="49"/>
      <c r="G708" s="49"/>
      <c r="H708" s="49"/>
      <c r="I708" s="49"/>
    </row>
    <row r="709" ht="15.75" customHeight="1" spans="1:9">
      <c r="A709" s="47" t="s">
        <v>1088</v>
      </c>
      <c r="B709" s="57" t="s">
        <v>1004</v>
      </c>
      <c r="C709" s="60">
        <v>17</v>
      </c>
      <c r="D709" s="60" t="s">
        <v>1231</v>
      </c>
      <c r="E709" s="38" t="s">
        <v>1090</v>
      </c>
      <c r="F709" s="49"/>
      <c r="G709" s="49"/>
      <c r="H709" s="49"/>
      <c r="I709" s="49"/>
    </row>
    <row r="710" ht="15.75" customHeight="1" spans="1:9">
      <c r="A710" s="47" t="s">
        <v>1088</v>
      </c>
      <c r="B710" s="57" t="s">
        <v>1004</v>
      </c>
      <c r="C710" s="60">
        <v>17</v>
      </c>
      <c r="D710" s="60" t="s">
        <v>1232</v>
      </c>
      <c r="E710" s="38" t="s">
        <v>1090</v>
      </c>
      <c r="F710" s="49"/>
      <c r="G710" s="49"/>
      <c r="H710" s="49"/>
      <c r="I710" s="49"/>
    </row>
    <row r="711" ht="15.75" customHeight="1" spans="1:9">
      <c r="A711" s="47" t="s">
        <v>1088</v>
      </c>
      <c r="B711" s="57" t="s">
        <v>1004</v>
      </c>
      <c r="C711" s="60">
        <v>17</v>
      </c>
      <c r="D711" s="60" t="s">
        <v>1233</v>
      </c>
      <c r="E711" s="38" t="s">
        <v>1090</v>
      </c>
      <c r="F711" s="49"/>
      <c r="G711" s="49"/>
      <c r="H711" s="49"/>
      <c r="I711" s="49"/>
    </row>
    <row r="712" ht="15.75" customHeight="1" spans="1:9">
      <c r="A712" s="47" t="s">
        <v>1088</v>
      </c>
      <c r="B712" s="57" t="s">
        <v>1004</v>
      </c>
      <c r="C712" s="60">
        <v>17</v>
      </c>
      <c r="D712" s="60" t="s">
        <v>1234</v>
      </c>
      <c r="E712" s="38" t="s">
        <v>1090</v>
      </c>
      <c r="F712" s="49"/>
      <c r="G712" s="49"/>
      <c r="H712" s="49"/>
      <c r="I712" s="49"/>
    </row>
    <row r="713" ht="15.75" customHeight="1" spans="1:9">
      <c r="A713" s="47" t="s">
        <v>1088</v>
      </c>
      <c r="B713" s="57" t="s">
        <v>1004</v>
      </c>
      <c r="C713" s="60">
        <v>17</v>
      </c>
      <c r="D713" s="64" t="s">
        <v>1235</v>
      </c>
      <c r="E713" s="38" t="s">
        <v>1090</v>
      </c>
      <c r="F713" s="49"/>
      <c r="G713" s="49"/>
      <c r="H713" s="49"/>
      <c r="I713" s="49"/>
    </row>
    <row r="714" ht="15.75" customHeight="1" spans="1:9">
      <c r="A714" s="47" t="s">
        <v>1088</v>
      </c>
      <c r="B714" s="57" t="s">
        <v>1004</v>
      </c>
      <c r="C714" s="60">
        <v>17</v>
      </c>
      <c r="D714" s="60" t="s">
        <v>1236</v>
      </c>
      <c r="E714" s="38" t="s">
        <v>1090</v>
      </c>
      <c r="F714" s="49"/>
      <c r="G714" s="49"/>
      <c r="H714" s="49"/>
      <c r="I714" s="49"/>
    </row>
    <row r="715" ht="15.75" customHeight="1" spans="1:9">
      <c r="A715" s="47" t="s">
        <v>1088</v>
      </c>
      <c r="B715" s="57" t="s">
        <v>1004</v>
      </c>
      <c r="C715" s="60">
        <v>17</v>
      </c>
      <c r="D715" s="60" t="s">
        <v>1237</v>
      </c>
      <c r="E715" s="38" t="s">
        <v>1090</v>
      </c>
      <c r="F715" s="49"/>
      <c r="G715" s="49"/>
      <c r="H715" s="49"/>
      <c r="I715" s="49"/>
    </row>
    <row r="716" ht="15.75" customHeight="1" spans="1:9">
      <c r="A716" s="47" t="s">
        <v>1088</v>
      </c>
      <c r="B716" s="57" t="s">
        <v>1004</v>
      </c>
      <c r="C716" s="60">
        <v>17</v>
      </c>
      <c r="D716" s="60" t="s">
        <v>1237</v>
      </c>
      <c r="E716" s="38" t="s">
        <v>1090</v>
      </c>
      <c r="F716" s="49"/>
      <c r="G716" s="49"/>
      <c r="H716" s="49"/>
      <c r="I716" s="49"/>
    </row>
    <row r="717" ht="15.75" customHeight="1" spans="1:9">
      <c r="A717" s="47" t="s">
        <v>1088</v>
      </c>
      <c r="B717" s="57" t="s">
        <v>1004</v>
      </c>
      <c r="C717" s="60">
        <v>17</v>
      </c>
      <c r="D717" s="60" t="s">
        <v>1237</v>
      </c>
      <c r="E717" s="38" t="s">
        <v>1090</v>
      </c>
      <c r="F717" s="49"/>
      <c r="G717" s="49"/>
      <c r="H717" s="49"/>
      <c r="I717" s="49"/>
    </row>
    <row r="718" ht="15.75" customHeight="1" spans="1:9">
      <c r="A718" s="47" t="s">
        <v>1088</v>
      </c>
      <c r="B718" s="57" t="s">
        <v>1004</v>
      </c>
      <c r="C718" s="60">
        <v>17</v>
      </c>
      <c r="D718" s="60" t="s">
        <v>1238</v>
      </c>
      <c r="E718" s="38" t="s">
        <v>1090</v>
      </c>
      <c r="F718" s="49"/>
      <c r="G718" s="49"/>
      <c r="H718" s="49"/>
      <c r="I718" s="49"/>
    </row>
    <row r="719" ht="15.75" customHeight="1" spans="1:9">
      <c r="A719" s="47" t="s">
        <v>1088</v>
      </c>
      <c r="B719" s="57" t="s">
        <v>1004</v>
      </c>
      <c r="C719" s="60">
        <v>15</v>
      </c>
      <c r="D719" s="60">
        <v>15</v>
      </c>
      <c r="E719" s="38" t="s">
        <v>1090</v>
      </c>
      <c r="F719" s="49"/>
      <c r="G719" s="49"/>
      <c r="H719" s="49"/>
      <c r="I719" s="49"/>
    </row>
    <row r="720" ht="15.75" customHeight="1" spans="1:9">
      <c r="A720" s="47" t="s">
        <v>1088</v>
      </c>
      <c r="B720" s="57" t="s">
        <v>1004</v>
      </c>
      <c r="C720" s="60">
        <v>15</v>
      </c>
      <c r="D720" s="60" t="s">
        <v>1239</v>
      </c>
      <c r="E720" s="38" t="s">
        <v>1090</v>
      </c>
      <c r="F720" s="49"/>
      <c r="G720" s="49"/>
      <c r="H720" s="49"/>
      <c r="I720" s="49"/>
    </row>
    <row r="721" ht="15.75" customHeight="1" spans="1:9">
      <c r="A721" s="47" t="s">
        <v>1088</v>
      </c>
      <c r="B721" s="57" t="s">
        <v>1004</v>
      </c>
      <c r="C721" s="60">
        <v>15</v>
      </c>
      <c r="D721" s="60" t="s">
        <v>1239</v>
      </c>
      <c r="E721" s="38" t="s">
        <v>1090</v>
      </c>
      <c r="F721" s="49"/>
      <c r="G721" s="49"/>
      <c r="H721" s="49"/>
      <c r="I721" s="49"/>
    </row>
    <row r="722" ht="15.75" customHeight="1" spans="1:9">
      <c r="A722" s="47" t="s">
        <v>1088</v>
      </c>
      <c r="B722" s="57" t="s">
        <v>1004</v>
      </c>
      <c r="C722" s="60">
        <v>15</v>
      </c>
      <c r="D722" s="60" t="s">
        <v>1240</v>
      </c>
      <c r="E722" s="38" t="s">
        <v>1090</v>
      </c>
      <c r="F722" s="49"/>
      <c r="G722" s="49"/>
      <c r="H722" s="49"/>
      <c r="I722" s="49"/>
    </row>
    <row r="723" ht="15.75" customHeight="1" spans="1:9">
      <c r="A723" s="47" t="s">
        <v>1088</v>
      </c>
      <c r="B723" s="57" t="s">
        <v>1004</v>
      </c>
      <c r="C723" s="60">
        <v>15</v>
      </c>
      <c r="D723" s="60" t="s">
        <v>1241</v>
      </c>
      <c r="E723" s="38" t="s">
        <v>1090</v>
      </c>
      <c r="F723" s="49"/>
      <c r="G723" s="49"/>
      <c r="H723" s="49"/>
      <c r="I723" s="49"/>
    </row>
    <row r="724" ht="15.75" customHeight="1" spans="1:9">
      <c r="A724" s="47" t="s">
        <v>1088</v>
      </c>
      <c r="B724" s="57" t="s">
        <v>1004</v>
      </c>
      <c r="C724" s="60">
        <v>15</v>
      </c>
      <c r="D724" s="60" t="s">
        <v>1242</v>
      </c>
      <c r="E724" s="38" t="s">
        <v>1090</v>
      </c>
      <c r="F724" s="49"/>
      <c r="G724" s="49"/>
      <c r="H724" s="49"/>
      <c r="I724" s="49"/>
    </row>
    <row r="725" ht="15.75" customHeight="1" spans="1:9">
      <c r="A725" s="47" t="s">
        <v>1088</v>
      </c>
      <c r="B725" s="57" t="s">
        <v>1004</v>
      </c>
      <c r="C725" s="60">
        <v>15</v>
      </c>
      <c r="D725" s="60" t="s">
        <v>1243</v>
      </c>
      <c r="E725" s="38" t="s">
        <v>1090</v>
      </c>
      <c r="F725" s="49"/>
      <c r="G725" s="49"/>
      <c r="H725" s="49"/>
      <c r="I725" s="49"/>
    </row>
    <row r="726" ht="15.75" customHeight="1" spans="1:9">
      <c r="A726" s="47" t="s">
        <v>1088</v>
      </c>
      <c r="B726" s="57" t="s">
        <v>1004</v>
      </c>
      <c r="C726" s="60">
        <v>15</v>
      </c>
      <c r="D726" s="60" t="s">
        <v>1244</v>
      </c>
      <c r="E726" s="38" t="s">
        <v>1090</v>
      </c>
      <c r="F726" s="49"/>
      <c r="G726" s="49"/>
      <c r="H726" s="49"/>
      <c r="I726" s="49"/>
    </row>
    <row r="727" ht="15.75" customHeight="1" spans="1:9">
      <c r="A727" s="47" t="s">
        <v>1088</v>
      </c>
      <c r="B727" s="57" t="s">
        <v>1004</v>
      </c>
      <c r="C727" s="60">
        <v>15</v>
      </c>
      <c r="D727" s="64" t="s">
        <v>1245</v>
      </c>
      <c r="E727" s="38" t="s">
        <v>1090</v>
      </c>
      <c r="F727" s="49"/>
      <c r="G727" s="49"/>
      <c r="H727" s="49"/>
      <c r="I727" s="49"/>
    </row>
    <row r="728" ht="15.75" customHeight="1" spans="1:9">
      <c r="A728" s="47" t="s">
        <v>1088</v>
      </c>
      <c r="B728" s="57" t="s">
        <v>1004</v>
      </c>
      <c r="C728" s="60">
        <v>15</v>
      </c>
      <c r="D728" s="60" t="s">
        <v>1246</v>
      </c>
      <c r="E728" s="38" t="s">
        <v>1090</v>
      </c>
      <c r="F728" s="49"/>
      <c r="G728" s="49"/>
      <c r="H728" s="49"/>
      <c r="I728" s="49"/>
    </row>
    <row r="729" ht="15.75" customHeight="1" spans="1:9">
      <c r="A729" s="47" t="s">
        <v>1088</v>
      </c>
      <c r="B729" s="57" t="s">
        <v>1004</v>
      </c>
      <c r="C729" s="60">
        <v>15</v>
      </c>
      <c r="D729" s="60" t="s">
        <v>1247</v>
      </c>
      <c r="E729" s="38" t="s">
        <v>1090</v>
      </c>
      <c r="F729" s="49"/>
      <c r="G729" s="49"/>
      <c r="H729" s="49"/>
      <c r="I729" s="49"/>
    </row>
    <row r="730" ht="15.75" customHeight="1" spans="1:9">
      <c r="A730" s="47" t="s">
        <v>1088</v>
      </c>
      <c r="B730" s="57" t="s">
        <v>1004</v>
      </c>
      <c r="C730" s="60">
        <v>15</v>
      </c>
      <c r="D730" s="60" t="s">
        <v>1247</v>
      </c>
      <c r="E730" s="38" t="s">
        <v>1090</v>
      </c>
      <c r="F730" s="49"/>
      <c r="G730" s="49"/>
      <c r="H730" s="49"/>
      <c r="I730" s="49"/>
    </row>
    <row r="731" ht="15.75" customHeight="1" spans="1:9">
      <c r="A731" s="47" t="s">
        <v>1088</v>
      </c>
      <c r="B731" s="57" t="s">
        <v>1004</v>
      </c>
      <c r="C731" s="60">
        <v>15</v>
      </c>
      <c r="D731" s="60" t="s">
        <v>1247</v>
      </c>
      <c r="E731" s="38" t="s">
        <v>1090</v>
      </c>
      <c r="F731" s="49"/>
      <c r="G731" s="49"/>
      <c r="H731" s="49"/>
      <c r="I731" s="49"/>
    </row>
    <row r="732" ht="15.75" customHeight="1" spans="1:9">
      <c r="A732" s="47" t="s">
        <v>1088</v>
      </c>
      <c r="B732" s="57" t="s">
        <v>1004</v>
      </c>
      <c r="C732" s="60">
        <v>15</v>
      </c>
      <c r="D732" s="60" t="s">
        <v>1248</v>
      </c>
      <c r="E732" s="38" t="s">
        <v>1090</v>
      </c>
      <c r="F732" s="49"/>
      <c r="G732" s="49"/>
      <c r="H732" s="49"/>
      <c r="I732" s="49"/>
    </row>
    <row r="733" ht="15.75" customHeight="1" spans="1:9">
      <c r="A733" s="47" t="s">
        <v>1088</v>
      </c>
      <c r="B733" s="57" t="s">
        <v>1004</v>
      </c>
      <c r="C733" s="60">
        <v>13</v>
      </c>
      <c r="D733" s="60">
        <v>13</v>
      </c>
      <c r="E733" s="38" t="s">
        <v>1090</v>
      </c>
      <c r="F733" s="49"/>
      <c r="G733" s="49"/>
      <c r="H733" s="49"/>
      <c r="I733" s="49"/>
    </row>
    <row r="734" ht="15.75" customHeight="1" spans="1:9">
      <c r="A734" s="47" t="s">
        <v>1088</v>
      </c>
      <c r="B734" s="57" t="s">
        <v>1004</v>
      </c>
      <c r="C734" s="60">
        <v>13</v>
      </c>
      <c r="D734" s="60" t="s">
        <v>1249</v>
      </c>
      <c r="E734" s="38" t="s">
        <v>1090</v>
      </c>
      <c r="F734" s="49"/>
      <c r="G734" s="49"/>
      <c r="H734" s="49"/>
      <c r="I734" s="49"/>
    </row>
    <row r="735" ht="15.75" customHeight="1" spans="1:9">
      <c r="A735" s="47" t="s">
        <v>1088</v>
      </c>
      <c r="B735" s="57" t="s">
        <v>1004</v>
      </c>
      <c r="C735" s="60">
        <v>13</v>
      </c>
      <c r="D735" s="60" t="s">
        <v>1249</v>
      </c>
      <c r="E735" s="38" t="s">
        <v>1090</v>
      </c>
      <c r="F735" s="49"/>
      <c r="G735" s="49"/>
      <c r="H735" s="49"/>
      <c r="I735" s="49"/>
    </row>
    <row r="736" ht="15.75" customHeight="1" spans="1:9">
      <c r="A736" s="47" t="s">
        <v>1088</v>
      </c>
      <c r="B736" s="57" t="s">
        <v>1004</v>
      </c>
      <c r="C736" s="60">
        <v>13</v>
      </c>
      <c r="D736" s="60" t="s">
        <v>1250</v>
      </c>
      <c r="E736" s="38" t="s">
        <v>1090</v>
      </c>
      <c r="F736" s="49"/>
      <c r="G736" s="49"/>
      <c r="H736" s="49"/>
      <c r="I736" s="49"/>
    </row>
    <row r="737" ht="15.75" customHeight="1" spans="1:9">
      <c r="A737" s="47" t="s">
        <v>1088</v>
      </c>
      <c r="B737" s="57" t="s">
        <v>1004</v>
      </c>
      <c r="C737" s="60">
        <v>13</v>
      </c>
      <c r="D737" s="60" t="s">
        <v>1251</v>
      </c>
      <c r="E737" s="38" t="s">
        <v>1090</v>
      </c>
      <c r="F737" s="49"/>
      <c r="G737" s="49"/>
      <c r="H737" s="49"/>
      <c r="I737" s="49"/>
    </row>
    <row r="738" ht="15.75" customHeight="1" spans="1:9">
      <c r="A738" s="47" t="s">
        <v>1088</v>
      </c>
      <c r="B738" s="57" t="s">
        <v>1004</v>
      </c>
      <c r="C738" s="60">
        <v>13</v>
      </c>
      <c r="D738" s="60" t="s">
        <v>1252</v>
      </c>
      <c r="E738" s="38" t="s">
        <v>1090</v>
      </c>
      <c r="F738" s="49"/>
      <c r="G738" s="49"/>
      <c r="H738" s="49"/>
      <c r="I738" s="49"/>
    </row>
    <row r="739" ht="15.75" customHeight="1" spans="1:9">
      <c r="A739" s="47" t="s">
        <v>1088</v>
      </c>
      <c r="B739" s="57" t="s">
        <v>1004</v>
      </c>
      <c r="C739" s="60">
        <v>13</v>
      </c>
      <c r="D739" s="60" t="s">
        <v>1253</v>
      </c>
      <c r="E739" s="38" t="s">
        <v>1090</v>
      </c>
      <c r="F739" s="49"/>
      <c r="G739" s="49"/>
      <c r="H739" s="49"/>
      <c r="I739" s="49"/>
    </row>
    <row r="740" ht="15.75" customHeight="1" spans="1:9">
      <c r="A740" s="47" t="s">
        <v>1088</v>
      </c>
      <c r="B740" s="57" t="s">
        <v>1004</v>
      </c>
      <c r="C740" s="60">
        <v>13</v>
      </c>
      <c r="D740" s="64" t="s">
        <v>1254</v>
      </c>
      <c r="E740" s="38" t="s">
        <v>1090</v>
      </c>
      <c r="F740" s="49"/>
      <c r="G740" s="49"/>
      <c r="H740" s="49"/>
      <c r="I740" s="49"/>
    </row>
    <row r="741" ht="15.75" customHeight="1" spans="1:9">
      <c r="A741" s="47" t="s">
        <v>1088</v>
      </c>
      <c r="B741" s="57" t="s">
        <v>1004</v>
      </c>
      <c r="C741" s="60">
        <v>13</v>
      </c>
      <c r="D741" s="60" t="s">
        <v>1255</v>
      </c>
      <c r="E741" s="38" t="s">
        <v>1090</v>
      </c>
      <c r="F741" s="49"/>
      <c r="G741" s="49"/>
      <c r="H741" s="49"/>
      <c r="I741" s="49"/>
    </row>
    <row r="742" ht="15.75" customHeight="1" spans="1:9">
      <c r="A742" s="47" t="s">
        <v>1088</v>
      </c>
      <c r="B742" s="57" t="s">
        <v>1004</v>
      </c>
      <c r="C742" s="60">
        <v>13</v>
      </c>
      <c r="D742" s="60" t="s">
        <v>1256</v>
      </c>
      <c r="E742" s="38" t="s">
        <v>1090</v>
      </c>
      <c r="F742" s="49"/>
      <c r="G742" s="49"/>
      <c r="H742" s="49"/>
      <c r="I742" s="49"/>
    </row>
    <row r="743" ht="15.75" customHeight="1" spans="1:9">
      <c r="A743" s="47" t="s">
        <v>1088</v>
      </c>
      <c r="B743" s="57" t="s">
        <v>1004</v>
      </c>
      <c r="C743" s="60">
        <v>13</v>
      </c>
      <c r="D743" s="60" t="s">
        <v>1257</v>
      </c>
      <c r="E743" s="38" t="s">
        <v>1090</v>
      </c>
      <c r="F743" s="49"/>
      <c r="G743" s="49"/>
      <c r="H743" s="49"/>
      <c r="I743" s="49"/>
    </row>
    <row r="744" ht="15.75" customHeight="1" spans="1:9">
      <c r="A744" s="47" t="s">
        <v>1088</v>
      </c>
      <c r="B744" s="57" t="s">
        <v>1004</v>
      </c>
      <c r="C744" s="60">
        <v>13</v>
      </c>
      <c r="D744" s="60" t="s">
        <v>1258</v>
      </c>
      <c r="E744" s="38" t="s">
        <v>1090</v>
      </c>
      <c r="F744" s="49"/>
      <c r="G744" s="49"/>
      <c r="H744" s="49"/>
      <c r="I744" s="49"/>
    </row>
    <row r="745" ht="15.75" customHeight="1" spans="1:9">
      <c r="A745" s="47" t="s">
        <v>1088</v>
      </c>
      <c r="B745" s="57" t="s">
        <v>1004</v>
      </c>
      <c r="C745" s="60">
        <v>21</v>
      </c>
      <c r="D745" s="60">
        <v>21</v>
      </c>
      <c r="E745" s="38" t="s">
        <v>1090</v>
      </c>
      <c r="F745" s="49"/>
      <c r="G745" s="49"/>
      <c r="H745" s="49"/>
      <c r="I745" s="49"/>
    </row>
    <row r="746" ht="15.75" customHeight="1" spans="1:9">
      <c r="A746" s="47" t="s">
        <v>1088</v>
      </c>
      <c r="B746" s="57" t="s">
        <v>1004</v>
      </c>
      <c r="C746" s="60">
        <v>21</v>
      </c>
      <c r="D746" s="60" t="s">
        <v>1259</v>
      </c>
      <c r="E746" s="38" t="s">
        <v>1090</v>
      </c>
      <c r="F746" s="49"/>
      <c r="G746" s="49"/>
      <c r="H746" s="49"/>
      <c r="I746" s="49"/>
    </row>
    <row r="747" ht="15.75" customHeight="1" spans="1:9">
      <c r="A747" s="47" t="s">
        <v>1088</v>
      </c>
      <c r="B747" s="57" t="s">
        <v>1004</v>
      </c>
      <c r="C747" s="60">
        <v>21</v>
      </c>
      <c r="D747" s="60" t="s">
        <v>1260</v>
      </c>
      <c r="E747" s="38" t="s">
        <v>1090</v>
      </c>
      <c r="F747" s="49"/>
      <c r="G747" s="49"/>
      <c r="H747" s="49"/>
      <c r="I747" s="49"/>
    </row>
    <row r="748" ht="15.75" customHeight="1" spans="1:9">
      <c r="A748" s="47" t="s">
        <v>1088</v>
      </c>
      <c r="B748" s="57" t="s">
        <v>1004</v>
      </c>
      <c r="C748" s="60">
        <v>21</v>
      </c>
      <c r="D748" s="60" t="s">
        <v>1261</v>
      </c>
      <c r="E748" s="38" t="s">
        <v>1090</v>
      </c>
      <c r="F748" s="49"/>
      <c r="G748" s="49"/>
      <c r="H748" s="49"/>
      <c r="I748" s="49"/>
    </row>
    <row r="749" ht="15.75" customHeight="1" spans="1:9">
      <c r="A749" s="47" t="s">
        <v>1088</v>
      </c>
      <c r="B749" s="57" t="s">
        <v>1004</v>
      </c>
      <c r="C749" s="60">
        <v>21</v>
      </c>
      <c r="D749" s="60" t="s">
        <v>1262</v>
      </c>
      <c r="E749" s="38" t="s">
        <v>1090</v>
      </c>
      <c r="F749" s="49"/>
      <c r="G749" s="49"/>
      <c r="H749" s="49"/>
      <c r="I749" s="49"/>
    </row>
    <row r="750" ht="15.75" customHeight="1" spans="1:9">
      <c r="A750" s="47" t="s">
        <v>1088</v>
      </c>
      <c r="B750" s="57" t="s">
        <v>1004</v>
      </c>
      <c r="C750" s="60">
        <v>21</v>
      </c>
      <c r="D750" s="60" t="s">
        <v>1263</v>
      </c>
      <c r="E750" s="38" t="s">
        <v>1090</v>
      </c>
      <c r="F750" s="49"/>
      <c r="G750" s="49"/>
      <c r="H750" s="49"/>
      <c r="I750" s="49"/>
    </row>
    <row r="751" ht="15.75" customHeight="1" spans="1:9">
      <c r="A751" s="47" t="s">
        <v>1088</v>
      </c>
      <c r="B751" s="57" t="s">
        <v>1004</v>
      </c>
      <c r="C751" s="60">
        <v>21</v>
      </c>
      <c r="D751" s="60" t="s">
        <v>1264</v>
      </c>
      <c r="E751" s="38" t="s">
        <v>1090</v>
      </c>
      <c r="F751" s="49"/>
      <c r="G751" s="49"/>
      <c r="H751" s="49"/>
      <c r="I751" s="49"/>
    </row>
    <row r="752" ht="15.75" customHeight="1" spans="1:9">
      <c r="A752" s="47" t="s">
        <v>1088</v>
      </c>
      <c r="B752" s="57" t="s">
        <v>1004</v>
      </c>
      <c r="C752" s="60">
        <v>21</v>
      </c>
      <c r="D752" s="60" t="s">
        <v>1265</v>
      </c>
      <c r="E752" s="38" t="s">
        <v>1090</v>
      </c>
      <c r="F752" s="49"/>
      <c r="G752" s="49"/>
      <c r="H752" s="49"/>
      <c r="I752" s="49"/>
    </row>
    <row r="753" ht="15.75" customHeight="1" spans="1:9">
      <c r="A753" s="47" t="s">
        <v>1088</v>
      </c>
      <c r="B753" s="57" t="s">
        <v>1004</v>
      </c>
      <c r="C753" s="60">
        <v>21</v>
      </c>
      <c r="D753" s="60" t="s">
        <v>1266</v>
      </c>
      <c r="E753" s="38" t="s">
        <v>1090</v>
      </c>
      <c r="F753" s="49"/>
      <c r="G753" s="49"/>
      <c r="H753" s="49"/>
      <c r="I753" s="49"/>
    </row>
    <row r="754" ht="15.75" customHeight="1" spans="1:9">
      <c r="A754" s="47" t="s">
        <v>1088</v>
      </c>
      <c r="B754" s="57" t="s">
        <v>1004</v>
      </c>
      <c r="C754" s="60">
        <v>21</v>
      </c>
      <c r="D754" s="60" t="s">
        <v>1267</v>
      </c>
      <c r="E754" s="38" t="s">
        <v>1090</v>
      </c>
      <c r="F754" s="49"/>
      <c r="G754" s="49"/>
      <c r="H754" s="49"/>
      <c r="I754" s="49"/>
    </row>
    <row r="755" ht="15.75" customHeight="1" spans="1:9">
      <c r="A755" s="47" t="s">
        <v>1088</v>
      </c>
      <c r="B755" s="57" t="s">
        <v>1004</v>
      </c>
      <c r="C755" s="60">
        <v>21</v>
      </c>
      <c r="D755" s="60" t="s">
        <v>1268</v>
      </c>
      <c r="E755" s="38" t="s">
        <v>1090</v>
      </c>
      <c r="F755" s="49"/>
      <c r="G755" s="49"/>
      <c r="H755" s="49"/>
      <c r="I755" s="49"/>
    </row>
    <row r="756" ht="15.75" customHeight="1" spans="1:9">
      <c r="A756" s="47" t="s">
        <v>1088</v>
      </c>
      <c r="B756" s="57" t="s">
        <v>1004</v>
      </c>
      <c r="C756" s="60">
        <v>21</v>
      </c>
      <c r="D756" s="60" t="s">
        <v>1269</v>
      </c>
      <c r="E756" s="38" t="s">
        <v>1090</v>
      </c>
      <c r="F756" s="49"/>
      <c r="G756" s="49"/>
      <c r="H756" s="49"/>
      <c r="I756" s="49"/>
    </row>
    <row r="757" ht="15.75" customHeight="1" spans="1:9">
      <c r="A757" s="47" t="s">
        <v>1088</v>
      </c>
      <c r="B757" s="57" t="s">
        <v>1004</v>
      </c>
      <c r="C757" s="60">
        <v>21</v>
      </c>
      <c r="D757" s="60" t="s">
        <v>1270</v>
      </c>
      <c r="E757" s="38" t="s">
        <v>1090</v>
      </c>
      <c r="F757" s="49"/>
      <c r="G757" s="49"/>
      <c r="H757" s="49"/>
      <c r="I757" s="49"/>
    </row>
    <row r="758" ht="15.75" customHeight="1" spans="1:9">
      <c r="A758" s="47" t="s">
        <v>1088</v>
      </c>
      <c r="B758" s="57" t="s">
        <v>1004</v>
      </c>
      <c r="C758" s="60">
        <v>21</v>
      </c>
      <c r="D758" s="60" t="s">
        <v>1271</v>
      </c>
      <c r="E758" s="38" t="s">
        <v>1090</v>
      </c>
      <c r="F758" s="49"/>
      <c r="G758" s="49"/>
      <c r="H758" s="49"/>
      <c r="I758" s="49"/>
    </row>
    <row r="759" ht="15.75" customHeight="1" spans="1:9">
      <c r="A759" s="47"/>
      <c r="B759" s="57" t="s">
        <v>1004</v>
      </c>
      <c r="C759" s="60">
        <v>34</v>
      </c>
      <c r="D759" s="60">
        <v>34</v>
      </c>
      <c r="E759" s="38"/>
      <c r="F759" s="49"/>
      <c r="G759" s="49"/>
      <c r="H759" s="49"/>
      <c r="I759" s="49"/>
    </row>
    <row r="760" ht="15.75" customHeight="1" spans="1:9">
      <c r="A760" s="47"/>
      <c r="B760" s="57" t="s">
        <v>1004</v>
      </c>
      <c r="C760" s="60">
        <v>34</v>
      </c>
      <c r="D760" s="60" t="s">
        <v>1272</v>
      </c>
      <c r="E760" s="38"/>
      <c r="F760" s="49"/>
      <c r="G760" s="49"/>
      <c r="H760" s="49"/>
      <c r="I760" s="49"/>
    </row>
    <row r="761" ht="15.75" customHeight="1" spans="1:9">
      <c r="A761" s="38" t="s">
        <v>1088</v>
      </c>
      <c r="B761" s="57" t="s">
        <v>1004</v>
      </c>
      <c r="C761" s="60">
        <v>34</v>
      </c>
      <c r="D761" s="60" t="s">
        <v>1273</v>
      </c>
      <c r="E761" s="38" t="s">
        <v>1090</v>
      </c>
      <c r="F761" s="49"/>
      <c r="G761" s="49"/>
      <c r="H761" s="49"/>
      <c r="I761" s="49"/>
    </row>
    <row r="762" ht="15.75" customHeight="1" spans="1:9">
      <c r="A762" s="38" t="s">
        <v>1088</v>
      </c>
      <c r="B762" s="57" t="s">
        <v>1004</v>
      </c>
      <c r="C762" s="60">
        <v>34</v>
      </c>
      <c r="D762" s="60" t="s">
        <v>1274</v>
      </c>
      <c r="E762" s="38" t="s">
        <v>1090</v>
      </c>
      <c r="F762" s="49"/>
      <c r="G762" s="49"/>
      <c r="H762" s="49"/>
      <c r="I762" s="49"/>
    </row>
    <row r="763" ht="15.75" customHeight="1" spans="1:9">
      <c r="A763" s="38" t="s">
        <v>1088</v>
      </c>
      <c r="B763" s="57" t="s">
        <v>1004</v>
      </c>
      <c r="C763" s="60">
        <v>34</v>
      </c>
      <c r="D763" s="60" t="s">
        <v>1275</v>
      </c>
      <c r="E763" s="38" t="s">
        <v>1090</v>
      </c>
      <c r="F763" s="49"/>
      <c r="G763" s="49"/>
      <c r="H763" s="49"/>
      <c r="I763" s="49"/>
    </row>
    <row r="764" ht="15.75" customHeight="1" spans="1:9">
      <c r="A764" s="38" t="s">
        <v>1088</v>
      </c>
      <c r="B764" s="57" t="s">
        <v>1004</v>
      </c>
      <c r="C764" s="60">
        <v>34</v>
      </c>
      <c r="D764" s="60" t="s">
        <v>1276</v>
      </c>
      <c r="E764" s="38" t="s">
        <v>1090</v>
      </c>
      <c r="F764" s="49"/>
      <c r="G764" s="49"/>
      <c r="H764" s="49"/>
      <c r="I764" s="49"/>
    </row>
    <row r="765" ht="15.75" customHeight="1" spans="1:9">
      <c r="A765" s="38" t="s">
        <v>1088</v>
      </c>
      <c r="B765" s="57" t="s">
        <v>1004</v>
      </c>
      <c r="C765" s="60">
        <v>34</v>
      </c>
      <c r="D765" s="60" t="s">
        <v>1277</v>
      </c>
      <c r="E765" s="38" t="s">
        <v>1090</v>
      </c>
      <c r="F765" s="49"/>
      <c r="G765" s="49"/>
      <c r="H765" s="49"/>
      <c r="I765" s="49"/>
    </row>
    <row r="766" ht="15.75" customHeight="1" spans="1:9">
      <c r="A766" s="38" t="s">
        <v>1088</v>
      </c>
      <c r="B766" s="57" t="s">
        <v>1004</v>
      </c>
      <c r="C766" s="60">
        <v>34</v>
      </c>
      <c r="D766" s="60" t="s">
        <v>1278</v>
      </c>
      <c r="E766" s="38" t="s">
        <v>1090</v>
      </c>
      <c r="F766" s="49"/>
      <c r="G766" s="49"/>
      <c r="H766" s="49"/>
      <c r="I766" s="49"/>
    </row>
    <row r="767" ht="15.75" customHeight="1" spans="1:9">
      <c r="A767" s="38" t="s">
        <v>1088</v>
      </c>
      <c r="B767" s="57" t="s">
        <v>1004</v>
      </c>
      <c r="C767" s="60">
        <v>34</v>
      </c>
      <c r="D767" s="60" t="s">
        <v>1279</v>
      </c>
      <c r="E767" s="38" t="s">
        <v>1090</v>
      </c>
      <c r="F767" s="49"/>
      <c r="G767" s="49"/>
      <c r="H767" s="49"/>
      <c r="I767" s="49"/>
    </row>
    <row r="768" ht="15.75" customHeight="1" spans="1:9">
      <c r="A768" s="38" t="s">
        <v>1088</v>
      </c>
      <c r="B768" s="57" t="s">
        <v>1004</v>
      </c>
      <c r="C768" s="60">
        <v>34</v>
      </c>
      <c r="D768" s="64" t="s">
        <v>1280</v>
      </c>
      <c r="E768" s="38" t="s">
        <v>1090</v>
      </c>
      <c r="F768" s="49"/>
      <c r="G768" s="49"/>
      <c r="H768" s="49"/>
      <c r="I768" s="49"/>
    </row>
    <row r="769" ht="15.75" customHeight="1" spans="1:9">
      <c r="A769" s="38" t="s">
        <v>1088</v>
      </c>
      <c r="B769" s="57" t="s">
        <v>1004</v>
      </c>
      <c r="C769" s="60">
        <v>34</v>
      </c>
      <c r="D769" s="60" t="s">
        <v>1281</v>
      </c>
      <c r="E769" s="52">
        <v>44594</v>
      </c>
      <c r="F769" s="49"/>
      <c r="G769" s="49"/>
      <c r="H769" s="49"/>
      <c r="I769" s="49"/>
    </row>
    <row r="770" ht="15.75" customHeight="1" spans="1:9">
      <c r="A770" s="38"/>
      <c r="B770" s="57" t="s">
        <v>1004</v>
      </c>
      <c r="C770" s="60">
        <v>34</v>
      </c>
      <c r="D770" s="60" t="s">
        <v>1282</v>
      </c>
      <c r="E770" s="52"/>
      <c r="F770" s="49"/>
      <c r="G770" s="49"/>
      <c r="H770" s="49"/>
      <c r="I770" s="49"/>
    </row>
    <row r="771" ht="15.75" customHeight="1" spans="1:9">
      <c r="A771" s="38"/>
      <c r="B771" s="57" t="s">
        <v>1004</v>
      </c>
      <c r="C771" s="60">
        <v>34</v>
      </c>
      <c r="D771" s="60" t="s">
        <v>1283</v>
      </c>
      <c r="E771" s="52"/>
      <c r="F771" s="49"/>
      <c r="G771" s="49"/>
      <c r="H771" s="49"/>
      <c r="I771" s="49"/>
    </row>
    <row r="772" ht="15.75" customHeight="1" spans="1:9">
      <c r="A772" s="38" t="s">
        <v>1088</v>
      </c>
      <c r="B772" s="57" t="s">
        <v>1004</v>
      </c>
      <c r="C772" s="60">
        <v>34</v>
      </c>
      <c r="D772" s="60" t="s">
        <v>1284</v>
      </c>
      <c r="E772" s="38" t="s">
        <v>1090</v>
      </c>
      <c r="F772" s="49"/>
      <c r="G772" s="49"/>
      <c r="H772" s="49"/>
      <c r="I772" s="49"/>
    </row>
    <row r="773" ht="15.75" customHeight="1" spans="1:9">
      <c r="A773" s="38" t="s">
        <v>1088</v>
      </c>
      <c r="B773" s="57" t="s">
        <v>1004</v>
      </c>
      <c r="C773" s="60">
        <v>34</v>
      </c>
      <c r="D773" s="60" t="s">
        <v>1285</v>
      </c>
      <c r="E773" s="38" t="s">
        <v>1090</v>
      </c>
      <c r="F773" s="49"/>
      <c r="G773" s="49"/>
      <c r="H773" s="49"/>
      <c r="I773" s="49"/>
    </row>
    <row r="774" ht="15.75" customHeight="1" spans="1:9">
      <c r="A774" s="38" t="s">
        <v>1088</v>
      </c>
      <c r="B774" s="57" t="s">
        <v>1004</v>
      </c>
      <c r="C774" s="60">
        <v>3</v>
      </c>
      <c r="D774" s="60" t="s">
        <v>1286</v>
      </c>
      <c r="E774" s="38" t="s">
        <v>1090</v>
      </c>
      <c r="F774" s="49"/>
      <c r="G774" s="49"/>
      <c r="H774" s="49"/>
      <c r="I774" s="49"/>
    </row>
    <row r="775" ht="15.75" customHeight="1" spans="1:9">
      <c r="A775" s="38" t="s">
        <v>1088</v>
      </c>
      <c r="B775" s="57" t="s">
        <v>1004</v>
      </c>
      <c r="C775" s="60">
        <v>3</v>
      </c>
      <c r="D775" s="60" t="s">
        <v>1286</v>
      </c>
      <c r="E775" s="38" t="s">
        <v>1090</v>
      </c>
      <c r="F775" s="49"/>
      <c r="G775" s="49"/>
      <c r="H775" s="49"/>
      <c r="I775" s="49"/>
    </row>
    <row r="776" ht="15.75" customHeight="1" spans="1:9">
      <c r="A776" s="38" t="s">
        <v>1088</v>
      </c>
      <c r="B776" s="57" t="s">
        <v>1004</v>
      </c>
      <c r="C776" s="60">
        <v>3</v>
      </c>
      <c r="D776" s="60">
        <v>3</v>
      </c>
      <c r="E776" s="38" t="s">
        <v>1090</v>
      </c>
      <c r="F776" s="49"/>
      <c r="G776" s="49"/>
      <c r="H776" s="49"/>
      <c r="I776" s="49"/>
    </row>
    <row r="777" ht="15.75" customHeight="1" spans="1:9">
      <c r="A777" s="38" t="s">
        <v>1088</v>
      </c>
      <c r="B777" s="57" t="s">
        <v>1004</v>
      </c>
      <c r="C777" s="60">
        <v>3</v>
      </c>
      <c r="D777" s="60" t="s">
        <v>1287</v>
      </c>
      <c r="E777" s="38" t="s">
        <v>1090</v>
      </c>
      <c r="F777" s="49"/>
      <c r="G777" s="49"/>
      <c r="H777" s="49"/>
      <c r="I777" s="49"/>
    </row>
    <row r="778" ht="15.75" customHeight="1" spans="1:9">
      <c r="A778" s="38" t="s">
        <v>1088</v>
      </c>
      <c r="B778" s="57" t="s">
        <v>1004</v>
      </c>
      <c r="C778" s="60">
        <v>3</v>
      </c>
      <c r="D778" s="60">
        <v>3</v>
      </c>
      <c r="E778" s="38" t="s">
        <v>1090</v>
      </c>
      <c r="F778" s="49"/>
      <c r="G778" s="49"/>
      <c r="H778" s="49"/>
      <c r="I778" s="49"/>
    </row>
    <row r="779" ht="15.75" customHeight="1" spans="1:9">
      <c r="A779" s="38" t="s">
        <v>1088</v>
      </c>
      <c r="B779" s="57" t="s">
        <v>1004</v>
      </c>
      <c r="C779" s="60">
        <v>3</v>
      </c>
      <c r="D779" s="60" t="s">
        <v>1288</v>
      </c>
      <c r="E779" s="38" t="s">
        <v>1090</v>
      </c>
      <c r="F779" s="49"/>
      <c r="G779" s="49"/>
      <c r="H779" s="49"/>
      <c r="I779" s="49"/>
    </row>
    <row r="780" ht="15.75" customHeight="1" spans="1:9">
      <c r="A780" s="38" t="s">
        <v>1088</v>
      </c>
      <c r="B780" s="57" t="s">
        <v>1004</v>
      </c>
      <c r="C780" s="60">
        <v>3</v>
      </c>
      <c r="D780" s="60" t="s">
        <v>1289</v>
      </c>
      <c r="E780" s="38" t="s">
        <v>1090</v>
      </c>
      <c r="F780" s="49"/>
      <c r="G780" s="49"/>
      <c r="H780" s="49"/>
      <c r="I780" s="49"/>
    </row>
    <row r="781" ht="15.75" customHeight="1" spans="1:9">
      <c r="A781" s="38" t="s">
        <v>1088</v>
      </c>
      <c r="B781" s="57" t="s">
        <v>1004</v>
      </c>
      <c r="C781" s="60">
        <v>3</v>
      </c>
      <c r="D781" s="60" t="s">
        <v>1290</v>
      </c>
      <c r="E781" s="38" t="s">
        <v>1090</v>
      </c>
      <c r="F781" s="49"/>
      <c r="G781" s="49"/>
      <c r="H781" s="49"/>
      <c r="I781" s="49"/>
    </row>
    <row r="782" ht="15.75" customHeight="1" spans="1:9">
      <c r="A782" s="38"/>
      <c r="B782" s="57" t="s">
        <v>1004</v>
      </c>
      <c r="C782" s="60">
        <v>3</v>
      </c>
      <c r="D782" s="60" t="s">
        <v>1291</v>
      </c>
      <c r="E782" s="38"/>
      <c r="F782" s="49"/>
      <c r="G782" s="49"/>
      <c r="H782" s="49"/>
      <c r="I782" s="49"/>
    </row>
    <row r="783" ht="15.75" customHeight="1" spans="1:9">
      <c r="A783" s="38"/>
      <c r="B783" s="57" t="s">
        <v>1004</v>
      </c>
      <c r="C783" s="60">
        <v>3</v>
      </c>
      <c r="D783" s="60" t="s">
        <v>1291</v>
      </c>
      <c r="E783" s="38"/>
      <c r="F783" s="49"/>
      <c r="G783" s="49"/>
      <c r="H783" s="49"/>
      <c r="I783" s="49"/>
    </row>
    <row r="784" ht="15.75" customHeight="1" spans="1:9">
      <c r="A784" s="38" t="s">
        <v>1088</v>
      </c>
      <c r="B784" s="57" t="s">
        <v>1004</v>
      </c>
      <c r="C784" s="60">
        <v>3</v>
      </c>
      <c r="D784" s="60" t="s">
        <v>1291</v>
      </c>
      <c r="E784" s="38" t="s">
        <v>1090</v>
      </c>
      <c r="F784" s="49"/>
      <c r="G784" s="49"/>
      <c r="H784" s="49"/>
      <c r="I784" s="49"/>
    </row>
    <row r="785" ht="15.75" customHeight="1" spans="1:9">
      <c r="A785" s="38" t="s">
        <v>1088</v>
      </c>
      <c r="B785" s="57" t="s">
        <v>1004</v>
      </c>
      <c r="C785" s="60">
        <v>8</v>
      </c>
      <c r="D785" s="60" t="s">
        <v>1292</v>
      </c>
      <c r="E785" s="38" t="s">
        <v>1090</v>
      </c>
      <c r="F785" s="49"/>
      <c r="G785" s="49"/>
      <c r="H785" s="49"/>
      <c r="I785" s="49"/>
    </row>
    <row r="786" ht="15.75" customHeight="1" spans="1:9">
      <c r="A786" s="38" t="s">
        <v>1088</v>
      </c>
      <c r="B786" s="57" t="s">
        <v>1004</v>
      </c>
      <c r="C786" s="60">
        <v>8</v>
      </c>
      <c r="D786" s="60" t="s">
        <v>1292</v>
      </c>
      <c r="E786" s="38" t="s">
        <v>1090</v>
      </c>
      <c r="F786" s="49"/>
      <c r="G786" s="49"/>
      <c r="H786" s="49"/>
      <c r="I786" s="49"/>
    </row>
    <row r="787" ht="15.75" customHeight="1" spans="1:9">
      <c r="A787" s="38" t="s">
        <v>1088</v>
      </c>
      <c r="B787" s="57" t="s">
        <v>1004</v>
      </c>
      <c r="C787" s="60">
        <v>8</v>
      </c>
      <c r="D787" s="60">
        <v>8</v>
      </c>
      <c r="E787" s="52">
        <v>44594</v>
      </c>
      <c r="F787" s="49"/>
      <c r="G787" s="49"/>
      <c r="H787" s="49"/>
      <c r="I787" s="49"/>
    </row>
    <row r="788" ht="15.75" customHeight="1" spans="1:9">
      <c r="A788" s="38" t="s">
        <v>1088</v>
      </c>
      <c r="B788" s="57" t="s">
        <v>1004</v>
      </c>
      <c r="C788" s="60">
        <v>8</v>
      </c>
      <c r="D788" s="60">
        <v>8</v>
      </c>
      <c r="E788" s="52">
        <v>44594</v>
      </c>
      <c r="F788" s="49"/>
      <c r="G788" s="49"/>
      <c r="H788" s="49"/>
      <c r="I788" s="49"/>
    </row>
    <row r="789" ht="15.75" customHeight="1" spans="1:9">
      <c r="A789" s="38" t="s">
        <v>1088</v>
      </c>
      <c r="B789" s="57" t="s">
        <v>1004</v>
      </c>
      <c r="C789" s="60">
        <v>8</v>
      </c>
      <c r="D789" s="60" t="s">
        <v>1293</v>
      </c>
      <c r="E789" s="52">
        <v>44594</v>
      </c>
      <c r="F789" s="49"/>
      <c r="G789" s="49"/>
      <c r="H789" s="49"/>
      <c r="I789" s="49"/>
    </row>
    <row r="790" ht="15.75" customHeight="1" spans="1:9">
      <c r="A790" s="38" t="s">
        <v>1088</v>
      </c>
      <c r="B790" s="57" t="s">
        <v>1004</v>
      </c>
      <c r="C790" s="60">
        <v>8</v>
      </c>
      <c r="D790" s="60" t="s">
        <v>1294</v>
      </c>
      <c r="E790" s="52">
        <v>44594</v>
      </c>
      <c r="F790" s="49"/>
      <c r="G790" s="49"/>
      <c r="H790" s="49"/>
      <c r="I790" s="49"/>
    </row>
    <row r="791" ht="15.75" customHeight="1" spans="1:9">
      <c r="A791" s="38" t="s">
        <v>1088</v>
      </c>
      <c r="B791" s="57" t="s">
        <v>1004</v>
      </c>
      <c r="C791" s="60">
        <v>8</v>
      </c>
      <c r="D791" s="60" t="s">
        <v>1295</v>
      </c>
      <c r="E791" s="52">
        <v>44594</v>
      </c>
      <c r="F791" s="49"/>
      <c r="G791" s="49"/>
      <c r="H791" s="49"/>
      <c r="I791" s="49"/>
    </row>
    <row r="792" ht="15.75" customHeight="1" spans="1:9">
      <c r="A792" s="38" t="s">
        <v>1088</v>
      </c>
      <c r="B792" s="57" t="s">
        <v>1004</v>
      </c>
      <c r="C792" s="60">
        <v>8</v>
      </c>
      <c r="D792" s="60" t="s">
        <v>1296</v>
      </c>
      <c r="E792" s="52">
        <v>44594</v>
      </c>
      <c r="F792" s="49"/>
      <c r="G792" s="49"/>
      <c r="H792" s="49"/>
      <c r="I792" s="49"/>
    </row>
    <row r="793" ht="15.75" customHeight="1" spans="1:9">
      <c r="A793" s="38"/>
      <c r="B793" s="57" t="s">
        <v>1004</v>
      </c>
      <c r="C793" s="60">
        <v>8</v>
      </c>
      <c r="D793" s="60" t="s">
        <v>1297</v>
      </c>
      <c r="E793" s="52"/>
      <c r="F793" s="49"/>
      <c r="G793" s="49"/>
      <c r="H793" s="49"/>
      <c r="I793" s="49"/>
    </row>
    <row r="794" ht="15.75" customHeight="1" spans="1:9">
      <c r="A794" s="38"/>
      <c r="B794" s="57" t="s">
        <v>1004</v>
      </c>
      <c r="C794" s="60">
        <v>8</v>
      </c>
      <c r="D794" s="60" t="s">
        <v>1298</v>
      </c>
      <c r="E794" s="52"/>
      <c r="F794" s="49"/>
      <c r="G794" s="49"/>
      <c r="H794" s="49"/>
      <c r="I794" s="49"/>
    </row>
    <row r="795" ht="15.75" customHeight="1" spans="1:9">
      <c r="A795" s="38" t="s">
        <v>1088</v>
      </c>
      <c r="B795" s="57" t="s">
        <v>1004</v>
      </c>
      <c r="C795" s="60">
        <v>8</v>
      </c>
      <c r="D795" s="60" t="s">
        <v>1299</v>
      </c>
      <c r="E795" s="38" t="s">
        <v>1090</v>
      </c>
      <c r="F795" s="49"/>
      <c r="G795" s="49"/>
      <c r="H795" s="49"/>
      <c r="I795" s="49"/>
    </row>
    <row r="796" ht="15.75" customHeight="1" spans="1:9">
      <c r="A796" s="38" t="s">
        <v>1088</v>
      </c>
      <c r="B796" s="57" t="s">
        <v>1004</v>
      </c>
      <c r="C796" s="60">
        <v>8</v>
      </c>
      <c r="D796" s="60" t="s">
        <v>1300</v>
      </c>
      <c r="E796" s="38" t="s">
        <v>1090</v>
      </c>
      <c r="F796" s="49"/>
      <c r="G796" s="49"/>
      <c r="H796" s="49"/>
      <c r="I796" s="49"/>
    </row>
    <row r="797" ht="15.75" customHeight="1" spans="1:9">
      <c r="A797" s="38" t="s">
        <v>1088</v>
      </c>
      <c r="B797" s="57" t="s">
        <v>1004</v>
      </c>
      <c r="C797" s="60">
        <v>8</v>
      </c>
      <c r="D797" s="60" t="s">
        <v>1301</v>
      </c>
      <c r="E797" s="38" t="s">
        <v>1090</v>
      </c>
      <c r="F797" s="49"/>
      <c r="G797" s="49"/>
      <c r="H797" s="49"/>
      <c r="I797" s="49"/>
    </row>
    <row r="798" ht="15.75" customHeight="1" spans="1:9">
      <c r="A798" s="38" t="s">
        <v>1088</v>
      </c>
      <c r="B798" s="57" t="s">
        <v>1004</v>
      </c>
      <c r="C798" s="60">
        <v>8</v>
      </c>
      <c r="D798" s="60" t="s">
        <v>1302</v>
      </c>
      <c r="E798" s="38" t="s">
        <v>1090</v>
      </c>
      <c r="F798" s="49"/>
      <c r="G798" s="49"/>
      <c r="H798" s="49"/>
      <c r="I798" s="49"/>
    </row>
    <row r="799" ht="15.75" customHeight="1" spans="1:9">
      <c r="A799" s="38" t="s">
        <v>1088</v>
      </c>
      <c r="B799" s="57" t="s">
        <v>1004</v>
      </c>
      <c r="C799" s="60">
        <v>11</v>
      </c>
      <c r="D799" s="60">
        <v>11</v>
      </c>
      <c r="E799" s="38" t="s">
        <v>1090</v>
      </c>
      <c r="F799" s="49"/>
      <c r="G799" s="49"/>
      <c r="H799" s="49"/>
      <c r="I799" s="49"/>
    </row>
    <row r="800" ht="15.75" customHeight="1" spans="1:9">
      <c r="A800" s="38" t="s">
        <v>1088</v>
      </c>
      <c r="B800" s="57" t="s">
        <v>1004</v>
      </c>
      <c r="C800" s="60">
        <v>11</v>
      </c>
      <c r="D800" s="60" t="s">
        <v>1303</v>
      </c>
      <c r="E800" s="38" t="s">
        <v>1090</v>
      </c>
      <c r="F800" s="49"/>
      <c r="G800" s="49"/>
      <c r="H800" s="49"/>
      <c r="I800" s="49"/>
    </row>
    <row r="801" ht="15.75" customHeight="1" spans="1:9">
      <c r="A801" s="38" t="s">
        <v>1088</v>
      </c>
      <c r="B801" s="57" t="s">
        <v>1004</v>
      </c>
      <c r="C801" s="60">
        <v>11</v>
      </c>
      <c r="D801" s="60" t="s">
        <v>1303</v>
      </c>
      <c r="E801" s="38" t="s">
        <v>1090</v>
      </c>
      <c r="F801" s="49"/>
      <c r="G801" s="49"/>
      <c r="H801" s="49"/>
      <c r="I801" s="49"/>
    </row>
    <row r="802" ht="15.75" customHeight="1" spans="1:9">
      <c r="A802" s="38" t="s">
        <v>1088</v>
      </c>
      <c r="B802" s="57" t="s">
        <v>1004</v>
      </c>
      <c r="C802" s="60">
        <v>11</v>
      </c>
      <c r="D802" s="60" t="s">
        <v>1304</v>
      </c>
      <c r="E802" s="38" t="s">
        <v>1090</v>
      </c>
      <c r="F802" s="49"/>
      <c r="G802" s="49"/>
      <c r="H802" s="49"/>
      <c r="I802" s="49"/>
    </row>
    <row r="803" ht="15.75" customHeight="1" spans="1:9">
      <c r="A803" s="38" t="s">
        <v>1088</v>
      </c>
      <c r="B803" s="57" t="s">
        <v>1004</v>
      </c>
      <c r="C803" s="60">
        <v>11</v>
      </c>
      <c r="D803" s="60" t="s">
        <v>1305</v>
      </c>
      <c r="E803" s="38" t="s">
        <v>1090</v>
      </c>
      <c r="F803" s="49"/>
      <c r="G803" s="49"/>
      <c r="H803" s="49"/>
      <c r="I803" s="49"/>
    </row>
    <row r="804" ht="15.75" customHeight="1" spans="1:9">
      <c r="A804" s="38" t="s">
        <v>1088</v>
      </c>
      <c r="B804" s="57" t="s">
        <v>1004</v>
      </c>
      <c r="C804" s="60">
        <v>11</v>
      </c>
      <c r="D804" s="60" t="s">
        <v>1306</v>
      </c>
      <c r="E804" s="38" t="s">
        <v>1090</v>
      </c>
      <c r="F804" s="49"/>
      <c r="G804" s="49"/>
      <c r="H804" s="49"/>
      <c r="I804" s="49"/>
    </row>
    <row r="805" ht="15.75" customHeight="1" spans="1:9">
      <c r="A805" s="38" t="s">
        <v>1088</v>
      </c>
      <c r="B805" s="57" t="s">
        <v>1004</v>
      </c>
      <c r="C805" s="60">
        <v>11</v>
      </c>
      <c r="D805" s="60" t="s">
        <v>1307</v>
      </c>
      <c r="E805" s="38" t="s">
        <v>1090</v>
      </c>
      <c r="F805" s="49"/>
      <c r="G805" s="49"/>
      <c r="H805" s="49"/>
      <c r="I805" s="49"/>
    </row>
    <row r="806" ht="15.75" customHeight="1" spans="1:9">
      <c r="A806" s="38" t="s">
        <v>1088</v>
      </c>
      <c r="B806" s="57" t="s">
        <v>1004</v>
      </c>
      <c r="C806" s="60">
        <v>11</v>
      </c>
      <c r="D806" s="64" t="s">
        <v>1308</v>
      </c>
      <c r="E806" s="38" t="s">
        <v>1090</v>
      </c>
      <c r="F806" s="49"/>
      <c r="G806" s="49"/>
      <c r="H806" s="49"/>
      <c r="I806" s="49"/>
    </row>
    <row r="807" ht="15.75" customHeight="1" spans="1:9">
      <c r="A807" s="38" t="s">
        <v>1088</v>
      </c>
      <c r="B807" s="57" t="s">
        <v>1004</v>
      </c>
      <c r="C807" s="60">
        <v>11</v>
      </c>
      <c r="D807" s="60" t="s">
        <v>1309</v>
      </c>
      <c r="E807" s="38" t="s">
        <v>1090</v>
      </c>
      <c r="F807" s="49"/>
      <c r="G807" s="49"/>
      <c r="H807" s="49"/>
      <c r="I807" s="49"/>
    </row>
    <row r="808" ht="15.75" customHeight="1" spans="1:9">
      <c r="A808" s="38" t="s">
        <v>1088</v>
      </c>
      <c r="B808" s="57" t="s">
        <v>1004</v>
      </c>
      <c r="C808" s="60">
        <v>11</v>
      </c>
      <c r="D808" s="60" t="s">
        <v>1310</v>
      </c>
      <c r="E808" s="38" t="s">
        <v>1090</v>
      </c>
      <c r="F808" s="49"/>
      <c r="G808" s="49"/>
      <c r="H808" s="49"/>
      <c r="I808" s="49"/>
    </row>
    <row r="809" ht="15.75" customHeight="1" spans="1:9">
      <c r="A809" s="38" t="s">
        <v>1088</v>
      </c>
      <c r="B809" s="57" t="s">
        <v>1004</v>
      </c>
      <c r="C809" s="60">
        <v>11</v>
      </c>
      <c r="D809" s="60" t="s">
        <v>1311</v>
      </c>
      <c r="E809" s="38" t="s">
        <v>1090</v>
      </c>
      <c r="F809" s="49"/>
      <c r="G809" s="49"/>
      <c r="H809" s="49"/>
      <c r="I809" s="49"/>
    </row>
    <row r="810" ht="15.75" customHeight="1" spans="1:9">
      <c r="A810" s="38" t="s">
        <v>1088</v>
      </c>
      <c r="B810" s="57" t="s">
        <v>1004</v>
      </c>
      <c r="C810" s="60">
        <v>11</v>
      </c>
      <c r="D810" s="60" t="s">
        <v>1312</v>
      </c>
      <c r="E810" s="38" t="s">
        <v>1090</v>
      </c>
      <c r="F810" s="49"/>
      <c r="G810" s="49"/>
      <c r="H810" s="49"/>
      <c r="I810" s="49"/>
    </row>
    <row r="811" ht="15.75" customHeight="1" spans="1:9">
      <c r="A811" s="38" t="s">
        <v>1088</v>
      </c>
      <c r="B811" s="57" t="s">
        <v>1004</v>
      </c>
      <c r="C811" s="60">
        <v>11</v>
      </c>
      <c r="D811" s="60" t="s">
        <v>1313</v>
      </c>
      <c r="E811" s="38" t="s">
        <v>1090</v>
      </c>
      <c r="F811" s="49"/>
      <c r="G811" s="49"/>
      <c r="H811" s="49"/>
      <c r="I811" s="49"/>
    </row>
    <row r="812" ht="15.75" customHeight="1" spans="1:9">
      <c r="A812" s="38" t="s">
        <v>1088</v>
      </c>
      <c r="B812" s="57" t="s">
        <v>1004</v>
      </c>
      <c r="C812" s="60">
        <v>33</v>
      </c>
      <c r="D812" s="60">
        <v>33</v>
      </c>
      <c r="E812" s="38" t="s">
        <v>1090</v>
      </c>
      <c r="F812" s="49"/>
      <c r="G812" s="49"/>
      <c r="H812" s="49"/>
      <c r="I812" s="49"/>
    </row>
    <row r="813" ht="15.75" customHeight="1" spans="1:9">
      <c r="A813" s="38" t="s">
        <v>1088</v>
      </c>
      <c r="B813" s="57" t="s">
        <v>1004</v>
      </c>
      <c r="C813" s="60">
        <v>33</v>
      </c>
      <c r="D813" s="60" t="s">
        <v>1314</v>
      </c>
      <c r="E813" s="52">
        <v>44594</v>
      </c>
      <c r="F813" s="49"/>
      <c r="G813" s="49"/>
      <c r="H813" s="49"/>
      <c r="I813" s="49"/>
    </row>
    <row r="814" ht="15.75" customHeight="1" spans="1:9">
      <c r="A814" s="38" t="s">
        <v>1088</v>
      </c>
      <c r="B814" s="57" t="s">
        <v>1004</v>
      </c>
      <c r="C814" s="60">
        <v>33</v>
      </c>
      <c r="D814" s="60" t="s">
        <v>1314</v>
      </c>
      <c r="E814" s="52">
        <v>44594</v>
      </c>
      <c r="F814" s="49"/>
      <c r="G814" s="49"/>
      <c r="H814" s="49"/>
      <c r="I814" s="49"/>
    </row>
    <row r="815" ht="15.75" customHeight="1" spans="1:9">
      <c r="A815" s="38" t="s">
        <v>1088</v>
      </c>
      <c r="B815" s="57" t="s">
        <v>1004</v>
      </c>
      <c r="C815" s="60">
        <v>33</v>
      </c>
      <c r="D815" s="60" t="s">
        <v>1315</v>
      </c>
      <c r="E815" s="52">
        <v>44594</v>
      </c>
      <c r="F815" s="49"/>
      <c r="G815" s="49"/>
      <c r="H815" s="49"/>
      <c r="I815" s="49"/>
    </row>
    <row r="816" ht="15.75" customHeight="1" spans="1:9">
      <c r="A816" s="38" t="s">
        <v>1088</v>
      </c>
      <c r="B816" s="57" t="s">
        <v>1004</v>
      </c>
      <c r="C816" s="60">
        <v>33</v>
      </c>
      <c r="D816" s="60" t="s">
        <v>1316</v>
      </c>
      <c r="E816" s="52">
        <v>44594</v>
      </c>
      <c r="F816" s="49"/>
      <c r="G816" s="49"/>
      <c r="H816" s="49"/>
      <c r="I816" s="49"/>
    </row>
    <row r="817" ht="15.75" customHeight="1" spans="1:9">
      <c r="A817" s="38" t="s">
        <v>1088</v>
      </c>
      <c r="B817" s="57" t="s">
        <v>1004</v>
      </c>
      <c r="C817" s="60">
        <v>33</v>
      </c>
      <c r="D817" s="60" t="s">
        <v>1317</v>
      </c>
      <c r="E817" s="38" t="s">
        <v>1090</v>
      </c>
      <c r="F817" s="49"/>
      <c r="G817" s="49"/>
      <c r="H817" s="49"/>
      <c r="I817" s="49"/>
    </row>
    <row r="818" ht="15.75" customHeight="1" spans="1:9">
      <c r="A818" s="38" t="s">
        <v>1088</v>
      </c>
      <c r="B818" s="57" t="s">
        <v>1004</v>
      </c>
      <c r="C818" s="60">
        <v>33</v>
      </c>
      <c r="D818" s="60" t="s">
        <v>1318</v>
      </c>
      <c r="E818" s="52">
        <v>44594</v>
      </c>
      <c r="F818" s="49"/>
      <c r="G818" s="49"/>
      <c r="H818" s="49"/>
      <c r="I818" s="49"/>
    </row>
    <row r="819" ht="15.75" customHeight="1" spans="1:9">
      <c r="A819" s="38" t="s">
        <v>1088</v>
      </c>
      <c r="B819" s="57" t="s">
        <v>1004</v>
      </c>
      <c r="C819" s="60">
        <v>33</v>
      </c>
      <c r="D819" s="60" t="s">
        <v>1319</v>
      </c>
      <c r="E819" s="52">
        <v>44594</v>
      </c>
      <c r="F819" s="49"/>
      <c r="G819" s="49"/>
      <c r="H819" s="49"/>
      <c r="I819" s="49"/>
    </row>
    <row r="820" ht="15.75" customHeight="1" spans="1:9">
      <c r="A820" s="38" t="s">
        <v>1088</v>
      </c>
      <c r="B820" s="57" t="s">
        <v>1004</v>
      </c>
      <c r="C820" s="60">
        <v>33</v>
      </c>
      <c r="D820" s="64" t="s">
        <v>1320</v>
      </c>
      <c r="E820" s="52">
        <v>44594</v>
      </c>
      <c r="F820" s="49"/>
      <c r="G820" s="49"/>
      <c r="H820" s="49"/>
      <c r="I820" s="49"/>
    </row>
    <row r="821" ht="15.75" customHeight="1" spans="1:9">
      <c r="A821" s="38" t="s">
        <v>1088</v>
      </c>
      <c r="B821" s="57" t="s">
        <v>1004</v>
      </c>
      <c r="C821" s="60">
        <v>33</v>
      </c>
      <c r="D821" s="60" t="s">
        <v>1321</v>
      </c>
      <c r="E821" s="52">
        <v>44594</v>
      </c>
      <c r="F821" s="49"/>
      <c r="G821" s="49"/>
      <c r="H821" s="49"/>
      <c r="I821" s="49"/>
    </row>
    <row r="822" ht="15.75" customHeight="1" spans="1:9">
      <c r="A822" s="38"/>
      <c r="B822" s="57" t="s">
        <v>1004</v>
      </c>
      <c r="C822" s="60">
        <v>33</v>
      </c>
      <c r="D822" s="60" t="s">
        <v>1322</v>
      </c>
      <c r="E822" s="52"/>
      <c r="F822" s="49"/>
      <c r="G822" s="49"/>
      <c r="H822" s="49"/>
      <c r="I822" s="49"/>
    </row>
    <row r="823" ht="15.75" customHeight="1" spans="1:9">
      <c r="A823" s="38"/>
      <c r="B823" s="57" t="s">
        <v>1004</v>
      </c>
      <c r="C823" s="60">
        <v>33</v>
      </c>
      <c r="D823" s="60" t="s">
        <v>1323</v>
      </c>
      <c r="E823" s="52"/>
      <c r="F823" s="49"/>
      <c r="G823" s="49"/>
      <c r="H823" s="49"/>
      <c r="I823" s="49"/>
    </row>
    <row r="824" ht="15.75" customHeight="1" spans="1:9">
      <c r="A824" s="76"/>
      <c r="B824" s="57" t="s">
        <v>1004</v>
      </c>
      <c r="C824" s="60">
        <v>33</v>
      </c>
      <c r="D824" s="60" t="s">
        <v>1324</v>
      </c>
      <c r="E824" s="76" t="s">
        <v>1325</v>
      </c>
      <c r="F824" s="49"/>
      <c r="G824" s="49"/>
      <c r="H824" s="49"/>
      <c r="I824" s="49"/>
    </row>
    <row r="825" ht="15.75" customHeight="1" spans="1:9">
      <c r="A825" s="76"/>
      <c r="B825" s="57" t="s">
        <v>1004</v>
      </c>
      <c r="C825" s="60">
        <v>36</v>
      </c>
      <c r="D825" s="60">
        <v>36</v>
      </c>
      <c r="E825" s="76" t="s">
        <v>1325</v>
      </c>
      <c r="F825" s="49"/>
      <c r="G825" s="49"/>
      <c r="H825" s="49"/>
      <c r="I825" s="49"/>
    </row>
    <row r="826" ht="15.75" customHeight="1" spans="1:9">
      <c r="A826" s="76"/>
      <c r="B826" s="57" t="s">
        <v>1004</v>
      </c>
      <c r="C826" s="60">
        <v>36</v>
      </c>
      <c r="D826" s="60" t="s">
        <v>1326</v>
      </c>
      <c r="E826" s="76" t="s">
        <v>1325</v>
      </c>
      <c r="F826" s="49"/>
      <c r="G826" s="49"/>
      <c r="H826" s="49"/>
      <c r="I826" s="49"/>
    </row>
    <row r="827" ht="15.75" customHeight="1" spans="1:9">
      <c r="A827" s="76"/>
      <c r="B827" s="57" t="s">
        <v>1004</v>
      </c>
      <c r="C827" s="60">
        <v>36</v>
      </c>
      <c r="D827" s="60" t="s">
        <v>1326</v>
      </c>
      <c r="E827" s="76" t="s">
        <v>1325</v>
      </c>
      <c r="F827" s="49"/>
      <c r="G827" s="49"/>
      <c r="H827" s="49"/>
      <c r="I827" s="49"/>
    </row>
    <row r="828" ht="15.75" customHeight="1" spans="1:9">
      <c r="A828" s="76"/>
      <c r="B828" s="57" t="s">
        <v>1004</v>
      </c>
      <c r="C828" s="60">
        <v>36</v>
      </c>
      <c r="D828" s="60" t="s">
        <v>1327</v>
      </c>
      <c r="E828" s="76" t="s">
        <v>1325</v>
      </c>
      <c r="F828" s="49"/>
      <c r="G828" s="49"/>
      <c r="H828" s="49"/>
      <c r="I828" s="49"/>
    </row>
    <row r="829" ht="15.75" customHeight="1" spans="1:9">
      <c r="A829" s="76"/>
      <c r="B829" s="57" t="s">
        <v>1004</v>
      </c>
      <c r="C829" s="60">
        <v>36</v>
      </c>
      <c r="D829" s="60" t="s">
        <v>1328</v>
      </c>
      <c r="E829" s="76" t="s">
        <v>1325</v>
      </c>
      <c r="F829" s="49"/>
      <c r="G829" s="49"/>
      <c r="H829" s="49"/>
      <c r="I829" s="49"/>
    </row>
    <row r="830" ht="15.75" customHeight="1" spans="1:9">
      <c r="A830" s="76"/>
      <c r="B830" s="57" t="s">
        <v>1004</v>
      </c>
      <c r="C830" s="60">
        <v>36</v>
      </c>
      <c r="D830" s="60" t="s">
        <v>1329</v>
      </c>
      <c r="E830" s="77">
        <v>44594</v>
      </c>
      <c r="F830" s="49"/>
      <c r="G830" s="49"/>
      <c r="H830" s="49"/>
      <c r="I830" s="49"/>
    </row>
    <row r="831" ht="15.75" customHeight="1" spans="1:9">
      <c r="A831" s="76"/>
      <c r="B831" s="57" t="s">
        <v>1004</v>
      </c>
      <c r="C831" s="60">
        <v>36</v>
      </c>
      <c r="D831" s="60" t="s">
        <v>1330</v>
      </c>
      <c r="E831" s="77">
        <v>44594</v>
      </c>
      <c r="F831" s="49"/>
      <c r="G831" s="49"/>
      <c r="H831" s="49"/>
      <c r="I831" s="49"/>
    </row>
    <row r="832" ht="15.75" customHeight="1" spans="1:9">
      <c r="A832" s="76"/>
      <c r="B832" s="57" t="s">
        <v>1004</v>
      </c>
      <c r="C832" s="60">
        <v>36</v>
      </c>
      <c r="D832" s="64" t="s">
        <v>1331</v>
      </c>
      <c r="E832" s="77">
        <v>44594</v>
      </c>
      <c r="F832" s="49"/>
      <c r="G832" s="49"/>
      <c r="H832" s="49"/>
      <c r="I832" s="49"/>
    </row>
    <row r="833" ht="15.75" customHeight="1" spans="1:9">
      <c r="A833" s="76"/>
      <c r="B833" s="57" t="s">
        <v>1004</v>
      </c>
      <c r="C833" s="60">
        <v>36</v>
      </c>
      <c r="D833" s="60" t="s">
        <v>1332</v>
      </c>
      <c r="E833" s="77">
        <v>44594</v>
      </c>
      <c r="F833" s="49"/>
      <c r="G833" s="49"/>
      <c r="H833" s="49"/>
      <c r="I833" s="49"/>
    </row>
    <row r="834" ht="15.75" customHeight="1" spans="1:9">
      <c r="A834" s="76"/>
      <c r="B834" s="57" t="s">
        <v>1004</v>
      </c>
      <c r="C834" s="60">
        <v>36</v>
      </c>
      <c r="D834" s="60" t="s">
        <v>1333</v>
      </c>
      <c r="E834" s="77">
        <v>44594</v>
      </c>
      <c r="F834" s="49"/>
      <c r="G834" s="49"/>
      <c r="H834" s="49"/>
      <c r="I834" s="49"/>
    </row>
    <row r="835" ht="15.75" customHeight="1" spans="1:9">
      <c r="A835" s="76"/>
      <c r="B835" s="57" t="s">
        <v>1004</v>
      </c>
      <c r="C835" s="60">
        <v>36</v>
      </c>
      <c r="D835" s="60" t="s">
        <v>1334</v>
      </c>
      <c r="E835" s="77">
        <v>44594</v>
      </c>
      <c r="F835" s="49"/>
      <c r="G835" s="49"/>
      <c r="H835" s="49"/>
      <c r="I835" s="49"/>
    </row>
    <row r="836" ht="15.75" customHeight="1" spans="1:9">
      <c r="A836" s="76"/>
      <c r="B836" s="57" t="s">
        <v>1004</v>
      </c>
      <c r="C836" s="60">
        <v>36</v>
      </c>
      <c r="D836" s="60" t="s">
        <v>1335</v>
      </c>
      <c r="E836" s="77">
        <v>44594</v>
      </c>
      <c r="F836" s="49"/>
      <c r="G836" s="49"/>
      <c r="H836" s="49"/>
      <c r="I836" s="49"/>
    </row>
    <row r="837" ht="15.75" customHeight="1" spans="1:9">
      <c r="A837" s="76"/>
      <c r="B837" s="57" t="s">
        <v>1004</v>
      </c>
      <c r="C837" s="60">
        <v>36</v>
      </c>
      <c r="D837" s="60" t="s">
        <v>1336</v>
      </c>
      <c r="E837" s="77">
        <v>44594</v>
      </c>
      <c r="F837" s="49"/>
      <c r="G837" s="49"/>
      <c r="H837" s="49"/>
      <c r="I837" s="49"/>
    </row>
    <row r="838" ht="15.75" customHeight="1" spans="1:9">
      <c r="A838" s="76"/>
      <c r="B838" s="57" t="s">
        <v>1004</v>
      </c>
      <c r="C838" s="60">
        <v>16</v>
      </c>
      <c r="D838" s="60">
        <v>16</v>
      </c>
      <c r="E838" s="77">
        <v>44594</v>
      </c>
      <c r="F838" s="49"/>
      <c r="G838" s="49"/>
      <c r="H838" s="49"/>
      <c r="I838" s="49"/>
    </row>
    <row r="839" ht="15.75" customHeight="1" spans="1:9">
      <c r="A839" s="76"/>
      <c r="B839" s="57" t="s">
        <v>1004</v>
      </c>
      <c r="C839" s="60">
        <v>16</v>
      </c>
      <c r="D839" s="60" t="s">
        <v>1337</v>
      </c>
      <c r="E839" s="77">
        <v>44594</v>
      </c>
      <c r="F839" s="49"/>
      <c r="G839" s="49"/>
      <c r="H839" s="49"/>
      <c r="I839" s="49"/>
    </row>
    <row r="840" ht="15.75" customHeight="1" spans="1:9">
      <c r="A840" s="76"/>
      <c r="B840" s="57" t="s">
        <v>1004</v>
      </c>
      <c r="C840" s="60">
        <v>16</v>
      </c>
      <c r="D840" s="60" t="s">
        <v>1337</v>
      </c>
      <c r="E840" s="77">
        <v>44594</v>
      </c>
      <c r="F840" s="49"/>
      <c r="G840" s="49"/>
      <c r="H840" s="49"/>
      <c r="I840" s="49"/>
    </row>
    <row r="841" ht="15.75" customHeight="1" spans="1:9">
      <c r="A841" s="76"/>
      <c r="B841" s="57" t="s">
        <v>1004</v>
      </c>
      <c r="C841" s="60">
        <v>16</v>
      </c>
      <c r="D841" s="60" t="s">
        <v>1338</v>
      </c>
      <c r="E841" s="77">
        <v>44594</v>
      </c>
      <c r="F841" s="49"/>
      <c r="G841" s="49"/>
      <c r="H841" s="49"/>
      <c r="I841" s="49"/>
    </row>
    <row r="842" ht="15.75" customHeight="1" spans="1:9">
      <c r="A842" s="76"/>
      <c r="B842" s="57" t="s">
        <v>1004</v>
      </c>
      <c r="C842" s="60">
        <v>16</v>
      </c>
      <c r="D842" s="60" t="s">
        <v>1339</v>
      </c>
      <c r="E842" s="77">
        <v>44594</v>
      </c>
      <c r="F842" s="49"/>
      <c r="G842" s="49"/>
      <c r="H842" s="49"/>
      <c r="I842" s="49"/>
    </row>
    <row r="843" ht="15.75" customHeight="1" spans="1:9">
      <c r="A843" s="76"/>
      <c r="B843" s="57" t="s">
        <v>1004</v>
      </c>
      <c r="C843" s="60">
        <v>16</v>
      </c>
      <c r="D843" s="60" t="s">
        <v>1340</v>
      </c>
      <c r="E843" s="77">
        <v>44594</v>
      </c>
      <c r="F843" s="49"/>
      <c r="G843" s="49"/>
      <c r="H843" s="49"/>
      <c r="I843" s="49"/>
    </row>
    <row r="844" ht="15.75" customHeight="1" spans="1:9">
      <c r="A844" s="76"/>
      <c r="B844" s="57" t="s">
        <v>1004</v>
      </c>
      <c r="C844" s="60">
        <v>16</v>
      </c>
      <c r="D844" s="60" t="s">
        <v>1341</v>
      </c>
      <c r="E844" s="77">
        <v>44594</v>
      </c>
      <c r="F844" s="49"/>
      <c r="G844" s="49"/>
      <c r="H844" s="49"/>
      <c r="I844" s="49"/>
    </row>
    <row r="845" ht="15.75" customHeight="1" spans="1:9">
      <c r="A845" s="76"/>
      <c r="B845" s="57" t="s">
        <v>1004</v>
      </c>
      <c r="C845" s="60">
        <v>16</v>
      </c>
      <c r="D845" s="64" t="s">
        <v>1342</v>
      </c>
      <c r="E845" s="77">
        <v>44594</v>
      </c>
      <c r="F845" s="49"/>
      <c r="G845" s="49"/>
      <c r="H845" s="49"/>
      <c r="I845" s="49"/>
    </row>
    <row r="846" ht="15.75" customHeight="1" spans="1:9">
      <c r="A846" s="76"/>
      <c r="B846" s="57" t="s">
        <v>1004</v>
      </c>
      <c r="C846" s="60">
        <v>16</v>
      </c>
      <c r="D846" s="60" t="s">
        <v>1343</v>
      </c>
      <c r="E846" s="77">
        <v>44594</v>
      </c>
      <c r="F846" s="49"/>
      <c r="G846" s="49"/>
      <c r="H846" s="49"/>
      <c r="I846" s="49"/>
    </row>
    <row r="847" ht="15.75" customHeight="1" spans="1:9">
      <c r="A847" s="76"/>
      <c r="B847" s="57" t="s">
        <v>1004</v>
      </c>
      <c r="C847" s="60">
        <v>16</v>
      </c>
      <c r="D847" s="60" t="s">
        <v>1344</v>
      </c>
      <c r="E847" s="77">
        <v>44594</v>
      </c>
      <c r="F847" s="49"/>
      <c r="G847" s="49"/>
      <c r="H847" s="49"/>
      <c r="I847" s="49"/>
    </row>
    <row r="848" ht="15.75" customHeight="1" spans="1:9">
      <c r="A848" s="76"/>
      <c r="B848" s="57" t="s">
        <v>1004</v>
      </c>
      <c r="C848" s="60">
        <v>16</v>
      </c>
      <c r="D848" s="60" t="s">
        <v>1345</v>
      </c>
      <c r="E848" s="77">
        <v>44594</v>
      </c>
      <c r="F848" s="49"/>
      <c r="G848" s="49"/>
      <c r="H848" s="49"/>
      <c r="I848" s="49"/>
    </row>
    <row r="849" ht="15.75" customHeight="1" spans="1:9">
      <c r="A849" s="76"/>
      <c r="B849" s="57" t="s">
        <v>1004</v>
      </c>
      <c r="C849" s="60">
        <v>16</v>
      </c>
      <c r="D849" s="60" t="s">
        <v>1346</v>
      </c>
      <c r="E849" s="77">
        <v>44594</v>
      </c>
      <c r="F849" s="49"/>
      <c r="G849" s="49"/>
      <c r="H849" s="49"/>
      <c r="I849" s="49"/>
    </row>
    <row r="850" ht="15.75" customHeight="1" spans="1:9">
      <c r="A850" s="76"/>
      <c r="B850" s="57" t="s">
        <v>1004</v>
      </c>
      <c r="C850" s="60">
        <v>16</v>
      </c>
      <c r="D850" s="60" t="s">
        <v>1347</v>
      </c>
      <c r="E850" s="77">
        <v>44594</v>
      </c>
      <c r="F850" s="49"/>
      <c r="G850" s="49"/>
      <c r="H850" s="49"/>
      <c r="I850" s="49"/>
    </row>
    <row r="851" ht="15.75" customHeight="1" spans="1:9">
      <c r="A851" s="76"/>
      <c r="B851" s="57" t="s">
        <v>1004</v>
      </c>
      <c r="C851" s="60">
        <v>16</v>
      </c>
      <c r="D851" s="60" t="s">
        <v>1348</v>
      </c>
      <c r="E851" s="77">
        <v>44594</v>
      </c>
      <c r="F851" s="49"/>
      <c r="G851" s="49"/>
      <c r="H851" s="49"/>
      <c r="I851" s="49"/>
    </row>
    <row r="852" ht="15.75" customHeight="1" spans="1:9">
      <c r="A852" s="76"/>
      <c r="B852" s="57" t="s">
        <v>1004</v>
      </c>
      <c r="C852" s="60">
        <v>5</v>
      </c>
      <c r="D852" s="60" t="s">
        <v>1349</v>
      </c>
      <c r="E852" s="77">
        <v>44594</v>
      </c>
      <c r="F852" s="49"/>
      <c r="G852" s="49"/>
      <c r="H852" s="49"/>
      <c r="I852" s="49"/>
    </row>
    <row r="853" ht="15.75" customHeight="1" spans="1:9">
      <c r="A853" s="76"/>
      <c r="B853" s="57" t="s">
        <v>1004</v>
      </c>
      <c r="C853" s="60">
        <v>5</v>
      </c>
      <c r="D853" s="60" t="s">
        <v>1350</v>
      </c>
      <c r="E853" s="77">
        <v>44594</v>
      </c>
      <c r="F853" s="49"/>
      <c r="G853" s="49"/>
      <c r="H853" s="49"/>
      <c r="I853" s="49"/>
    </row>
    <row r="854" ht="15.75" customHeight="1" spans="1:9">
      <c r="A854" s="76"/>
      <c r="B854" s="57" t="s">
        <v>1004</v>
      </c>
      <c r="C854" s="60">
        <v>5</v>
      </c>
      <c r="D854" s="60" t="s">
        <v>1351</v>
      </c>
      <c r="E854" s="77">
        <v>44594</v>
      </c>
      <c r="F854" s="49"/>
      <c r="G854" s="49"/>
      <c r="H854" s="49"/>
      <c r="I854" s="49"/>
    </row>
    <row r="855" ht="15.75" customHeight="1" spans="1:9">
      <c r="A855" s="76"/>
      <c r="B855" s="57" t="s">
        <v>1004</v>
      </c>
      <c r="C855" s="60">
        <v>5</v>
      </c>
      <c r="D855" s="60">
        <v>5</v>
      </c>
      <c r="E855" s="77"/>
      <c r="F855" s="49"/>
      <c r="G855" s="49"/>
      <c r="H855" s="49"/>
      <c r="I855" s="49"/>
    </row>
    <row r="856" ht="15.75" customHeight="1" spans="1:9">
      <c r="A856" s="76"/>
      <c r="B856" s="57" t="s">
        <v>1004</v>
      </c>
      <c r="C856" s="60">
        <v>5</v>
      </c>
      <c r="D856" s="60" t="s">
        <v>1352</v>
      </c>
      <c r="E856" s="77"/>
      <c r="F856" s="49"/>
      <c r="G856" s="49"/>
      <c r="H856" s="49"/>
      <c r="I856" s="49"/>
    </row>
    <row r="857" ht="15.75" customHeight="1" spans="1:9">
      <c r="A857" s="76"/>
      <c r="B857" s="57" t="s">
        <v>1004</v>
      </c>
      <c r="C857" s="60">
        <v>5</v>
      </c>
      <c r="D857" s="60" t="s">
        <v>1353</v>
      </c>
      <c r="E857" s="77"/>
      <c r="F857" s="49"/>
      <c r="G857" s="49"/>
      <c r="H857" s="49"/>
      <c r="I857" s="49"/>
    </row>
    <row r="858" ht="15.75" customHeight="1" spans="1:9">
      <c r="A858" s="76"/>
      <c r="B858" s="57" t="s">
        <v>1004</v>
      </c>
      <c r="C858" s="60">
        <v>5</v>
      </c>
      <c r="D858" s="60" t="s">
        <v>1354</v>
      </c>
      <c r="E858" s="77"/>
      <c r="F858" s="49"/>
      <c r="G858" s="49"/>
      <c r="H858" s="49"/>
      <c r="I858" s="49"/>
    </row>
    <row r="859" ht="15.75" customHeight="1" spans="1:9">
      <c r="A859" s="76"/>
      <c r="B859" s="57" t="s">
        <v>1004</v>
      </c>
      <c r="C859" s="60">
        <v>5</v>
      </c>
      <c r="D859" s="60">
        <v>5</v>
      </c>
      <c r="E859" s="77"/>
      <c r="F859" s="49"/>
      <c r="G859" s="49"/>
      <c r="H859" s="49"/>
      <c r="I859" s="49"/>
    </row>
    <row r="860" ht="15.75" customHeight="1" spans="1:9">
      <c r="A860" s="76"/>
      <c r="B860" s="57" t="s">
        <v>1004</v>
      </c>
      <c r="C860" s="60">
        <v>5</v>
      </c>
      <c r="D860" s="60" t="s">
        <v>1355</v>
      </c>
      <c r="E860" s="77"/>
      <c r="F860" s="49"/>
      <c r="G860" s="49"/>
      <c r="H860" s="49"/>
      <c r="I860" s="49"/>
    </row>
    <row r="861" ht="15.75" customHeight="1" spans="1:9">
      <c r="A861" s="76"/>
      <c r="B861" s="57" t="s">
        <v>1004</v>
      </c>
      <c r="C861" s="60">
        <v>5</v>
      </c>
      <c r="D861" s="60" t="s">
        <v>1355</v>
      </c>
      <c r="E861" s="77"/>
      <c r="F861" s="49"/>
      <c r="G861" s="49"/>
      <c r="H861" s="49"/>
      <c r="I861" s="49"/>
    </row>
    <row r="862" ht="15.75" customHeight="1" spans="1:9">
      <c r="A862" s="76"/>
      <c r="B862" s="57" t="s">
        <v>1004</v>
      </c>
      <c r="C862" s="60">
        <v>5</v>
      </c>
      <c r="D862" s="60" t="s">
        <v>1356</v>
      </c>
      <c r="E862" s="77"/>
      <c r="F862" s="49"/>
      <c r="G862" s="49"/>
      <c r="H862" s="49"/>
      <c r="I862" s="49"/>
    </row>
    <row r="863" ht="15.75" customHeight="1" spans="1:9">
      <c r="A863" s="76"/>
      <c r="B863" s="57" t="s">
        <v>1004</v>
      </c>
      <c r="C863" s="60">
        <v>5</v>
      </c>
      <c r="D863" s="60" t="s">
        <v>1357</v>
      </c>
      <c r="E863" s="77"/>
      <c r="F863" s="49"/>
      <c r="G863" s="49"/>
      <c r="H863" s="49"/>
      <c r="I863" s="49"/>
    </row>
    <row r="864" ht="15.75" customHeight="1" spans="1:9">
      <c r="A864" s="76"/>
      <c r="B864" s="57" t="s">
        <v>1004</v>
      </c>
      <c r="C864" s="60">
        <v>5</v>
      </c>
      <c r="D864" s="64" t="s">
        <v>1358</v>
      </c>
      <c r="E864" s="77"/>
      <c r="F864" s="49"/>
      <c r="G864" s="49"/>
      <c r="H864" s="49"/>
      <c r="I864" s="49"/>
    </row>
    <row r="865" ht="15.75" customHeight="1" spans="1:9">
      <c r="A865" s="76"/>
      <c r="B865" s="57" t="s">
        <v>1004</v>
      </c>
      <c r="C865" s="60">
        <v>5</v>
      </c>
      <c r="D865" s="60" t="s">
        <v>1359</v>
      </c>
      <c r="E865" s="77"/>
      <c r="F865" s="49"/>
      <c r="G865" s="49"/>
      <c r="H865" s="49"/>
      <c r="I865" s="49"/>
    </row>
    <row r="866" ht="15.75" customHeight="1" spans="1:9">
      <c r="A866" s="76"/>
      <c r="B866" s="57" t="s">
        <v>1004</v>
      </c>
      <c r="C866" s="60">
        <v>5</v>
      </c>
      <c r="D866" s="60" t="s">
        <v>1360</v>
      </c>
      <c r="E866" s="77"/>
      <c r="F866" s="49"/>
      <c r="G866" s="49"/>
      <c r="H866" s="49"/>
      <c r="I866" s="49"/>
    </row>
    <row r="867" ht="15.75" customHeight="1" spans="1:9">
      <c r="A867" s="76"/>
      <c r="B867" s="57" t="s">
        <v>1004</v>
      </c>
      <c r="C867" s="60">
        <v>5</v>
      </c>
      <c r="D867" s="60" t="s">
        <v>1361</v>
      </c>
      <c r="E867" s="77"/>
      <c r="F867" s="49"/>
      <c r="G867" s="49"/>
      <c r="H867" s="49"/>
      <c r="I867" s="49"/>
    </row>
    <row r="868" ht="15.75" customHeight="1" spans="1:9">
      <c r="A868" s="76"/>
      <c r="B868" s="57" t="s">
        <v>1004</v>
      </c>
      <c r="C868" s="60">
        <v>5</v>
      </c>
      <c r="D868" s="60" t="s">
        <v>1362</v>
      </c>
      <c r="E868" s="77"/>
      <c r="F868" s="49"/>
      <c r="G868" s="49"/>
      <c r="H868" s="49"/>
      <c r="I868" s="49"/>
    </row>
    <row r="869" ht="15.75" customHeight="1" spans="1:9">
      <c r="A869" s="76"/>
      <c r="B869" s="57" t="s">
        <v>1004</v>
      </c>
      <c r="C869" s="60">
        <v>5</v>
      </c>
      <c r="D869" s="60" t="s">
        <v>1363</v>
      </c>
      <c r="E869" s="77"/>
      <c r="F869" s="49"/>
      <c r="G869" s="49"/>
      <c r="H869" s="49"/>
      <c r="I869" s="49"/>
    </row>
    <row r="870" ht="15.75" customHeight="1" spans="1:9">
      <c r="A870" s="76"/>
      <c r="B870" s="57" t="s">
        <v>1004</v>
      </c>
      <c r="C870" s="60">
        <v>5</v>
      </c>
      <c r="D870" s="60" t="s">
        <v>1364</v>
      </c>
      <c r="E870" s="77"/>
      <c r="F870" s="49"/>
      <c r="G870" s="49"/>
      <c r="H870" s="49"/>
      <c r="I870" s="49"/>
    </row>
    <row r="871" ht="15.75" customHeight="1" spans="1:9">
      <c r="A871" s="76"/>
      <c r="B871" s="57" t="s">
        <v>1004</v>
      </c>
      <c r="C871" s="60">
        <v>5</v>
      </c>
      <c r="D871" s="60" t="s">
        <v>1365</v>
      </c>
      <c r="E871" s="77"/>
      <c r="F871" s="49"/>
      <c r="G871" s="49"/>
      <c r="H871" s="49"/>
      <c r="I871" s="49"/>
    </row>
    <row r="872" ht="15.75" customHeight="1" spans="1:9">
      <c r="A872" s="76"/>
      <c r="B872" s="57" t="s">
        <v>1004</v>
      </c>
      <c r="C872" s="60">
        <v>9</v>
      </c>
      <c r="D872" s="60" t="s">
        <v>1366</v>
      </c>
      <c r="E872" s="77"/>
      <c r="F872" s="49"/>
      <c r="G872" s="49"/>
      <c r="H872" s="49"/>
      <c r="I872" s="49"/>
    </row>
    <row r="873" ht="15.75" customHeight="1" spans="1:9">
      <c r="A873" s="76"/>
      <c r="B873" s="57" t="s">
        <v>1004</v>
      </c>
      <c r="C873" s="60">
        <v>9</v>
      </c>
      <c r="D873" s="60" t="s">
        <v>1367</v>
      </c>
      <c r="E873" s="77"/>
      <c r="F873" s="49"/>
      <c r="G873" s="49"/>
      <c r="H873" s="49"/>
      <c r="I873" s="49"/>
    </row>
    <row r="874" ht="15.75" customHeight="1" spans="1:9">
      <c r="A874" s="76"/>
      <c r="B874" s="57" t="s">
        <v>1004</v>
      </c>
      <c r="C874" s="60">
        <v>9</v>
      </c>
      <c r="D874" s="60" t="s">
        <v>1368</v>
      </c>
      <c r="E874" s="77"/>
      <c r="F874" s="49"/>
      <c r="G874" s="49"/>
      <c r="H874" s="49"/>
      <c r="I874" s="49"/>
    </row>
    <row r="875" ht="15.75" customHeight="1" spans="1:9">
      <c r="A875" s="76"/>
      <c r="B875" s="57" t="s">
        <v>1004</v>
      </c>
      <c r="C875" s="60">
        <v>9</v>
      </c>
      <c r="D875" s="60">
        <v>9</v>
      </c>
      <c r="E875" s="77"/>
      <c r="F875" s="49"/>
      <c r="G875" s="49"/>
      <c r="H875" s="49"/>
      <c r="I875" s="49"/>
    </row>
    <row r="876" ht="15.75" customHeight="1" spans="1:9">
      <c r="A876" s="76"/>
      <c r="B876" s="57" t="s">
        <v>1004</v>
      </c>
      <c r="C876" s="60">
        <v>9</v>
      </c>
      <c r="D876" s="60">
        <v>9</v>
      </c>
      <c r="E876" s="77"/>
      <c r="F876" s="49"/>
      <c r="G876" s="49"/>
      <c r="H876" s="49"/>
      <c r="I876" s="49"/>
    </row>
    <row r="877" ht="15.75" customHeight="1" spans="1:9">
      <c r="A877" s="76"/>
      <c r="B877" s="57" t="s">
        <v>1004</v>
      </c>
      <c r="C877" s="60">
        <v>9</v>
      </c>
      <c r="D877" s="60" t="s">
        <v>1369</v>
      </c>
      <c r="E877" s="77"/>
      <c r="F877" s="49"/>
      <c r="G877" s="49"/>
      <c r="H877" s="49"/>
      <c r="I877" s="49"/>
    </row>
    <row r="878" ht="15.75" customHeight="1" spans="1:9">
      <c r="A878" s="76"/>
      <c r="B878" s="57" t="s">
        <v>1004</v>
      </c>
      <c r="C878" s="60">
        <v>9</v>
      </c>
      <c r="D878" s="60" t="s">
        <v>1370</v>
      </c>
      <c r="E878" s="77"/>
      <c r="F878" s="49"/>
      <c r="G878" s="49"/>
      <c r="H878" s="49"/>
      <c r="I878" s="49"/>
    </row>
    <row r="879" ht="15.75" customHeight="1" spans="1:9">
      <c r="A879" s="76"/>
      <c r="B879" s="57" t="s">
        <v>1004</v>
      </c>
      <c r="C879" s="60">
        <v>9</v>
      </c>
      <c r="D879" s="60" t="s">
        <v>1371</v>
      </c>
      <c r="E879" s="77"/>
      <c r="F879" s="49"/>
      <c r="G879" s="49"/>
      <c r="H879" s="49"/>
      <c r="I879" s="49"/>
    </row>
    <row r="880" ht="15.75" customHeight="1" spans="1:9">
      <c r="A880" s="76"/>
      <c r="B880" s="57" t="s">
        <v>1004</v>
      </c>
      <c r="C880" s="60">
        <v>9</v>
      </c>
      <c r="D880" s="60" t="s">
        <v>1372</v>
      </c>
      <c r="E880" s="77"/>
      <c r="F880" s="49"/>
      <c r="G880" s="49"/>
      <c r="H880" s="49"/>
      <c r="I880" s="49"/>
    </row>
    <row r="881" ht="15.75" customHeight="1" spans="1:9">
      <c r="A881" s="76"/>
      <c r="B881" s="57" t="s">
        <v>1004</v>
      </c>
      <c r="C881" s="60">
        <v>9</v>
      </c>
      <c r="D881" s="60" t="s">
        <v>1373</v>
      </c>
      <c r="E881" s="77"/>
      <c r="F881" s="49"/>
      <c r="G881" s="49"/>
      <c r="H881" s="49"/>
      <c r="I881" s="49"/>
    </row>
    <row r="882" ht="15.75" customHeight="1" spans="1:9">
      <c r="A882" s="76"/>
      <c r="B882" s="57" t="s">
        <v>1004</v>
      </c>
      <c r="C882" s="60">
        <v>9</v>
      </c>
      <c r="D882" s="60" t="s">
        <v>1374</v>
      </c>
      <c r="E882" s="77"/>
      <c r="F882" s="49"/>
      <c r="G882" s="49"/>
      <c r="H882" s="49"/>
      <c r="I882" s="49"/>
    </row>
    <row r="883" ht="15.75" customHeight="1" spans="1:9">
      <c r="A883" s="76"/>
      <c r="B883" s="57" t="s">
        <v>1004</v>
      </c>
      <c r="C883" s="60">
        <v>9</v>
      </c>
      <c r="D883" s="60" t="s">
        <v>1375</v>
      </c>
      <c r="E883" s="77"/>
      <c r="F883" s="49"/>
      <c r="G883" s="49"/>
      <c r="H883" s="49"/>
      <c r="I883" s="49"/>
    </row>
    <row r="884" ht="15.75" customHeight="1" spans="1:9">
      <c r="A884" s="76"/>
      <c r="B884" s="57" t="s">
        <v>1004</v>
      </c>
      <c r="C884" s="60">
        <v>19</v>
      </c>
      <c r="D884" s="60">
        <v>19</v>
      </c>
      <c r="E884" s="77"/>
      <c r="F884" s="49"/>
      <c r="G884" s="49"/>
      <c r="H884" s="49"/>
      <c r="I884" s="49"/>
    </row>
    <row r="885" ht="15.75" customHeight="1" spans="1:9">
      <c r="A885" s="76"/>
      <c r="B885" s="57" t="s">
        <v>1004</v>
      </c>
      <c r="C885" s="60">
        <v>19</v>
      </c>
      <c r="D885" s="60" t="s">
        <v>1376</v>
      </c>
      <c r="E885" s="77"/>
      <c r="F885" s="49"/>
      <c r="G885" s="49"/>
      <c r="H885" s="49"/>
      <c r="I885" s="49"/>
    </row>
    <row r="886" ht="15.75" customHeight="1" spans="1:9">
      <c r="A886" s="76"/>
      <c r="B886" s="57" t="s">
        <v>1004</v>
      </c>
      <c r="C886" s="60">
        <v>19</v>
      </c>
      <c r="D886" s="60" t="s">
        <v>1377</v>
      </c>
      <c r="E886" s="77"/>
      <c r="F886" s="49"/>
      <c r="G886" s="49"/>
      <c r="H886" s="49"/>
      <c r="I886" s="49"/>
    </row>
    <row r="887" ht="15.75" customHeight="1" spans="1:9">
      <c r="A887" s="76"/>
      <c r="B887" s="57" t="s">
        <v>1004</v>
      </c>
      <c r="C887" s="60">
        <v>19</v>
      </c>
      <c r="D887" s="60" t="s">
        <v>1378</v>
      </c>
      <c r="E887" s="77"/>
      <c r="F887" s="49"/>
      <c r="G887" s="49"/>
      <c r="H887" s="49"/>
      <c r="I887" s="49"/>
    </row>
    <row r="888" ht="15.75" customHeight="1" spans="1:9">
      <c r="A888" s="76"/>
      <c r="B888" s="57" t="s">
        <v>1004</v>
      </c>
      <c r="C888" s="60">
        <v>19</v>
      </c>
      <c r="D888" s="60" t="s">
        <v>1379</v>
      </c>
      <c r="E888" s="77"/>
      <c r="F888" s="49"/>
      <c r="G888" s="49"/>
      <c r="H888" s="49"/>
      <c r="I888" s="49"/>
    </row>
    <row r="889" ht="15.75" customHeight="1" spans="1:9">
      <c r="A889" s="76"/>
      <c r="B889" s="57" t="s">
        <v>1004</v>
      </c>
      <c r="C889" s="60">
        <v>19</v>
      </c>
      <c r="D889" s="60" t="s">
        <v>1380</v>
      </c>
      <c r="E889" s="77"/>
      <c r="F889" s="49"/>
      <c r="G889" s="49"/>
      <c r="H889" s="49"/>
      <c r="I889" s="49"/>
    </row>
    <row r="890" ht="15.75" customHeight="1" spans="1:9">
      <c r="A890" s="76"/>
      <c r="B890" s="57" t="s">
        <v>1004</v>
      </c>
      <c r="C890" s="60">
        <v>19</v>
      </c>
      <c r="D890" s="60" t="s">
        <v>1381</v>
      </c>
      <c r="E890" s="77"/>
      <c r="F890" s="49"/>
      <c r="G890" s="49"/>
      <c r="H890" s="49"/>
      <c r="I890" s="49"/>
    </row>
    <row r="891" ht="15.75" customHeight="1" spans="1:9">
      <c r="A891" s="76"/>
      <c r="B891" s="57" t="s">
        <v>1004</v>
      </c>
      <c r="C891" s="60">
        <v>19</v>
      </c>
      <c r="D891" s="60" t="s">
        <v>1382</v>
      </c>
      <c r="E891" s="77"/>
      <c r="F891" s="49"/>
      <c r="G891" s="49"/>
      <c r="H891" s="49"/>
      <c r="I891" s="49"/>
    </row>
    <row r="892" ht="15.75" customHeight="1" spans="1:9">
      <c r="A892" s="76"/>
      <c r="B892" s="57" t="s">
        <v>1004</v>
      </c>
      <c r="C892" s="60">
        <v>19</v>
      </c>
      <c r="D892" s="60" t="s">
        <v>1383</v>
      </c>
      <c r="E892" s="77"/>
      <c r="F892" s="49"/>
      <c r="G892" s="49"/>
      <c r="H892" s="49"/>
      <c r="I892" s="49"/>
    </row>
    <row r="893" ht="15.75" customHeight="1" spans="1:9">
      <c r="A893" s="76"/>
      <c r="B893" s="57" t="s">
        <v>1004</v>
      </c>
      <c r="C893" s="60">
        <v>19</v>
      </c>
      <c r="D893" s="60" t="s">
        <v>1384</v>
      </c>
      <c r="E893" s="77"/>
      <c r="F893" s="49"/>
      <c r="G893" s="49"/>
      <c r="H893" s="49"/>
      <c r="I893" s="49"/>
    </row>
    <row r="894" ht="15.75" customHeight="1" spans="1:9">
      <c r="A894" s="76"/>
      <c r="B894" s="57" t="s">
        <v>1004</v>
      </c>
      <c r="C894" s="60">
        <v>19</v>
      </c>
      <c r="D894" s="60" t="s">
        <v>1385</v>
      </c>
      <c r="E894" s="77"/>
      <c r="F894" s="49"/>
      <c r="G894" s="49"/>
      <c r="H894" s="49"/>
      <c r="I894" s="49"/>
    </row>
    <row r="895" ht="15.75" customHeight="1" spans="1:9">
      <c r="A895" s="76"/>
      <c r="B895" s="57" t="s">
        <v>1004</v>
      </c>
      <c r="C895" s="46">
        <v>96</v>
      </c>
      <c r="D895" s="46">
        <v>96</v>
      </c>
      <c r="E895" s="77"/>
      <c r="F895" s="49"/>
      <c r="G895" s="49"/>
      <c r="H895" s="49"/>
      <c r="I895" s="49"/>
    </row>
    <row r="896" ht="15.75" customHeight="1" spans="1:9">
      <c r="A896" s="76"/>
      <c r="B896" s="57" t="s">
        <v>1004</v>
      </c>
      <c r="C896" s="46">
        <v>96</v>
      </c>
      <c r="D896" s="46" t="s">
        <v>1386</v>
      </c>
      <c r="E896" s="77"/>
      <c r="F896" s="49"/>
      <c r="G896" s="49"/>
      <c r="H896" s="49"/>
      <c r="I896" s="49"/>
    </row>
    <row r="897" ht="15.75" customHeight="1" spans="1:9">
      <c r="A897" s="76"/>
      <c r="B897" s="57" t="s">
        <v>1004</v>
      </c>
      <c r="C897" s="46">
        <v>96</v>
      </c>
      <c r="D897" s="46" t="s">
        <v>1387</v>
      </c>
      <c r="E897" s="77"/>
      <c r="F897" s="49"/>
      <c r="G897" s="49"/>
      <c r="H897" s="49"/>
      <c r="I897" s="49"/>
    </row>
    <row r="898" ht="15.75" customHeight="1" spans="1:9">
      <c r="A898" s="76"/>
      <c r="B898" s="57" t="s">
        <v>1004</v>
      </c>
      <c r="C898" s="46">
        <v>96</v>
      </c>
      <c r="D898" s="46" t="s">
        <v>1388</v>
      </c>
      <c r="E898" s="77"/>
      <c r="F898" s="49"/>
      <c r="G898" s="49"/>
      <c r="H898" s="49"/>
      <c r="I898" s="49"/>
    </row>
    <row r="899" ht="15.75" customHeight="1" spans="1:9">
      <c r="A899" s="76"/>
      <c r="B899" s="57" t="s">
        <v>1004</v>
      </c>
      <c r="C899" s="46">
        <v>96</v>
      </c>
      <c r="D899" s="46" t="s">
        <v>1389</v>
      </c>
      <c r="E899" s="77"/>
      <c r="F899" s="49"/>
      <c r="G899" s="49"/>
      <c r="H899" s="49"/>
      <c r="I899" s="49"/>
    </row>
    <row r="900" ht="15.75" customHeight="1" spans="1:9">
      <c r="A900" s="76"/>
      <c r="B900" s="57" t="s">
        <v>1004</v>
      </c>
      <c r="C900" s="46">
        <v>96</v>
      </c>
      <c r="D900" s="46" t="s">
        <v>1390</v>
      </c>
      <c r="E900" s="77"/>
      <c r="F900" s="49"/>
      <c r="G900" s="49"/>
      <c r="H900" s="49"/>
      <c r="I900" s="49"/>
    </row>
    <row r="901" ht="15.75" customHeight="1" spans="1:9">
      <c r="A901" s="76"/>
      <c r="B901" s="57" t="s">
        <v>1004</v>
      </c>
      <c r="C901" s="46">
        <v>96</v>
      </c>
      <c r="D901" s="46" t="s">
        <v>1391</v>
      </c>
      <c r="E901" s="77"/>
      <c r="F901" s="49"/>
      <c r="G901" s="49"/>
      <c r="H901" s="49"/>
      <c r="I901" s="49"/>
    </row>
    <row r="902" ht="15.75" customHeight="1" spans="1:9">
      <c r="A902" s="76"/>
      <c r="B902" s="57" t="s">
        <v>1004</v>
      </c>
      <c r="C902" s="46">
        <v>96</v>
      </c>
      <c r="D902" s="46" t="s">
        <v>1392</v>
      </c>
      <c r="E902" s="77"/>
      <c r="F902" s="49"/>
      <c r="G902" s="49"/>
      <c r="H902" s="49"/>
      <c r="I902" s="49"/>
    </row>
    <row r="903" ht="15.75" customHeight="1" spans="1:9">
      <c r="A903" s="76"/>
      <c r="B903" s="57" t="s">
        <v>1004</v>
      </c>
      <c r="C903" s="46">
        <v>96</v>
      </c>
      <c r="D903" s="46" t="s">
        <v>1393</v>
      </c>
      <c r="E903" s="77"/>
      <c r="F903" s="49"/>
      <c r="G903" s="49"/>
      <c r="H903" s="49"/>
      <c r="I903" s="49"/>
    </row>
    <row r="904" ht="15.75" customHeight="1" spans="1:9">
      <c r="A904" s="76"/>
      <c r="B904" s="57" t="s">
        <v>1004</v>
      </c>
      <c r="C904" s="46">
        <v>96</v>
      </c>
      <c r="D904" s="46" t="s">
        <v>1394</v>
      </c>
      <c r="E904" s="77"/>
      <c r="F904" s="49"/>
      <c r="G904" s="49"/>
      <c r="H904" s="49"/>
      <c r="I904" s="49"/>
    </row>
    <row r="905" ht="15.75" customHeight="1" spans="1:9">
      <c r="A905" s="76"/>
      <c r="B905" s="57" t="s">
        <v>1004</v>
      </c>
      <c r="C905" s="46">
        <v>96</v>
      </c>
      <c r="D905" s="46" t="s">
        <v>1395</v>
      </c>
      <c r="E905" s="77"/>
      <c r="F905" s="49"/>
      <c r="G905" s="49"/>
      <c r="H905" s="49"/>
      <c r="I905" s="49"/>
    </row>
    <row r="906" ht="15.75" customHeight="1" spans="1:9">
      <c r="A906" s="76"/>
      <c r="B906" s="57" t="s">
        <v>1004</v>
      </c>
      <c r="C906" s="46">
        <v>96</v>
      </c>
      <c r="D906" s="46" t="s">
        <v>1396</v>
      </c>
      <c r="E906" s="77"/>
      <c r="F906" s="49"/>
      <c r="G906" s="49"/>
      <c r="H906" s="49"/>
      <c r="I906" s="49"/>
    </row>
    <row r="907" ht="15.75" customHeight="1" spans="1:9">
      <c r="A907" s="76"/>
      <c r="B907" s="57" t="s">
        <v>1004</v>
      </c>
      <c r="C907" s="46">
        <v>96</v>
      </c>
      <c r="D907" s="46" t="s">
        <v>1397</v>
      </c>
      <c r="E907" s="77"/>
      <c r="F907" s="49"/>
      <c r="G907" s="49"/>
      <c r="H907" s="49"/>
      <c r="I907" s="49"/>
    </row>
    <row r="908" ht="15.75" customHeight="1" spans="1:9">
      <c r="A908" s="76"/>
      <c r="B908" s="57" t="s">
        <v>1004</v>
      </c>
      <c r="C908" s="46">
        <v>96</v>
      </c>
      <c r="D908" s="46" t="s">
        <v>1398</v>
      </c>
      <c r="E908" s="77"/>
      <c r="F908" s="49"/>
      <c r="G908" s="49"/>
      <c r="H908" s="49"/>
      <c r="I908" s="49"/>
    </row>
    <row r="909" ht="15.75" customHeight="1" spans="1:9">
      <c r="A909" s="76"/>
      <c r="B909" s="45" t="s">
        <v>1399</v>
      </c>
      <c r="C909" s="78" t="s">
        <v>1400</v>
      </c>
      <c r="D909" s="78" t="s">
        <v>1401</v>
      </c>
      <c r="E909" s="77"/>
      <c r="F909" s="49"/>
      <c r="G909" s="49"/>
      <c r="H909" s="49"/>
      <c r="I909" s="49"/>
    </row>
    <row r="910" ht="15.75" customHeight="1" spans="1:9">
      <c r="A910" s="76"/>
      <c r="B910" s="45" t="s">
        <v>1399</v>
      </c>
      <c r="C910" s="78" t="s">
        <v>1402</v>
      </c>
      <c r="D910" s="78" t="s">
        <v>1403</v>
      </c>
      <c r="E910" s="77"/>
      <c r="F910" s="49"/>
      <c r="G910" s="49"/>
      <c r="H910" s="49"/>
      <c r="I910" s="49"/>
    </row>
    <row r="911" ht="15.75" customHeight="1" spans="1:9">
      <c r="A911" s="76"/>
      <c r="B911" s="45" t="s">
        <v>1399</v>
      </c>
      <c r="C911" s="78" t="s">
        <v>1404</v>
      </c>
      <c r="D911" s="78" t="s">
        <v>1405</v>
      </c>
      <c r="E911" s="77"/>
      <c r="F911" s="49"/>
      <c r="G911" s="49"/>
      <c r="H911" s="49"/>
      <c r="I911" s="49"/>
    </row>
    <row r="912" ht="15.75" customHeight="1" spans="1:9">
      <c r="A912" s="76"/>
      <c r="B912" s="45" t="s">
        <v>1399</v>
      </c>
      <c r="C912" s="78" t="s">
        <v>1406</v>
      </c>
      <c r="D912" s="78" t="s">
        <v>1407</v>
      </c>
      <c r="E912" s="77"/>
      <c r="F912" s="49"/>
      <c r="G912" s="49"/>
      <c r="H912" s="49"/>
      <c r="I912" s="49"/>
    </row>
    <row r="913" ht="15.75" customHeight="1" spans="1:9">
      <c r="A913" s="76"/>
      <c r="B913" s="45" t="s">
        <v>1399</v>
      </c>
      <c r="C913" s="78" t="s">
        <v>1408</v>
      </c>
      <c r="D913" s="78" t="s">
        <v>1409</v>
      </c>
      <c r="E913" s="77"/>
      <c r="F913" s="49"/>
      <c r="G913" s="49"/>
      <c r="H913" s="49"/>
      <c r="I913" s="49"/>
    </row>
    <row r="914" ht="15.75" customHeight="1" spans="1:9">
      <c r="A914" s="76"/>
      <c r="B914" s="45" t="s">
        <v>1399</v>
      </c>
      <c r="C914" s="78" t="s">
        <v>1410</v>
      </c>
      <c r="D914" s="78" t="s">
        <v>1411</v>
      </c>
      <c r="E914" s="77"/>
      <c r="F914" s="49"/>
      <c r="G914" s="49"/>
      <c r="H914" s="49"/>
      <c r="I914" s="49"/>
    </row>
    <row r="915" ht="15.75" customHeight="1" spans="1:9">
      <c r="A915" s="76"/>
      <c r="B915" s="45" t="s">
        <v>1399</v>
      </c>
      <c r="C915" s="78" t="s">
        <v>1412</v>
      </c>
      <c r="D915" s="78" t="s">
        <v>1413</v>
      </c>
      <c r="E915" s="77"/>
      <c r="F915" s="49"/>
      <c r="G915" s="49"/>
      <c r="H915" s="49"/>
      <c r="I915" s="49"/>
    </row>
    <row r="916" ht="15.75" customHeight="1" spans="1:9">
      <c r="A916" s="76"/>
      <c r="B916" s="45" t="s">
        <v>1399</v>
      </c>
      <c r="C916" s="78" t="s">
        <v>1414</v>
      </c>
      <c r="D916" s="78" t="s">
        <v>1415</v>
      </c>
      <c r="E916" s="77"/>
      <c r="F916" s="49"/>
      <c r="G916" s="49"/>
      <c r="H916" s="49"/>
      <c r="I916" s="49"/>
    </row>
    <row r="917" ht="15.75" customHeight="1" spans="1:9">
      <c r="A917" s="76"/>
      <c r="B917" s="45" t="s">
        <v>1399</v>
      </c>
      <c r="C917" s="78" t="s">
        <v>1416</v>
      </c>
      <c r="D917" s="78" t="s">
        <v>1417</v>
      </c>
      <c r="E917" s="77"/>
      <c r="F917" s="49"/>
      <c r="G917" s="49"/>
      <c r="H917" s="49"/>
      <c r="I917" s="49"/>
    </row>
    <row r="918" ht="15.75" customHeight="1" spans="1:9">
      <c r="A918" s="76"/>
      <c r="B918" s="45" t="s">
        <v>1399</v>
      </c>
      <c r="C918" s="78" t="s">
        <v>1418</v>
      </c>
      <c r="D918" s="78" t="s">
        <v>1419</v>
      </c>
      <c r="E918" s="77"/>
      <c r="F918" s="49"/>
      <c r="G918" s="49"/>
      <c r="H918" s="49"/>
      <c r="I918" s="49"/>
    </row>
    <row r="919" ht="15.75" customHeight="1" spans="1:9">
      <c r="A919" s="76"/>
      <c r="B919" s="45" t="s">
        <v>1399</v>
      </c>
      <c r="C919" s="78" t="s">
        <v>1420</v>
      </c>
      <c r="D919" s="78" t="s">
        <v>1421</v>
      </c>
      <c r="E919" s="77"/>
      <c r="F919" s="49"/>
      <c r="G919" s="49"/>
      <c r="H919" s="49"/>
      <c r="I919" s="49"/>
    </row>
    <row r="920" ht="15.75" customHeight="1" spans="1:9">
      <c r="A920" s="76"/>
      <c r="B920" s="45" t="s">
        <v>1399</v>
      </c>
      <c r="C920" s="78" t="s">
        <v>1422</v>
      </c>
      <c r="D920" s="78" t="s">
        <v>1423</v>
      </c>
      <c r="E920" s="77"/>
      <c r="F920" s="49"/>
      <c r="G920" s="49"/>
      <c r="H920" s="49"/>
      <c r="I920" s="49"/>
    </row>
    <row r="921" ht="15.75" customHeight="1" spans="1:9">
      <c r="A921" s="76"/>
      <c r="B921" s="45" t="s">
        <v>1399</v>
      </c>
      <c r="C921" s="78" t="s">
        <v>1424</v>
      </c>
      <c r="D921" s="78" t="s">
        <v>1425</v>
      </c>
      <c r="E921" s="77"/>
      <c r="F921" s="49"/>
      <c r="G921" s="49"/>
      <c r="H921" s="49"/>
      <c r="I921" s="49"/>
    </row>
    <row r="922" ht="15.75" customHeight="1" spans="1:9">
      <c r="A922" s="49"/>
      <c r="B922" s="45" t="s">
        <v>1399</v>
      </c>
      <c r="C922" s="78" t="s">
        <v>1426</v>
      </c>
      <c r="D922" s="78" t="s">
        <v>1427</v>
      </c>
      <c r="E922" s="49"/>
      <c r="F922" s="49"/>
      <c r="G922" s="49"/>
      <c r="H922" s="49"/>
      <c r="I922" s="49"/>
    </row>
    <row r="923" ht="15.75" customHeight="1" spans="1:9">
      <c r="A923" s="49"/>
      <c r="B923" s="45" t="s">
        <v>1399</v>
      </c>
      <c r="C923" s="78" t="s">
        <v>1428</v>
      </c>
      <c r="D923" s="78" t="s">
        <v>1429</v>
      </c>
      <c r="E923" s="49"/>
      <c r="F923" s="49"/>
      <c r="G923" s="49"/>
      <c r="H923" s="49"/>
      <c r="I923" s="49"/>
    </row>
    <row r="924" ht="15.75" customHeight="1" spans="1:9">
      <c r="A924" s="49"/>
      <c r="B924" s="45" t="s">
        <v>1399</v>
      </c>
      <c r="C924" s="78" t="s">
        <v>1430</v>
      </c>
      <c r="D924" s="78" t="s">
        <v>1431</v>
      </c>
      <c r="E924" s="49"/>
      <c r="F924" s="49"/>
      <c r="G924" s="49"/>
      <c r="H924" s="49"/>
      <c r="I924" s="49"/>
    </row>
    <row r="925" ht="15.75" customHeight="1" spans="1:9">
      <c r="A925" s="49"/>
      <c r="B925" s="45" t="s">
        <v>1399</v>
      </c>
      <c r="C925" s="78" t="s">
        <v>1432</v>
      </c>
      <c r="D925" s="78" t="s">
        <v>1433</v>
      </c>
      <c r="E925" s="49"/>
      <c r="F925" s="49"/>
      <c r="G925" s="49"/>
      <c r="H925" s="49"/>
      <c r="I925" s="49"/>
    </row>
    <row r="926" ht="15.75" customHeight="1" spans="1:9">
      <c r="A926" s="49"/>
      <c r="B926" s="45" t="s">
        <v>1399</v>
      </c>
      <c r="C926" s="78" t="s">
        <v>1434</v>
      </c>
      <c r="D926" s="78" t="s">
        <v>1435</v>
      </c>
      <c r="E926" s="49"/>
      <c r="F926" s="49"/>
      <c r="G926" s="49"/>
      <c r="H926" s="49"/>
      <c r="I926" s="49"/>
    </row>
    <row r="927" ht="15.75" customHeight="1" spans="1:9">
      <c r="A927" s="49"/>
      <c r="B927" s="45" t="s">
        <v>1399</v>
      </c>
      <c r="C927" s="78" t="s">
        <v>1436</v>
      </c>
      <c r="D927" s="78" t="s">
        <v>1437</v>
      </c>
      <c r="E927" s="49"/>
      <c r="F927" s="49"/>
      <c r="G927" s="49"/>
      <c r="H927" s="49"/>
      <c r="I927" s="49"/>
    </row>
    <row r="928" ht="15.75" customHeight="1" spans="1:9">
      <c r="A928" s="49"/>
      <c r="B928" s="45" t="s">
        <v>1399</v>
      </c>
      <c r="C928" s="78" t="s">
        <v>1438</v>
      </c>
      <c r="D928" s="78" t="s">
        <v>1439</v>
      </c>
      <c r="E928" s="49"/>
      <c r="F928" s="49"/>
      <c r="G928" s="49"/>
      <c r="H928" s="49"/>
      <c r="I928" s="49"/>
    </row>
    <row r="929" ht="15.75" customHeight="1" spans="1:9">
      <c r="A929" s="49"/>
      <c r="B929" s="45" t="s">
        <v>1399</v>
      </c>
      <c r="C929" s="78" t="s">
        <v>1440</v>
      </c>
      <c r="D929" s="78" t="s">
        <v>1441</v>
      </c>
      <c r="E929" s="49"/>
      <c r="F929" s="49"/>
      <c r="G929" s="49"/>
      <c r="H929" s="49"/>
      <c r="I929" s="49"/>
    </row>
    <row r="930" ht="15.75" customHeight="1" spans="1:9">
      <c r="A930" s="49"/>
      <c r="B930" s="45" t="s">
        <v>1399</v>
      </c>
      <c r="C930" s="78" t="s">
        <v>1442</v>
      </c>
      <c r="D930" s="78" t="s">
        <v>1443</v>
      </c>
      <c r="E930" s="49"/>
      <c r="F930" s="49"/>
      <c r="G930" s="49"/>
      <c r="H930" s="49"/>
      <c r="I930" s="49"/>
    </row>
    <row r="931" ht="15.75" customHeight="1" spans="1:9">
      <c r="A931" s="49"/>
      <c r="B931" s="45" t="s">
        <v>1399</v>
      </c>
      <c r="C931" s="78" t="s">
        <v>1444</v>
      </c>
      <c r="D931" s="78" t="s">
        <v>1445</v>
      </c>
      <c r="E931" s="49"/>
      <c r="F931" s="49"/>
      <c r="G931" s="49"/>
      <c r="H931" s="49"/>
      <c r="I931" s="49"/>
    </row>
    <row r="932" ht="15.75" customHeight="1" spans="1:9">
      <c r="A932" s="49"/>
      <c r="B932" s="45" t="s">
        <v>1399</v>
      </c>
      <c r="C932" s="78" t="s">
        <v>1446</v>
      </c>
      <c r="D932" s="78" t="s">
        <v>1447</v>
      </c>
      <c r="E932" s="49"/>
      <c r="F932" s="49"/>
      <c r="G932" s="49"/>
      <c r="H932" s="49"/>
      <c r="I932" s="49"/>
    </row>
    <row r="933" ht="15.75" customHeight="1" spans="1:9">
      <c r="A933" s="49"/>
      <c r="B933" s="45" t="s">
        <v>1399</v>
      </c>
      <c r="C933" s="78" t="s">
        <v>1448</v>
      </c>
      <c r="D933" s="78" t="s">
        <v>1449</v>
      </c>
      <c r="E933" s="49"/>
      <c r="F933" s="49"/>
      <c r="G933" s="49"/>
      <c r="H933" s="49"/>
      <c r="I933" s="49"/>
    </row>
    <row r="934" ht="15.75" customHeight="1" spans="1:9">
      <c r="A934" s="49"/>
      <c r="B934" s="45" t="s">
        <v>1399</v>
      </c>
      <c r="C934" s="78" t="s">
        <v>1450</v>
      </c>
      <c r="D934" s="78" t="s">
        <v>1451</v>
      </c>
      <c r="E934" s="49"/>
      <c r="F934" s="49"/>
      <c r="G934" s="49"/>
      <c r="H934" s="49"/>
      <c r="I934" s="49"/>
    </row>
    <row r="935" ht="15.75" customHeight="1" spans="1:9">
      <c r="A935" s="49"/>
      <c r="B935" s="45" t="s">
        <v>1399</v>
      </c>
      <c r="C935" s="78" t="s">
        <v>1452</v>
      </c>
      <c r="D935" s="78" t="s">
        <v>1453</v>
      </c>
      <c r="E935" s="49"/>
      <c r="F935" s="49"/>
      <c r="G935" s="49"/>
      <c r="H935" s="49"/>
      <c r="I935" s="49"/>
    </row>
    <row r="936" ht="15.75" customHeight="1" spans="1:9">
      <c r="A936" s="49"/>
      <c r="B936" s="45" t="s">
        <v>1399</v>
      </c>
      <c r="C936" s="78" t="s">
        <v>1454</v>
      </c>
      <c r="D936" s="78" t="s">
        <v>1455</v>
      </c>
      <c r="E936" s="49"/>
      <c r="F936" s="49"/>
      <c r="G936" s="49"/>
      <c r="H936" s="49"/>
      <c r="I936" s="49"/>
    </row>
    <row r="937" ht="15.75" customHeight="1" spans="1:9">
      <c r="A937" s="49"/>
      <c r="B937" s="45" t="s">
        <v>1399</v>
      </c>
      <c r="C937" s="78" t="s">
        <v>1456</v>
      </c>
      <c r="D937" s="78" t="s">
        <v>1457</v>
      </c>
      <c r="E937" s="49"/>
      <c r="F937" s="49"/>
      <c r="G937" s="49"/>
      <c r="H937" s="49"/>
      <c r="I937" s="49"/>
    </row>
    <row r="938" ht="15.75" customHeight="1" spans="1:9">
      <c r="A938" s="49"/>
      <c r="B938" s="45" t="s">
        <v>1399</v>
      </c>
      <c r="C938" s="78" t="s">
        <v>1458</v>
      </c>
      <c r="D938" s="78" t="s">
        <v>1459</v>
      </c>
      <c r="E938" s="49"/>
      <c r="F938" s="49"/>
      <c r="G938" s="49"/>
      <c r="H938" s="49"/>
      <c r="I938" s="49"/>
    </row>
    <row r="939" ht="15.75" customHeight="1" spans="1:9">
      <c r="A939" s="49"/>
      <c r="B939" s="45" t="s">
        <v>1399</v>
      </c>
      <c r="C939" s="78" t="s">
        <v>1460</v>
      </c>
      <c r="D939" s="78" t="s">
        <v>1461</v>
      </c>
      <c r="E939" s="49"/>
      <c r="F939" s="49"/>
      <c r="G939" s="49"/>
      <c r="H939" s="49"/>
      <c r="I939" s="49"/>
    </row>
    <row r="940" ht="15.75" customHeight="1" spans="1:9">
      <c r="A940" s="49"/>
      <c r="B940" s="45" t="s">
        <v>1399</v>
      </c>
      <c r="C940" s="78" t="s">
        <v>1462</v>
      </c>
      <c r="D940" s="78" t="s">
        <v>1463</v>
      </c>
      <c r="E940" s="49"/>
      <c r="F940" s="49"/>
      <c r="G940" s="49"/>
      <c r="H940" s="49"/>
      <c r="I940" s="49"/>
    </row>
    <row r="941" ht="15.75" customHeight="1" spans="1:9">
      <c r="A941" s="49"/>
      <c r="B941" s="45" t="s">
        <v>1399</v>
      </c>
      <c r="C941" s="78" t="s">
        <v>1464</v>
      </c>
      <c r="D941" s="78" t="s">
        <v>1465</v>
      </c>
      <c r="E941" s="49"/>
      <c r="F941" s="49"/>
      <c r="G941" s="49"/>
      <c r="H941" s="49"/>
      <c r="I941" s="49"/>
    </row>
    <row r="942" ht="15.75" customHeight="1" spans="1:9">
      <c r="A942" s="49"/>
      <c r="B942" s="45" t="s">
        <v>1399</v>
      </c>
      <c r="C942" s="78" t="s">
        <v>1466</v>
      </c>
      <c r="D942" s="78" t="s">
        <v>1467</v>
      </c>
      <c r="E942" s="49"/>
      <c r="F942" s="49"/>
      <c r="G942" s="49"/>
      <c r="H942" s="49"/>
      <c r="I942" s="49"/>
    </row>
    <row r="943" ht="15.75" customHeight="1" spans="1:9">
      <c r="A943" s="49"/>
      <c r="B943" s="45" t="s">
        <v>1399</v>
      </c>
      <c r="C943" s="78" t="s">
        <v>1468</v>
      </c>
      <c r="D943" s="78" t="s">
        <v>1469</v>
      </c>
      <c r="E943" s="49"/>
      <c r="F943" s="49"/>
      <c r="G943" s="49"/>
      <c r="H943" s="49"/>
      <c r="I943" s="49"/>
    </row>
    <row r="944" ht="15.75" customHeight="1" spans="1:9">
      <c r="A944" s="49"/>
      <c r="B944" s="45" t="s">
        <v>1399</v>
      </c>
      <c r="C944" s="78" t="s">
        <v>1470</v>
      </c>
      <c r="D944" s="78" t="s">
        <v>1471</v>
      </c>
      <c r="E944" s="49"/>
      <c r="F944" s="49"/>
      <c r="G944" s="49"/>
      <c r="H944" s="49"/>
      <c r="I944" s="49"/>
    </row>
    <row r="945" ht="15.75" customHeight="1" spans="1:9">
      <c r="A945" s="49"/>
      <c r="B945" s="45" t="s">
        <v>1399</v>
      </c>
      <c r="C945" s="78" t="s">
        <v>1472</v>
      </c>
      <c r="D945" s="78" t="s">
        <v>1473</v>
      </c>
      <c r="E945" s="49"/>
      <c r="F945" s="49"/>
      <c r="G945" s="49"/>
      <c r="H945" s="49"/>
      <c r="I945" s="49"/>
    </row>
    <row r="946" ht="15.75" customHeight="1" spans="1:9">
      <c r="A946" s="49"/>
      <c r="B946" s="45" t="s">
        <v>1399</v>
      </c>
      <c r="C946" s="78" t="s">
        <v>1474</v>
      </c>
      <c r="D946" s="78" t="s">
        <v>1475</v>
      </c>
      <c r="E946" s="49"/>
      <c r="F946" s="49"/>
      <c r="G946" s="49"/>
      <c r="H946" s="49"/>
      <c r="I946" s="49"/>
    </row>
    <row r="947" ht="15.75" customHeight="1" spans="1:9">
      <c r="A947" s="49"/>
      <c r="B947" s="45" t="s">
        <v>1399</v>
      </c>
      <c r="C947" s="78" t="s">
        <v>1476</v>
      </c>
      <c r="D947" s="78" t="s">
        <v>1477</v>
      </c>
      <c r="E947" s="49"/>
      <c r="F947" s="49"/>
      <c r="G947" s="49"/>
      <c r="H947" s="49"/>
      <c r="I947" s="49"/>
    </row>
    <row r="948" ht="15.75" customHeight="1" spans="1:9">
      <c r="A948" s="49"/>
      <c r="B948" s="45" t="s">
        <v>1399</v>
      </c>
      <c r="C948" s="78" t="s">
        <v>1478</v>
      </c>
      <c r="D948" s="78" t="s">
        <v>1479</v>
      </c>
      <c r="E948" s="49"/>
      <c r="F948" s="49"/>
      <c r="G948" s="49"/>
      <c r="H948" s="49"/>
      <c r="I948" s="49"/>
    </row>
    <row r="949" ht="15.75" customHeight="1" spans="1:9">
      <c r="A949" s="49"/>
      <c r="B949" s="45" t="s">
        <v>1399</v>
      </c>
      <c r="C949" s="78" t="s">
        <v>1480</v>
      </c>
      <c r="D949" s="78" t="s">
        <v>1481</v>
      </c>
      <c r="E949" s="49"/>
      <c r="F949" s="49"/>
      <c r="G949" s="49"/>
      <c r="H949" s="49"/>
      <c r="I949" s="49"/>
    </row>
    <row r="950" ht="15.75" customHeight="1" spans="1:9">
      <c r="A950" s="49"/>
      <c r="B950" s="45" t="s">
        <v>1399</v>
      </c>
      <c r="C950" s="78" t="s">
        <v>1482</v>
      </c>
      <c r="D950" s="78" t="s">
        <v>1483</v>
      </c>
      <c r="E950" s="49"/>
      <c r="F950" s="49"/>
      <c r="G950" s="49"/>
      <c r="H950" s="49"/>
      <c r="I950" s="49"/>
    </row>
    <row r="951" ht="15.75" customHeight="1" spans="1:9">
      <c r="A951" s="49"/>
      <c r="B951" s="45" t="s">
        <v>1399</v>
      </c>
      <c r="C951" s="78" t="s">
        <v>1484</v>
      </c>
      <c r="D951" s="78" t="s">
        <v>1485</v>
      </c>
      <c r="E951" s="49"/>
      <c r="F951" s="49"/>
      <c r="G951" s="49"/>
      <c r="H951" s="49"/>
      <c r="I951" s="49"/>
    </row>
    <row r="952" ht="15.75" customHeight="1" spans="1:9">
      <c r="A952" s="49"/>
      <c r="B952" s="45" t="s">
        <v>1399</v>
      </c>
      <c r="C952" s="78" t="s">
        <v>1486</v>
      </c>
      <c r="D952" s="78" t="s">
        <v>1487</v>
      </c>
      <c r="E952" s="49"/>
      <c r="F952" s="49"/>
      <c r="G952" s="49"/>
      <c r="H952" s="49"/>
      <c r="I952" s="49"/>
    </row>
    <row r="953" ht="15.75" customHeight="1" spans="1:9">
      <c r="A953" s="49"/>
      <c r="B953" s="45" t="s">
        <v>1399</v>
      </c>
      <c r="C953" s="78" t="s">
        <v>1488</v>
      </c>
      <c r="D953" s="78" t="s">
        <v>1489</v>
      </c>
      <c r="E953" s="49"/>
      <c r="F953" s="49"/>
      <c r="G953" s="49"/>
      <c r="H953" s="49"/>
      <c r="I953" s="49"/>
    </row>
    <row r="954" ht="15.75" customHeight="1" spans="1:9">
      <c r="A954" s="49"/>
      <c r="B954" s="45" t="s">
        <v>1399</v>
      </c>
      <c r="C954" s="78" t="s">
        <v>1490</v>
      </c>
      <c r="D954" s="78" t="s">
        <v>1491</v>
      </c>
      <c r="E954" s="49"/>
      <c r="F954" s="49"/>
      <c r="G954" s="49"/>
      <c r="H954" s="49"/>
      <c r="I954" s="49"/>
    </row>
    <row r="955" ht="15.75" customHeight="1" spans="1:9">
      <c r="A955" s="49"/>
      <c r="B955" s="45" t="s">
        <v>1399</v>
      </c>
      <c r="C955" s="78" t="s">
        <v>1492</v>
      </c>
      <c r="D955" s="78" t="s">
        <v>1493</v>
      </c>
      <c r="E955" s="49"/>
      <c r="F955" s="49"/>
      <c r="G955" s="49"/>
      <c r="H955" s="49"/>
      <c r="I955" s="49"/>
    </row>
    <row r="956" ht="15.75" customHeight="1" spans="1:9">
      <c r="A956" s="49"/>
      <c r="B956" s="45" t="s">
        <v>1399</v>
      </c>
      <c r="C956" s="78" t="s">
        <v>1494</v>
      </c>
      <c r="D956" s="78" t="s">
        <v>1495</v>
      </c>
      <c r="E956" s="49"/>
      <c r="F956" s="49"/>
      <c r="G956" s="49"/>
      <c r="H956" s="49"/>
      <c r="I956" s="49"/>
    </row>
    <row r="957" ht="15.75" customHeight="1" spans="1:9">
      <c r="A957" s="49"/>
      <c r="B957" s="45" t="s">
        <v>1399</v>
      </c>
      <c r="C957" s="78" t="s">
        <v>1496</v>
      </c>
      <c r="D957" s="78" t="s">
        <v>1497</v>
      </c>
      <c r="E957" s="49"/>
      <c r="F957" s="49"/>
      <c r="G957" s="49"/>
      <c r="H957" s="49"/>
      <c r="I957" s="49"/>
    </row>
    <row r="958" ht="15.75" customHeight="1" spans="1:9">
      <c r="A958" s="49"/>
      <c r="B958" s="45" t="s">
        <v>1399</v>
      </c>
      <c r="C958" s="78" t="s">
        <v>1498</v>
      </c>
      <c r="D958" s="78" t="s">
        <v>1499</v>
      </c>
      <c r="E958" s="49"/>
      <c r="F958" s="49"/>
      <c r="G958" s="49"/>
      <c r="H958" s="49"/>
      <c r="I958" s="49"/>
    </row>
    <row r="959" ht="15.75" customHeight="1" spans="1:9">
      <c r="A959" s="49"/>
      <c r="B959" s="45" t="s">
        <v>1399</v>
      </c>
      <c r="C959" s="78" t="s">
        <v>1500</v>
      </c>
      <c r="D959" s="78" t="s">
        <v>1501</v>
      </c>
      <c r="E959" s="49"/>
      <c r="F959" s="49"/>
      <c r="G959" s="49"/>
      <c r="H959" s="49"/>
      <c r="I959" s="49"/>
    </row>
    <row r="960" ht="15.75" customHeight="1" spans="1:9">
      <c r="A960" s="49"/>
      <c r="B960" s="45" t="s">
        <v>1399</v>
      </c>
      <c r="C960" s="78" t="s">
        <v>1502</v>
      </c>
      <c r="D960" s="78" t="s">
        <v>1503</v>
      </c>
      <c r="E960" s="49"/>
      <c r="F960" s="49"/>
      <c r="G960" s="49"/>
      <c r="H960" s="49"/>
      <c r="I960" s="49"/>
    </row>
    <row r="961" ht="15.75" customHeight="1" spans="1:9">
      <c r="A961" s="49"/>
      <c r="B961" s="45" t="s">
        <v>1399</v>
      </c>
      <c r="C961" s="78" t="s">
        <v>1504</v>
      </c>
      <c r="D961" s="78" t="s">
        <v>1505</v>
      </c>
      <c r="E961" s="49"/>
      <c r="F961" s="49"/>
      <c r="G961" s="49"/>
      <c r="H961" s="49"/>
      <c r="I961" s="49"/>
    </row>
    <row r="962" ht="15.75" customHeight="1" spans="1:9">
      <c r="A962" s="49"/>
      <c r="B962" s="45" t="s">
        <v>1399</v>
      </c>
      <c r="C962" s="78" t="s">
        <v>1506</v>
      </c>
      <c r="D962" s="78" t="s">
        <v>1507</v>
      </c>
      <c r="E962" s="49"/>
      <c r="F962" s="49"/>
      <c r="G962" s="49"/>
      <c r="H962" s="49"/>
      <c r="I962" s="49"/>
    </row>
    <row r="963" ht="15.75" customHeight="1" spans="1:9">
      <c r="A963" s="49"/>
      <c r="B963" s="45" t="s">
        <v>1399</v>
      </c>
      <c r="C963" s="78" t="s">
        <v>1508</v>
      </c>
      <c r="D963" s="78" t="s">
        <v>1509</v>
      </c>
      <c r="E963" s="49"/>
      <c r="F963" s="49"/>
      <c r="G963" s="49"/>
      <c r="H963" s="49"/>
      <c r="I963" s="49"/>
    </row>
    <row r="964" ht="15.75" customHeight="1" spans="1:9">
      <c r="A964" s="49"/>
      <c r="B964" s="45" t="s">
        <v>1399</v>
      </c>
      <c r="C964" s="78" t="s">
        <v>1510</v>
      </c>
      <c r="D964" s="78" t="s">
        <v>1511</v>
      </c>
      <c r="E964" s="49"/>
      <c r="F964" s="49"/>
      <c r="G964" s="49"/>
      <c r="H964" s="49"/>
      <c r="I964" s="49"/>
    </row>
    <row r="965" ht="15.75" customHeight="1" spans="1:9">
      <c r="A965" s="49"/>
      <c r="B965" s="45" t="s">
        <v>1399</v>
      </c>
      <c r="C965" s="78" t="s">
        <v>1512</v>
      </c>
      <c r="D965" s="78" t="s">
        <v>1513</v>
      </c>
      <c r="E965" s="49"/>
      <c r="F965" s="49"/>
      <c r="G965" s="49"/>
      <c r="H965" s="49"/>
      <c r="I965" s="49"/>
    </row>
    <row r="966" ht="15.75" customHeight="1" spans="1:9">
      <c r="A966" s="49"/>
      <c r="B966" s="45" t="s">
        <v>1399</v>
      </c>
      <c r="C966" s="78" t="s">
        <v>1514</v>
      </c>
      <c r="D966" s="78" t="s">
        <v>1515</v>
      </c>
      <c r="E966" s="49"/>
      <c r="F966" s="49"/>
      <c r="G966" s="49"/>
      <c r="H966" s="49"/>
      <c r="I966" s="49"/>
    </row>
    <row r="967" ht="15.75" customHeight="1" spans="1:9">
      <c r="A967" s="49"/>
      <c r="B967" s="45" t="s">
        <v>1399</v>
      </c>
      <c r="C967" s="78" t="s">
        <v>1516</v>
      </c>
      <c r="D967" s="78" t="s">
        <v>1517</v>
      </c>
      <c r="E967" s="49"/>
      <c r="F967" s="49"/>
      <c r="G967" s="49"/>
      <c r="H967" s="49"/>
      <c r="I967" s="49"/>
    </row>
    <row r="968" ht="15.75" customHeight="1" spans="1:9">
      <c r="A968" s="49"/>
      <c r="B968" s="45" t="s">
        <v>1399</v>
      </c>
      <c r="C968" s="78" t="s">
        <v>1518</v>
      </c>
      <c r="D968" s="78" t="s">
        <v>1519</v>
      </c>
      <c r="E968" s="49"/>
      <c r="F968" s="49"/>
      <c r="G968" s="49"/>
      <c r="H968" s="49"/>
      <c r="I968" s="49"/>
    </row>
    <row r="969" ht="15.75" customHeight="1" spans="1:9">
      <c r="A969" s="49"/>
      <c r="B969" s="45" t="s">
        <v>1399</v>
      </c>
      <c r="C969" s="78" t="s">
        <v>1520</v>
      </c>
      <c r="D969" s="78" t="s">
        <v>1521</v>
      </c>
      <c r="E969" s="49"/>
      <c r="F969" s="49"/>
      <c r="G969" s="49"/>
      <c r="H969" s="49"/>
      <c r="I969" s="49"/>
    </row>
    <row r="970" ht="15.75" customHeight="1" spans="1:9">
      <c r="A970" s="49"/>
      <c r="B970" s="45" t="s">
        <v>1399</v>
      </c>
      <c r="C970" s="78" t="s">
        <v>1522</v>
      </c>
      <c r="D970" s="78" t="s">
        <v>1523</v>
      </c>
      <c r="E970" s="49"/>
      <c r="F970" s="49"/>
      <c r="G970" s="49"/>
      <c r="H970" s="49"/>
      <c r="I970" s="49"/>
    </row>
    <row r="971" ht="15.75" customHeight="1" spans="1:9">
      <c r="A971" s="49"/>
      <c r="B971" s="45" t="s">
        <v>1399</v>
      </c>
      <c r="C971" s="78" t="s">
        <v>1524</v>
      </c>
      <c r="D971" s="78" t="s">
        <v>1525</v>
      </c>
      <c r="E971" s="49"/>
      <c r="F971" s="49"/>
      <c r="G971" s="49"/>
      <c r="H971" s="49"/>
      <c r="I971" s="49"/>
    </row>
    <row r="972" ht="15.75" customHeight="1" spans="1:9">
      <c r="A972" s="49"/>
      <c r="B972" s="45" t="s">
        <v>1399</v>
      </c>
      <c r="C972" s="78" t="s">
        <v>1526</v>
      </c>
      <c r="D972" s="78" t="s">
        <v>1527</v>
      </c>
      <c r="E972" s="49"/>
      <c r="F972" s="49"/>
      <c r="G972" s="49"/>
      <c r="H972" s="49"/>
      <c r="I972" s="49"/>
    </row>
    <row r="973" ht="15.75" customHeight="1" spans="1:9">
      <c r="A973" s="49"/>
      <c r="B973" s="45" t="s">
        <v>1399</v>
      </c>
      <c r="C973" s="78" t="s">
        <v>1528</v>
      </c>
      <c r="D973" s="78" t="s">
        <v>1529</v>
      </c>
      <c r="E973" s="49"/>
      <c r="F973" s="49"/>
      <c r="G973" s="49"/>
      <c r="H973" s="49"/>
      <c r="I973" s="49"/>
    </row>
    <row r="974" ht="15.75" customHeight="1" spans="1:9">
      <c r="A974" s="49"/>
      <c r="B974" s="45" t="s">
        <v>1399</v>
      </c>
      <c r="C974" s="78" t="s">
        <v>1530</v>
      </c>
      <c r="D974" s="78" t="s">
        <v>1531</v>
      </c>
      <c r="E974" s="49"/>
      <c r="F974" s="49"/>
      <c r="G974" s="49"/>
      <c r="H974" s="49"/>
      <c r="I974" s="49"/>
    </row>
    <row r="975" ht="15.75" customHeight="1" spans="1:9">
      <c r="A975" s="49"/>
      <c r="B975" s="45" t="s">
        <v>1399</v>
      </c>
      <c r="C975" s="78" t="s">
        <v>1532</v>
      </c>
      <c r="D975" s="78" t="s">
        <v>1533</v>
      </c>
      <c r="E975" s="49"/>
      <c r="F975" s="49"/>
      <c r="G975" s="49"/>
      <c r="H975" s="49"/>
      <c r="I975" s="49"/>
    </row>
    <row r="976" ht="15.75" customHeight="1" spans="1:9">
      <c r="A976" s="49"/>
      <c r="B976" s="45" t="s">
        <v>1399</v>
      </c>
      <c r="C976" s="78" t="s">
        <v>1534</v>
      </c>
      <c r="D976" s="78" t="s">
        <v>1535</v>
      </c>
      <c r="E976" s="49"/>
      <c r="F976" s="49"/>
      <c r="G976" s="49"/>
      <c r="H976" s="49"/>
      <c r="I976" s="49"/>
    </row>
    <row r="977" ht="15.75" customHeight="1" spans="1:9">
      <c r="A977" s="49"/>
      <c r="B977" s="45" t="s">
        <v>1399</v>
      </c>
      <c r="C977" s="78" t="s">
        <v>1536</v>
      </c>
      <c r="D977" s="78" t="s">
        <v>1537</v>
      </c>
      <c r="E977" s="49"/>
      <c r="F977" s="49"/>
      <c r="G977" s="49"/>
      <c r="H977" s="49"/>
      <c r="I977" s="49"/>
    </row>
    <row r="978" ht="15.75" customHeight="1" spans="1:9">
      <c r="A978" s="49"/>
      <c r="B978" s="45" t="s">
        <v>1399</v>
      </c>
      <c r="C978" s="78" t="s">
        <v>1538</v>
      </c>
      <c r="D978" s="78" t="s">
        <v>1539</v>
      </c>
      <c r="E978" s="49"/>
      <c r="F978" s="49"/>
      <c r="G978" s="49"/>
      <c r="H978" s="49"/>
      <c r="I978" s="49"/>
    </row>
    <row r="979" ht="15.75" customHeight="1" spans="1:9">
      <c r="A979" s="49"/>
      <c r="B979" s="45" t="s">
        <v>1399</v>
      </c>
      <c r="C979" s="78" t="s">
        <v>1540</v>
      </c>
      <c r="D979" s="78" t="s">
        <v>1541</v>
      </c>
      <c r="E979" s="49"/>
      <c r="F979" s="49"/>
      <c r="G979" s="49"/>
      <c r="H979" s="49"/>
      <c r="I979" s="49"/>
    </row>
    <row r="980" ht="15.75" customHeight="1" spans="1:9">
      <c r="A980" s="49"/>
      <c r="B980" s="45" t="s">
        <v>1399</v>
      </c>
      <c r="C980" s="78" t="s">
        <v>1542</v>
      </c>
      <c r="D980" s="78" t="s">
        <v>1543</v>
      </c>
      <c r="E980" s="49"/>
      <c r="F980" s="49"/>
      <c r="G980" s="49"/>
      <c r="H980" s="49"/>
      <c r="I980" s="49"/>
    </row>
    <row r="981" ht="15.75" customHeight="1" spans="1:9">
      <c r="A981" s="49"/>
      <c r="B981" s="45" t="s">
        <v>1399</v>
      </c>
      <c r="C981" s="78" t="s">
        <v>1544</v>
      </c>
      <c r="D981" s="78" t="s">
        <v>1545</v>
      </c>
      <c r="E981" s="49"/>
      <c r="F981" s="49"/>
      <c r="G981" s="49"/>
      <c r="H981" s="49"/>
      <c r="I981" s="49"/>
    </row>
    <row r="982" ht="15.75" customHeight="1" spans="1:9">
      <c r="A982" s="49"/>
      <c r="B982" s="45" t="s">
        <v>1399</v>
      </c>
      <c r="C982" s="78" t="s">
        <v>1546</v>
      </c>
      <c r="D982" s="78" t="s">
        <v>1547</v>
      </c>
      <c r="E982" s="49"/>
      <c r="F982" s="49"/>
      <c r="G982" s="49"/>
      <c r="H982" s="49"/>
      <c r="I982" s="49"/>
    </row>
    <row r="983" ht="15.75" customHeight="1" spans="1:9">
      <c r="A983" s="49"/>
      <c r="B983" s="45" t="s">
        <v>1399</v>
      </c>
      <c r="C983" s="78" t="s">
        <v>1548</v>
      </c>
      <c r="D983" s="78" t="s">
        <v>1549</v>
      </c>
      <c r="E983" s="49"/>
      <c r="F983" s="49"/>
      <c r="G983" s="49"/>
      <c r="H983" s="49"/>
      <c r="I983" s="49"/>
    </row>
    <row r="984" ht="15.75" customHeight="1" spans="1:9">
      <c r="A984" s="49"/>
      <c r="B984" s="45" t="s">
        <v>1399</v>
      </c>
      <c r="C984" s="78" t="s">
        <v>1550</v>
      </c>
      <c r="D984" s="78" t="s">
        <v>1551</v>
      </c>
      <c r="E984" s="49"/>
      <c r="F984" s="49"/>
      <c r="G984" s="49"/>
      <c r="H984" s="49"/>
      <c r="I984" s="49"/>
    </row>
    <row r="985" ht="15.75" customHeight="1" spans="1:9">
      <c r="A985" s="49"/>
      <c r="B985" s="45" t="s">
        <v>1399</v>
      </c>
      <c r="C985" s="78" t="s">
        <v>1552</v>
      </c>
      <c r="D985" s="78" t="s">
        <v>1553</v>
      </c>
      <c r="E985" s="49"/>
      <c r="F985" s="49"/>
      <c r="G985" s="49"/>
      <c r="H985" s="49"/>
      <c r="I985" s="49"/>
    </row>
    <row r="986" ht="15.75" customHeight="1" spans="1:9">
      <c r="A986" s="49"/>
      <c r="B986" s="45" t="s">
        <v>1399</v>
      </c>
      <c r="C986" s="78" t="s">
        <v>1554</v>
      </c>
      <c r="D986" s="78" t="s">
        <v>1555</v>
      </c>
      <c r="E986" s="49"/>
      <c r="F986" s="49"/>
      <c r="G986" s="49"/>
      <c r="H986" s="49"/>
      <c r="I986" s="49"/>
    </row>
    <row r="987" ht="15.75" customHeight="1" spans="1:9">
      <c r="A987" s="49"/>
      <c r="B987" s="45" t="s">
        <v>1399</v>
      </c>
      <c r="C987" s="78" t="s">
        <v>1556</v>
      </c>
      <c r="D987" s="78" t="s">
        <v>1557</v>
      </c>
      <c r="E987" s="49"/>
      <c r="F987" s="49"/>
      <c r="G987" s="49"/>
      <c r="H987" s="49"/>
      <c r="I987" s="49"/>
    </row>
    <row r="988" ht="15.75" customHeight="1" spans="1:9">
      <c r="A988" s="49"/>
      <c r="B988" s="45" t="s">
        <v>1399</v>
      </c>
      <c r="C988" s="78" t="s">
        <v>1558</v>
      </c>
      <c r="D988" s="78" t="s">
        <v>1559</v>
      </c>
      <c r="E988" s="49"/>
      <c r="F988" s="49"/>
      <c r="G988" s="49"/>
      <c r="H988" s="49"/>
      <c r="I988" s="49"/>
    </row>
    <row r="989" ht="15.75" customHeight="1" spans="1:9">
      <c r="A989" s="49"/>
      <c r="B989" s="45" t="s">
        <v>1399</v>
      </c>
      <c r="C989" s="78" t="s">
        <v>1560</v>
      </c>
      <c r="D989" s="78" t="s">
        <v>1561</v>
      </c>
      <c r="E989" s="49"/>
      <c r="F989" s="49"/>
      <c r="G989" s="49"/>
      <c r="H989" s="49"/>
      <c r="I989" s="49"/>
    </row>
    <row r="990" ht="15.75" customHeight="1" spans="1:9">
      <c r="A990" s="49"/>
      <c r="B990" s="45" t="s">
        <v>1399</v>
      </c>
      <c r="C990" s="78" t="s">
        <v>1562</v>
      </c>
      <c r="D990" s="78" t="s">
        <v>1563</v>
      </c>
      <c r="E990" s="49"/>
      <c r="F990" s="49"/>
      <c r="G990" s="49"/>
      <c r="H990" s="49"/>
      <c r="I990" s="49"/>
    </row>
    <row r="991" ht="15.75" customHeight="1" spans="1:9">
      <c r="A991" s="49"/>
      <c r="B991" s="45" t="s">
        <v>1399</v>
      </c>
      <c r="C991" s="78" t="s">
        <v>1564</v>
      </c>
      <c r="D991" s="78" t="s">
        <v>1565</v>
      </c>
      <c r="E991" s="49"/>
      <c r="F991" s="49"/>
      <c r="G991" s="49"/>
      <c r="H991" s="49"/>
      <c r="I991" s="49"/>
    </row>
    <row r="992" ht="15.75" customHeight="1" spans="1:9">
      <c r="A992" s="49"/>
      <c r="B992" s="45" t="s">
        <v>1399</v>
      </c>
      <c r="C992" s="78" t="s">
        <v>1566</v>
      </c>
      <c r="D992" s="78" t="s">
        <v>1567</v>
      </c>
      <c r="E992" s="49"/>
      <c r="F992" s="49"/>
      <c r="G992" s="49"/>
      <c r="H992" s="49"/>
      <c r="I992" s="49"/>
    </row>
    <row r="993" ht="15.75" customHeight="1" spans="1:9">
      <c r="A993" s="49"/>
      <c r="B993" s="45" t="s">
        <v>1399</v>
      </c>
      <c r="C993" s="78" t="s">
        <v>1568</v>
      </c>
      <c r="D993" s="78" t="s">
        <v>1569</v>
      </c>
      <c r="E993" s="49"/>
      <c r="F993" s="49"/>
      <c r="G993" s="49"/>
      <c r="H993" s="49"/>
      <c r="I993" s="49"/>
    </row>
    <row r="994" ht="15.75" customHeight="1" spans="1:9">
      <c r="A994" s="49"/>
      <c r="B994" s="45" t="s">
        <v>1399</v>
      </c>
      <c r="C994" s="78" t="s">
        <v>1570</v>
      </c>
      <c r="D994" s="78" t="s">
        <v>1571</v>
      </c>
      <c r="E994" s="49"/>
      <c r="F994" s="49"/>
      <c r="G994" s="49"/>
      <c r="H994" s="49"/>
      <c r="I994" s="49"/>
    </row>
    <row r="995" ht="15.75" customHeight="1" spans="1:9">
      <c r="A995" s="49"/>
      <c r="B995" s="45" t="s">
        <v>1399</v>
      </c>
      <c r="C995" s="78" t="s">
        <v>1572</v>
      </c>
      <c r="D995" s="78" t="s">
        <v>1573</v>
      </c>
      <c r="E995" s="49"/>
      <c r="F995" s="49"/>
      <c r="G995" s="49"/>
      <c r="H995" s="49"/>
      <c r="I995" s="49"/>
    </row>
    <row r="996" ht="15.75" customHeight="1" spans="1:9">
      <c r="A996" s="49"/>
      <c r="B996" s="45" t="s">
        <v>1399</v>
      </c>
      <c r="C996" s="78" t="s">
        <v>1574</v>
      </c>
      <c r="D996" s="78" t="s">
        <v>1575</v>
      </c>
      <c r="E996" s="49"/>
      <c r="F996" s="49"/>
      <c r="G996" s="49"/>
      <c r="H996" s="49"/>
      <c r="I996" s="49"/>
    </row>
    <row r="997" ht="15.75" customHeight="1" spans="1:9">
      <c r="A997" s="49"/>
      <c r="B997" s="45" t="s">
        <v>1399</v>
      </c>
      <c r="C997" s="78" t="s">
        <v>1576</v>
      </c>
      <c r="D997" s="78" t="s">
        <v>1577</v>
      </c>
      <c r="E997" s="49"/>
      <c r="F997" s="49"/>
      <c r="G997" s="49"/>
      <c r="H997" s="49"/>
      <c r="I997" s="49"/>
    </row>
    <row r="998" ht="15.75" customHeight="1" spans="1:9">
      <c r="A998" s="49"/>
      <c r="B998" s="45" t="s">
        <v>1399</v>
      </c>
      <c r="C998" s="78" t="s">
        <v>1578</v>
      </c>
      <c r="D998" s="78" t="s">
        <v>1579</v>
      </c>
      <c r="E998" s="49"/>
      <c r="F998" s="49"/>
      <c r="G998" s="49"/>
      <c r="H998" s="49"/>
      <c r="I998" s="49"/>
    </row>
    <row r="999" ht="15.75" customHeight="1" spans="1:9">
      <c r="A999" s="49"/>
      <c r="B999" s="45" t="s">
        <v>1399</v>
      </c>
      <c r="C999" s="78" t="s">
        <v>1580</v>
      </c>
      <c r="D999" s="78" t="s">
        <v>1581</v>
      </c>
      <c r="E999" s="49"/>
      <c r="F999" s="49"/>
      <c r="G999" s="49"/>
      <c r="H999" s="49"/>
      <c r="I999" s="49"/>
    </row>
    <row r="1000" ht="15.75" customHeight="1" spans="1:9">
      <c r="A1000" s="49"/>
      <c r="B1000" s="45" t="s">
        <v>1399</v>
      </c>
      <c r="C1000" s="78" t="s">
        <v>1582</v>
      </c>
      <c r="D1000" s="78" t="s">
        <v>1583</v>
      </c>
      <c r="E1000" s="49"/>
      <c r="F1000" s="49"/>
      <c r="G1000" s="49"/>
      <c r="H1000" s="49"/>
      <c r="I1000" s="49"/>
    </row>
    <row r="1001" ht="15.75" customHeight="1" spans="1:9">
      <c r="A1001" s="49"/>
      <c r="B1001" s="45" t="s">
        <v>1399</v>
      </c>
      <c r="C1001" s="78" t="s">
        <v>1584</v>
      </c>
      <c r="D1001" s="78" t="s">
        <v>1585</v>
      </c>
      <c r="E1001" s="49"/>
      <c r="F1001" s="49"/>
      <c r="G1001" s="49"/>
      <c r="H1001" s="49"/>
      <c r="I1001" s="49"/>
    </row>
    <row r="1002" ht="15.75" customHeight="1" spans="1:9">
      <c r="A1002" s="49"/>
      <c r="B1002" s="45" t="s">
        <v>1399</v>
      </c>
      <c r="C1002" s="78" t="s">
        <v>1586</v>
      </c>
      <c r="D1002" s="78" t="s">
        <v>1587</v>
      </c>
      <c r="E1002" s="49"/>
      <c r="F1002" s="49"/>
      <c r="G1002" s="49"/>
      <c r="H1002" s="49"/>
      <c r="I1002" s="49"/>
    </row>
    <row r="1003" ht="15.75" customHeight="1" spans="1:9">
      <c r="A1003" s="49"/>
      <c r="B1003" s="45" t="s">
        <v>1399</v>
      </c>
      <c r="C1003" s="78" t="s">
        <v>1588</v>
      </c>
      <c r="D1003" s="78" t="s">
        <v>1589</v>
      </c>
      <c r="E1003" s="49"/>
      <c r="F1003" s="49"/>
      <c r="G1003" s="49"/>
      <c r="H1003" s="49"/>
      <c r="I1003" s="49"/>
    </row>
    <row r="1004" ht="15.75" customHeight="1" spans="1:9">
      <c r="A1004" s="49"/>
      <c r="B1004" s="45" t="s">
        <v>1399</v>
      </c>
      <c r="C1004" s="78" t="s">
        <v>1590</v>
      </c>
      <c r="D1004" s="78" t="s">
        <v>1591</v>
      </c>
      <c r="E1004" s="49"/>
      <c r="F1004" s="49"/>
      <c r="G1004" s="49"/>
      <c r="H1004" s="49"/>
      <c r="I1004" s="49"/>
    </row>
    <row r="1005" ht="15.75" customHeight="1" spans="1:9">
      <c r="A1005" s="49"/>
      <c r="B1005" s="45" t="s">
        <v>1399</v>
      </c>
      <c r="C1005" s="78" t="s">
        <v>1592</v>
      </c>
      <c r="D1005" s="78" t="s">
        <v>1593</v>
      </c>
      <c r="E1005" s="49"/>
      <c r="F1005" s="49"/>
      <c r="G1005" s="49"/>
      <c r="H1005" s="49"/>
      <c r="I1005" s="49"/>
    </row>
    <row r="1006" ht="15.75" customHeight="1" spans="1:9">
      <c r="A1006" s="49"/>
      <c r="B1006" s="45" t="s">
        <v>1399</v>
      </c>
      <c r="C1006" s="78" t="s">
        <v>1594</v>
      </c>
      <c r="D1006" s="78" t="s">
        <v>1595</v>
      </c>
      <c r="E1006" s="49"/>
      <c r="F1006" s="49"/>
      <c r="G1006" s="49"/>
      <c r="H1006" s="49"/>
      <c r="I1006" s="49"/>
    </row>
    <row r="1007" ht="15.75" customHeight="1" spans="1:9">
      <c r="A1007" s="49"/>
      <c r="B1007" s="45" t="s">
        <v>1399</v>
      </c>
      <c r="C1007" s="78" t="s">
        <v>1596</v>
      </c>
      <c r="D1007" s="78" t="s">
        <v>1597</v>
      </c>
      <c r="E1007" s="49"/>
      <c r="F1007" s="49"/>
      <c r="G1007" s="49"/>
      <c r="H1007" s="49"/>
      <c r="I1007" s="49"/>
    </row>
    <row r="1008" ht="15.75" customHeight="1" spans="1:9">
      <c r="A1008" s="49"/>
      <c r="B1008" s="45" t="s">
        <v>1399</v>
      </c>
      <c r="C1008" s="78" t="s">
        <v>1598</v>
      </c>
      <c r="D1008" s="78" t="s">
        <v>1599</v>
      </c>
      <c r="E1008" s="49"/>
      <c r="F1008" s="49"/>
      <c r="G1008" s="49"/>
      <c r="H1008" s="49"/>
      <c r="I1008" s="49"/>
    </row>
    <row r="1009" ht="15.75" customHeight="1" spans="1:9">
      <c r="A1009" s="49"/>
      <c r="B1009" s="45" t="s">
        <v>1399</v>
      </c>
      <c r="C1009" s="78" t="s">
        <v>1600</v>
      </c>
      <c r="D1009" s="78" t="s">
        <v>1601</v>
      </c>
      <c r="E1009" s="49"/>
      <c r="F1009" s="49"/>
      <c r="G1009" s="49"/>
      <c r="H1009" s="49"/>
      <c r="I1009" s="49"/>
    </row>
    <row r="1010" ht="15.75" customHeight="1" spans="1:9">
      <c r="A1010" s="49"/>
      <c r="B1010" s="45" t="s">
        <v>1399</v>
      </c>
      <c r="C1010" s="78" t="s">
        <v>1602</v>
      </c>
      <c r="D1010" s="78" t="s">
        <v>1603</v>
      </c>
      <c r="E1010" s="49"/>
      <c r="F1010" s="49"/>
      <c r="G1010" s="49"/>
      <c r="H1010" s="49"/>
      <c r="I1010" s="49"/>
    </row>
    <row r="1011" ht="15.75" customHeight="1" spans="1:9">
      <c r="A1011" s="49"/>
      <c r="B1011" s="45" t="s">
        <v>1399</v>
      </c>
      <c r="C1011" s="78" t="s">
        <v>1604</v>
      </c>
      <c r="D1011" s="78" t="s">
        <v>1605</v>
      </c>
      <c r="E1011" s="49"/>
      <c r="F1011" s="49"/>
      <c r="G1011" s="49"/>
      <c r="H1011" s="49"/>
      <c r="I1011" s="49"/>
    </row>
    <row r="1012" ht="15.75" customHeight="1" spans="1:9">
      <c r="A1012" s="49"/>
      <c r="B1012" s="45" t="s">
        <v>1399</v>
      </c>
      <c r="C1012" s="78" t="s">
        <v>1606</v>
      </c>
      <c r="D1012" s="78" t="s">
        <v>1607</v>
      </c>
      <c r="E1012" s="49"/>
      <c r="F1012" s="49"/>
      <c r="G1012" s="49"/>
      <c r="H1012" s="49"/>
      <c r="I1012" s="49"/>
    </row>
    <row r="1013" ht="15.75" customHeight="1" spans="1:9">
      <c r="A1013" s="49"/>
      <c r="B1013" s="45" t="s">
        <v>1399</v>
      </c>
      <c r="C1013" s="78" t="s">
        <v>1608</v>
      </c>
      <c r="D1013" s="78" t="s">
        <v>1609</v>
      </c>
      <c r="E1013" s="49"/>
      <c r="F1013" s="49"/>
      <c r="G1013" s="49"/>
      <c r="H1013" s="49"/>
      <c r="I1013" s="49"/>
    </row>
    <row r="1014" ht="15.75" customHeight="1" spans="1:9">
      <c r="A1014" s="49"/>
      <c r="B1014" s="45" t="s">
        <v>1399</v>
      </c>
      <c r="C1014" s="78" t="s">
        <v>1610</v>
      </c>
      <c r="D1014" s="78" t="s">
        <v>1611</v>
      </c>
      <c r="E1014" s="49"/>
      <c r="F1014" s="49"/>
      <c r="G1014" s="49"/>
      <c r="H1014" s="49"/>
      <c r="I1014" s="49"/>
    </row>
    <row r="1015" ht="15.75" customHeight="1" spans="1:9">
      <c r="A1015" s="49"/>
      <c r="B1015" s="45" t="s">
        <v>1399</v>
      </c>
      <c r="C1015" s="78" t="s">
        <v>1612</v>
      </c>
      <c r="D1015" s="78" t="s">
        <v>1613</v>
      </c>
      <c r="E1015" s="49"/>
      <c r="F1015" s="49"/>
      <c r="G1015" s="49"/>
      <c r="H1015" s="49"/>
      <c r="I1015" s="49"/>
    </row>
    <row r="1016" ht="15.75" customHeight="1" spans="1:9">
      <c r="A1016" s="49"/>
      <c r="B1016" s="45" t="s">
        <v>1399</v>
      </c>
      <c r="C1016" s="78" t="s">
        <v>1614</v>
      </c>
      <c r="D1016" s="78" t="s">
        <v>1615</v>
      </c>
      <c r="E1016" s="49"/>
      <c r="F1016" s="49"/>
      <c r="G1016" s="49"/>
      <c r="H1016" s="49"/>
      <c r="I1016" s="49"/>
    </row>
    <row r="1017" ht="15.75" customHeight="1" spans="1:9">
      <c r="A1017" s="49"/>
      <c r="B1017" s="45" t="s">
        <v>1399</v>
      </c>
      <c r="C1017" s="78" t="s">
        <v>1616</v>
      </c>
      <c r="D1017" s="78" t="s">
        <v>1617</v>
      </c>
      <c r="E1017" s="49"/>
      <c r="F1017" s="49"/>
      <c r="G1017" s="49"/>
      <c r="H1017" s="49"/>
      <c r="I1017" s="49"/>
    </row>
    <row r="1018" ht="15.75" customHeight="1" spans="1:9">
      <c r="A1018" s="49"/>
      <c r="B1018" s="45" t="s">
        <v>1399</v>
      </c>
      <c r="C1018" s="78" t="s">
        <v>1618</v>
      </c>
      <c r="D1018" s="78" t="s">
        <v>1619</v>
      </c>
      <c r="E1018" s="49"/>
      <c r="F1018" s="49"/>
      <c r="G1018" s="49"/>
      <c r="H1018" s="49"/>
      <c r="I1018" s="49"/>
    </row>
    <row r="1019" ht="15.75" customHeight="1" spans="1:9">
      <c r="A1019" s="49"/>
      <c r="B1019" s="45" t="s">
        <v>1399</v>
      </c>
      <c r="C1019" s="78" t="s">
        <v>1620</v>
      </c>
      <c r="D1019" s="78" t="s">
        <v>1621</v>
      </c>
      <c r="E1019" s="49"/>
      <c r="F1019" s="49"/>
      <c r="G1019" s="49"/>
      <c r="H1019" s="49"/>
      <c r="I1019" s="49"/>
    </row>
    <row r="1020" ht="15.75" customHeight="1" spans="1:9">
      <c r="A1020" s="49"/>
      <c r="B1020" s="45" t="s">
        <v>1399</v>
      </c>
      <c r="C1020" s="78" t="s">
        <v>1622</v>
      </c>
      <c r="D1020" s="78" t="s">
        <v>1623</v>
      </c>
      <c r="E1020" s="49"/>
      <c r="F1020" s="49"/>
      <c r="G1020" s="49"/>
      <c r="H1020" s="49"/>
      <c r="I1020" s="49"/>
    </row>
    <row r="1021" ht="15.75" customHeight="1" spans="1:9">
      <c r="A1021" s="49"/>
      <c r="B1021" s="45" t="s">
        <v>1399</v>
      </c>
      <c r="C1021" s="78" t="s">
        <v>1624</v>
      </c>
      <c r="D1021" s="78" t="s">
        <v>1625</v>
      </c>
      <c r="E1021" s="49"/>
      <c r="F1021" s="49"/>
      <c r="G1021" s="49"/>
      <c r="H1021" s="49"/>
      <c r="I1021" s="49"/>
    </row>
    <row r="1022" ht="15.75" customHeight="1" spans="1:9">
      <c r="A1022" s="49"/>
      <c r="B1022" s="45" t="s">
        <v>1399</v>
      </c>
      <c r="C1022" s="78" t="s">
        <v>1626</v>
      </c>
      <c r="D1022" s="78" t="s">
        <v>1627</v>
      </c>
      <c r="E1022" s="49"/>
      <c r="F1022" s="49"/>
      <c r="G1022" s="49"/>
      <c r="H1022" s="49"/>
      <c r="I1022" s="49"/>
    </row>
    <row r="1023" ht="15.75" customHeight="1" spans="1:9">
      <c r="A1023" s="49"/>
      <c r="B1023" s="45" t="s">
        <v>1399</v>
      </c>
      <c r="C1023" s="78" t="s">
        <v>1628</v>
      </c>
      <c r="D1023" s="78" t="s">
        <v>1629</v>
      </c>
      <c r="E1023" s="49"/>
      <c r="F1023" s="49"/>
      <c r="G1023" s="49"/>
      <c r="H1023" s="49"/>
      <c r="I1023" s="49"/>
    </row>
    <row r="1024" ht="15.75" customHeight="1" spans="1:9">
      <c r="A1024" s="49"/>
      <c r="B1024" s="45" t="s">
        <v>1399</v>
      </c>
      <c r="C1024" s="78" t="s">
        <v>1630</v>
      </c>
      <c r="D1024" s="78" t="s">
        <v>1631</v>
      </c>
      <c r="E1024" s="49"/>
      <c r="F1024" s="49"/>
      <c r="G1024" s="49"/>
      <c r="H1024" s="49"/>
      <c r="I1024" s="49"/>
    </row>
    <row r="1025" ht="15.75" customHeight="1" spans="1:9">
      <c r="A1025" s="49"/>
      <c r="B1025" s="45" t="s">
        <v>1399</v>
      </c>
      <c r="C1025" s="78" t="s">
        <v>1632</v>
      </c>
      <c r="D1025" s="78" t="s">
        <v>1633</v>
      </c>
      <c r="E1025" s="49"/>
      <c r="F1025" s="49"/>
      <c r="G1025" s="49"/>
      <c r="H1025" s="49"/>
      <c r="I1025" s="49"/>
    </row>
    <row r="1026" ht="15.75" customHeight="1" spans="1:9">
      <c r="A1026" s="49"/>
      <c r="B1026" s="45" t="s">
        <v>1399</v>
      </c>
      <c r="C1026" s="78" t="s">
        <v>1634</v>
      </c>
      <c r="D1026" s="78" t="s">
        <v>1635</v>
      </c>
      <c r="E1026" s="49"/>
      <c r="F1026" s="49"/>
      <c r="G1026" s="49"/>
      <c r="H1026" s="49"/>
      <c r="I1026" s="49"/>
    </row>
    <row r="1027" ht="15.75" customHeight="1" spans="1:9">
      <c r="A1027" s="49"/>
      <c r="B1027" s="45" t="s">
        <v>1399</v>
      </c>
      <c r="C1027" s="78" t="s">
        <v>1636</v>
      </c>
      <c r="D1027" s="78" t="s">
        <v>1637</v>
      </c>
      <c r="E1027" s="49"/>
      <c r="F1027" s="49"/>
      <c r="G1027" s="49"/>
      <c r="H1027" s="49"/>
      <c r="I1027" s="49"/>
    </row>
    <row r="1028" ht="15.75" customHeight="1" spans="1:9">
      <c r="A1028" s="49"/>
      <c r="B1028" s="45" t="s">
        <v>1399</v>
      </c>
      <c r="C1028" s="78" t="s">
        <v>1638</v>
      </c>
      <c r="D1028" s="78" t="s">
        <v>1639</v>
      </c>
      <c r="E1028" s="49"/>
      <c r="F1028" s="49"/>
      <c r="G1028" s="49"/>
      <c r="H1028" s="49"/>
      <c r="I1028" s="49"/>
    </row>
    <row r="1029" ht="15.75" customHeight="1" spans="1:9">
      <c r="A1029" s="49"/>
      <c r="B1029" s="45" t="s">
        <v>1399</v>
      </c>
      <c r="C1029" s="78" t="s">
        <v>1640</v>
      </c>
      <c r="D1029" s="78" t="s">
        <v>1641</v>
      </c>
      <c r="E1029" s="49"/>
      <c r="F1029" s="49"/>
      <c r="G1029" s="49"/>
      <c r="H1029" s="49"/>
      <c r="I1029" s="49"/>
    </row>
    <row r="1030" ht="15.75" customHeight="1" spans="1:9">
      <c r="A1030" s="49"/>
      <c r="B1030" s="45" t="s">
        <v>1399</v>
      </c>
      <c r="C1030" s="78" t="s">
        <v>1642</v>
      </c>
      <c r="D1030" s="78" t="s">
        <v>1643</v>
      </c>
      <c r="E1030" s="49"/>
      <c r="F1030" s="49"/>
      <c r="G1030" s="49"/>
      <c r="H1030" s="49"/>
      <c r="I1030" s="49"/>
    </row>
    <row r="1031" ht="15.75" customHeight="1" spans="1:9">
      <c r="A1031" s="49"/>
      <c r="B1031" s="45" t="s">
        <v>1399</v>
      </c>
      <c r="C1031" s="78" t="s">
        <v>1644</v>
      </c>
      <c r="D1031" s="78" t="s">
        <v>1645</v>
      </c>
      <c r="E1031" s="49"/>
      <c r="F1031" s="49"/>
      <c r="G1031" s="49"/>
      <c r="H1031" s="49"/>
      <c r="I1031" s="49"/>
    </row>
    <row r="1032" ht="15.75" customHeight="1" spans="1:9">
      <c r="A1032" s="49"/>
      <c r="B1032" s="45" t="s">
        <v>1399</v>
      </c>
      <c r="C1032" s="78" t="s">
        <v>1646</v>
      </c>
      <c r="D1032" s="78" t="s">
        <v>1647</v>
      </c>
      <c r="E1032" s="49"/>
      <c r="F1032" s="49"/>
      <c r="G1032" s="49"/>
      <c r="H1032" s="49"/>
      <c r="I1032" s="49"/>
    </row>
    <row r="1033" ht="15.75" customHeight="1" spans="1:9">
      <c r="A1033" s="49"/>
      <c r="B1033" s="45" t="s">
        <v>1399</v>
      </c>
      <c r="C1033" s="78" t="s">
        <v>1648</v>
      </c>
      <c r="D1033" s="78" t="s">
        <v>1649</v>
      </c>
      <c r="E1033" s="49"/>
      <c r="F1033" s="49"/>
      <c r="G1033" s="49"/>
      <c r="H1033" s="49"/>
      <c r="I1033" s="49"/>
    </row>
    <row r="1034" ht="15.75" customHeight="1" spans="1:9">
      <c r="A1034" s="49"/>
      <c r="B1034" s="45" t="s">
        <v>1399</v>
      </c>
      <c r="C1034" s="78" t="s">
        <v>1650</v>
      </c>
      <c r="D1034" s="78" t="s">
        <v>1651</v>
      </c>
      <c r="E1034" s="49"/>
      <c r="F1034" s="49"/>
      <c r="G1034" s="49"/>
      <c r="H1034" s="49"/>
      <c r="I1034" s="49"/>
    </row>
    <row r="1035" ht="15.75" customHeight="1" spans="1:9">
      <c r="A1035" s="49"/>
      <c r="B1035" s="45" t="s">
        <v>1399</v>
      </c>
      <c r="C1035" s="78" t="s">
        <v>1652</v>
      </c>
      <c r="D1035" s="78" t="s">
        <v>1653</v>
      </c>
      <c r="E1035" s="49"/>
      <c r="F1035" s="49"/>
      <c r="G1035" s="49"/>
      <c r="H1035" s="49"/>
      <c r="I1035" s="49"/>
    </row>
    <row r="1036" ht="15.75" customHeight="1" spans="1:9">
      <c r="A1036" s="49"/>
      <c r="B1036" s="45" t="s">
        <v>1399</v>
      </c>
      <c r="C1036" s="78" t="s">
        <v>1654</v>
      </c>
      <c r="D1036" s="78" t="s">
        <v>1655</v>
      </c>
      <c r="E1036" s="49"/>
      <c r="F1036" s="49"/>
      <c r="G1036" s="49"/>
      <c r="H1036" s="49"/>
      <c r="I1036" s="49"/>
    </row>
    <row r="1037" ht="15.75" customHeight="1" spans="1:9">
      <c r="A1037" s="49"/>
      <c r="B1037" s="45" t="s">
        <v>1399</v>
      </c>
      <c r="C1037" s="78" t="s">
        <v>1656</v>
      </c>
      <c r="D1037" s="78" t="s">
        <v>1657</v>
      </c>
      <c r="E1037" s="49"/>
      <c r="F1037" s="49"/>
      <c r="G1037" s="49"/>
      <c r="H1037" s="49"/>
      <c r="I1037" s="49"/>
    </row>
    <row r="1038" ht="15.75" customHeight="1" spans="1:9">
      <c r="A1038" s="49"/>
      <c r="B1038" s="45" t="s">
        <v>1399</v>
      </c>
      <c r="C1038" s="78" t="s">
        <v>1658</v>
      </c>
      <c r="D1038" s="78" t="s">
        <v>1659</v>
      </c>
      <c r="E1038" s="49"/>
      <c r="F1038" s="49"/>
      <c r="G1038" s="49"/>
      <c r="H1038" s="49"/>
      <c r="I1038" s="49"/>
    </row>
    <row r="1039" ht="15.75" customHeight="1" spans="1:9">
      <c r="A1039" s="49"/>
      <c r="B1039" s="45" t="s">
        <v>1399</v>
      </c>
      <c r="C1039" s="78" t="s">
        <v>1660</v>
      </c>
      <c r="D1039" s="78" t="s">
        <v>1661</v>
      </c>
      <c r="E1039" s="49"/>
      <c r="F1039" s="49"/>
      <c r="G1039" s="49"/>
      <c r="H1039" s="49"/>
      <c r="I1039" s="49"/>
    </row>
    <row r="1040" ht="15.75" customHeight="1" spans="1:9">
      <c r="A1040" s="49"/>
      <c r="B1040" s="45" t="s">
        <v>1399</v>
      </c>
      <c r="C1040" s="78" t="s">
        <v>1662</v>
      </c>
      <c r="D1040" s="78" t="s">
        <v>1663</v>
      </c>
      <c r="E1040" s="49"/>
      <c r="F1040" s="49"/>
      <c r="G1040" s="49"/>
      <c r="H1040" s="49"/>
      <c r="I1040" s="49"/>
    </row>
    <row r="1041" ht="15.75" customHeight="1" spans="1:9">
      <c r="A1041" s="49"/>
      <c r="B1041" s="45" t="s">
        <v>1399</v>
      </c>
      <c r="C1041" s="78" t="s">
        <v>1664</v>
      </c>
      <c r="D1041" s="78" t="s">
        <v>1665</v>
      </c>
      <c r="E1041" s="49"/>
      <c r="F1041" s="49"/>
      <c r="G1041" s="49"/>
      <c r="H1041" s="49"/>
      <c r="I1041" s="49"/>
    </row>
    <row r="1042" ht="15.75" customHeight="1" spans="1:9">
      <c r="A1042" s="49"/>
      <c r="B1042" s="45" t="s">
        <v>1399</v>
      </c>
      <c r="C1042" s="78" t="s">
        <v>1666</v>
      </c>
      <c r="D1042" s="78" t="s">
        <v>1667</v>
      </c>
      <c r="E1042" s="49"/>
      <c r="F1042" s="49"/>
      <c r="G1042" s="49"/>
      <c r="H1042" s="49"/>
      <c r="I1042" s="49"/>
    </row>
    <row r="1043" ht="15.75" customHeight="1" spans="1:9">
      <c r="A1043" s="49"/>
      <c r="B1043" s="45" t="s">
        <v>1399</v>
      </c>
      <c r="C1043" s="78" t="s">
        <v>1668</v>
      </c>
      <c r="D1043" s="78" t="s">
        <v>1669</v>
      </c>
      <c r="E1043" s="49"/>
      <c r="F1043" s="49"/>
      <c r="G1043" s="49"/>
      <c r="H1043" s="49"/>
      <c r="I1043" s="49"/>
    </row>
    <row r="1044" ht="15.75" customHeight="1" spans="1:9">
      <c r="A1044" s="49"/>
      <c r="B1044" s="45" t="s">
        <v>1399</v>
      </c>
      <c r="C1044" s="78" t="s">
        <v>1670</v>
      </c>
      <c r="D1044" s="78" t="s">
        <v>1671</v>
      </c>
      <c r="E1044" s="49"/>
      <c r="F1044" s="49"/>
      <c r="G1044" s="49"/>
      <c r="H1044" s="49"/>
      <c r="I1044" s="49"/>
    </row>
    <row r="1045" ht="15.75" customHeight="1" spans="1:9">
      <c r="A1045" s="49"/>
      <c r="B1045" s="45" t="s">
        <v>1399</v>
      </c>
      <c r="C1045" s="78" t="s">
        <v>1672</v>
      </c>
      <c r="D1045" s="78" t="s">
        <v>1673</v>
      </c>
      <c r="E1045" s="49"/>
      <c r="F1045" s="49"/>
      <c r="G1045" s="49"/>
      <c r="H1045" s="49"/>
      <c r="I1045" s="49"/>
    </row>
    <row r="1046" ht="15.75" customHeight="1" spans="1:9">
      <c r="A1046" s="49"/>
      <c r="B1046" s="45" t="s">
        <v>1399</v>
      </c>
      <c r="C1046" s="78" t="s">
        <v>1674</v>
      </c>
      <c r="D1046" s="78" t="s">
        <v>1675</v>
      </c>
      <c r="E1046" s="49"/>
      <c r="F1046" s="49"/>
      <c r="G1046" s="49"/>
      <c r="H1046" s="49"/>
      <c r="I1046" s="49"/>
    </row>
    <row r="1047" ht="15.75" customHeight="1" spans="1:9">
      <c r="A1047" s="49"/>
      <c r="B1047" s="45" t="s">
        <v>1399</v>
      </c>
      <c r="C1047" s="78" t="s">
        <v>1676</v>
      </c>
      <c r="D1047" s="78" t="s">
        <v>1677</v>
      </c>
      <c r="E1047" s="49"/>
      <c r="F1047" s="49"/>
      <c r="G1047" s="49"/>
      <c r="H1047" s="49"/>
      <c r="I1047" s="49"/>
    </row>
    <row r="1048" ht="15.75" customHeight="1" spans="1:9">
      <c r="A1048" s="49"/>
      <c r="B1048" s="45" t="s">
        <v>1399</v>
      </c>
      <c r="C1048" s="78" t="s">
        <v>1678</v>
      </c>
      <c r="D1048" s="78" t="s">
        <v>1679</v>
      </c>
      <c r="E1048" s="49"/>
      <c r="F1048" s="49"/>
      <c r="G1048" s="49"/>
      <c r="H1048" s="49"/>
      <c r="I1048" s="49"/>
    </row>
    <row r="1049" ht="15.75" customHeight="1" spans="1:9">
      <c r="A1049" s="49"/>
      <c r="B1049" s="45" t="s">
        <v>1399</v>
      </c>
      <c r="C1049" s="78" t="s">
        <v>1680</v>
      </c>
      <c r="D1049" s="78" t="s">
        <v>1681</v>
      </c>
      <c r="E1049" s="49"/>
      <c r="F1049" s="49"/>
      <c r="G1049" s="49"/>
      <c r="H1049" s="49"/>
      <c r="I1049" s="49"/>
    </row>
    <row r="1050" ht="15.75" customHeight="1" spans="1:9">
      <c r="A1050" s="49"/>
      <c r="B1050" s="45" t="s">
        <v>1399</v>
      </c>
      <c r="C1050" s="78" t="s">
        <v>1682</v>
      </c>
      <c r="D1050" s="78" t="s">
        <v>1683</v>
      </c>
      <c r="E1050" s="49"/>
      <c r="F1050" s="49"/>
      <c r="G1050" s="49"/>
      <c r="H1050" s="49"/>
      <c r="I1050" s="49"/>
    </row>
    <row r="1051" ht="15.75" customHeight="1" spans="1:9">
      <c r="A1051" s="49"/>
      <c r="B1051" s="45" t="s">
        <v>1399</v>
      </c>
      <c r="C1051" s="78" t="s">
        <v>1684</v>
      </c>
      <c r="D1051" s="78" t="s">
        <v>1685</v>
      </c>
      <c r="E1051" s="49"/>
      <c r="F1051" s="49"/>
      <c r="G1051" s="49"/>
      <c r="H1051" s="49"/>
      <c r="I1051" s="49"/>
    </row>
    <row r="1052" ht="15.75" customHeight="1" spans="1:9">
      <c r="A1052" s="49"/>
      <c r="B1052" s="45" t="s">
        <v>1399</v>
      </c>
      <c r="C1052" s="78" t="s">
        <v>1686</v>
      </c>
      <c r="D1052" s="78" t="s">
        <v>1687</v>
      </c>
      <c r="E1052" s="49"/>
      <c r="F1052" s="49"/>
      <c r="G1052" s="49"/>
      <c r="H1052" s="49"/>
      <c r="I1052" s="49"/>
    </row>
    <row r="1053" ht="15.75" customHeight="1" spans="1:9">
      <c r="A1053" s="49"/>
      <c r="B1053" s="45" t="s">
        <v>1399</v>
      </c>
      <c r="C1053" s="78" t="s">
        <v>1688</v>
      </c>
      <c r="D1053" s="78" t="s">
        <v>1689</v>
      </c>
      <c r="E1053" s="49"/>
      <c r="F1053" s="49"/>
      <c r="G1053" s="49"/>
      <c r="H1053" s="49"/>
      <c r="I1053" s="49"/>
    </row>
    <row r="1054" ht="15.75" customHeight="1" spans="1:9">
      <c r="A1054" s="49"/>
      <c r="B1054" s="45" t="s">
        <v>1399</v>
      </c>
      <c r="C1054" s="78" t="s">
        <v>1690</v>
      </c>
      <c r="D1054" s="78" t="s">
        <v>1691</v>
      </c>
      <c r="E1054" s="49"/>
      <c r="F1054" s="49"/>
      <c r="G1054" s="49"/>
      <c r="H1054" s="49"/>
      <c r="I1054" s="49"/>
    </row>
    <row r="1055" ht="15.75" customHeight="1" spans="1:9">
      <c r="A1055" s="49"/>
      <c r="B1055" s="45" t="s">
        <v>1399</v>
      </c>
      <c r="C1055" s="78" t="s">
        <v>1692</v>
      </c>
      <c r="D1055" s="78" t="s">
        <v>1693</v>
      </c>
      <c r="E1055" s="49"/>
      <c r="F1055" s="49"/>
      <c r="G1055" s="49"/>
      <c r="H1055" s="49"/>
      <c r="I1055" s="49"/>
    </row>
    <row r="1056" ht="15.75" customHeight="1" spans="1:9">
      <c r="A1056" s="49"/>
      <c r="B1056" s="45" t="s">
        <v>1399</v>
      </c>
      <c r="C1056" s="78" t="s">
        <v>1694</v>
      </c>
      <c r="D1056" s="78" t="s">
        <v>1695</v>
      </c>
      <c r="E1056" s="49"/>
      <c r="F1056" s="49"/>
      <c r="G1056" s="49"/>
      <c r="H1056" s="49"/>
      <c r="I1056" s="49"/>
    </row>
    <row r="1057" ht="15.75" customHeight="1" spans="1:9">
      <c r="A1057" s="49"/>
      <c r="B1057" s="45" t="s">
        <v>1399</v>
      </c>
      <c r="C1057" s="78" t="s">
        <v>1696</v>
      </c>
      <c r="D1057" s="78" t="s">
        <v>1697</v>
      </c>
      <c r="E1057" s="49"/>
      <c r="F1057" s="49"/>
      <c r="G1057" s="49"/>
      <c r="H1057" s="49"/>
      <c r="I1057" s="49"/>
    </row>
    <row r="1058" ht="15.75" customHeight="1" spans="1:9">
      <c r="A1058" s="49"/>
      <c r="B1058" s="45" t="s">
        <v>1399</v>
      </c>
      <c r="C1058" s="78" t="s">
        <v>1698</v>
      </c>
      <c r="D1058" s="78" t="s">
        <v>1699</v>
      </c>
      <c r="E1058" s="49"/>
      <c r="F1058" s="49"/>
      <c r="G1058" s="49"/>
      <c r="H1058" s="49"/>
      <c r="I1058" s="49"/>
    </row>
    <row r="1059" ht="15.75" customHeight="1" spans="1:9">
      <c r="A1059" s="49"/>
      <c r="B1059" s="45" t="s">
        <v>1399</v>
      </c>
      <c r="C1059" s="78" t="s">
        <v>1700</v>
      </c>
      <c r="D1059" s="78" t="s">
        <v>1701</v>
      </c>
      <c r="E1059" s="49"/>
      <c r="F1059" s="49"/>
      <c r="G1059" s="49"/>
      <c r="H1059" s="49"/>
      <c r="I1059" s="49"/>
    </row>
    <row r="1060" ht="15.75" customHeight="1" spans="1:9">
      <c r="A1060" s="49"/>
      <c r="B1060" s="45" t="s">
        <v>1399</v>
      </c>
      <c r="C1060" s="78" t="s">
        <v>1702</v>
      </c>
      <c r="D1060" s="78" t="s">
        <v>1703</v>
      </c>
      <c r="E1060" s="49"/>
      <c r="F1060" s="49"/>
      <c r="G1060" s="49"/>
      <c r="H1060" s="49"/>
      <c r="I1060" s="49"/>
    </row>
    <row r="1061" ht="15.75" customHeight="1" spans="1:9">
      <c r="A1061" s="49"/>
      <c r="B1061" s="45" t="s">
        <v>1399</v>
      </c>
      <c r="C1061" s="78" t="s">
        <v>1704</v>
      </c>
      <c r="D1061" s="78" t="s">
        <v>1705</v>
      </c>
      <c r="E1061" s="49"/>
      <c r="F1061" s="49"/>
      <c r="G1061" s="49"/>
      <c r="H1061" s="49"/>
      <c r="I1061" s="49"/>
    </row>
    <row r="1062" ht="15.75" customHeight="1" spans="1:9">
      <c r="A1062" s="49"/>
      <c r="B1062" s="45" t="s">
        <v>1399</v>
      </c>
      <c r="C1062" s="78" t="s">
        <v>1706</v>
      </c>
      <c r="D1062" s="78" t="s">
        <v>1707</v>
      </c>
      <c r="E1062" s="49"/>
      <c r="F1062" s="49"/>
      <c r="G1062" s="49"/>
      <c r="H1062" s="49"/>
      <c r="I1062" s="49"/>
    </row>
    <row r="1063" ht="15.75" customHeight="1" spans="1:9">
      <c r="A1063" s="49"/>
      <c r="B1063" s="45" t="s">
        <v>1399</v>
      </c>
      <c r="C1063" s="78" t="s">
        <v>1708</v>
      </c>
      <c r="D1063" s="78" t="s">
        <v>1709</v>
      </c>
      <c r="E1063" s="49"/>
      <c r="F1063" s="49"/>
      <c r="G1063" s="49"/>
      <c r="H1063" s="49"/>
      <c r="I1063" s="49"/>
    </row>
    <row r="1064" ht="15.75" customHeight="1" spans="1:9">
      <c r="A1064" s="49"/>
      <c r="B1064" s="45" t="s">
        <v>1399</v>
      </c>
      <c r="C1064" s="78" t="s">
        <v>1710</v>
      </c>
      <c r="D1064" s="78" t="s">
        <v>1711</v>
      </c>
      <c r="E1064" s="49"/>
      <c r="F1064" s="49"/>
      <c r="G1064" s="49"/>
      <c r="H1064" s="49"/>
      <c r="I1064" s="49"/>
    </row>
    <row r="1065" ht="15.75" customHeight="1" spans="1:9">
      <c r="A1065" s="49"/>
      <c r="B1065" s="45" t="s">
        <v>1399</v>
      </c>
      <c r="C1065" s="78" t="s">
        <v>1712</v>
      </c>
      <c r="D1065" s="78" t="s">
        <v>1713</v>
      </c>
      <c r="E1065" s="49"/>
      <c r="F1065" s="49"/>
      <c r="G1065" s="49"/>
      <c r="H1065" s="49"/>
      <c r="I1065" s="49"/>
    </row>
    <row r="1066" ht="15.75" customHeight="1" spans="1:9">
      <c r="A1066" s="49"/>
      <c r="B1066" s="45" t="s">
        <v>1399</v>
      </c>
      <c r="C1066" s="78" t="s">
        <v>1714</v>
      </c>
      <c r="D1066" s="78" t="s">
        <v>1715</v>
      </c>
      <c r="E1066" s="49"/>
      <c r="F1066" s="49"/>
      <c r="G1066" s="49"/>
      <c r="H1066" s="49"/>
      <c r="I1066" s="49"/>
    </row>
    <row r="1067" ht="15.75" customHeight="1" spans="1:9">
      <c r="A1067" s="49"/>
      <c r="B1067" s="45" t="s">
        <v>1399</v>
      </c>
      <c r="C1067" s="78" t="s">
        <v>1716</v>
      </c>
      <c r="D1067" s="78" t="s">
        <v>1717</v>
      </c>
      <c r="E1067" s="49"/>
      <c r="F1067" s="49"/>
      <c r="G1067" s="49"/>
      <c r="H1067" s="49"/>
      <c r="I1067" s="49"/>
    </row>
    <row r="1068" ht="15.75" customHeight="1" spans="1:9">
      <c r="A1068" s="49"/>
      <c r="B1068" s="45" t="s">
        <v>1399</v>
      </c>
      <c r="C1068" s="78" t="s">
        <v>1718</v>
      </c>
      <c r="D1068" s="78" t="s">
        <v>1719</v>
      </c>
      <c r="E1068" s="49"/>
      <c r="F1068" s="49"/>
      <c r="G1068" s="49"/>
      <c r="H1068" s="49"/>
      <c r="I1068" s="49"/>
    </row>
    <row r="1069" ht="15.75" customHeight="1" spans="1:9">
      <c r="A1069" s="49"/>
      <c r="B1069" s="45" t="s">
        <v>1399</v>
      </c>
      <c r="C1069" s="78" t="s">
        <v>1720</v>
      </c>
      <c r="D1069" s="78" t="s">
        <v>1721</v>
      </c>
      <c r="E1069" s="49"/>
      <c r="F1069" s="49"/>
      <c r="G1069" s="49"/>
      <c r="H1069" s="49"/>
      <c r="I1069" s="49"/>
    </row>
    <row r="1070" ht="15.75" customHeight="1" spans="1:9">
      <c r="A1070" s="49"/>
      <c r="B1070" s="45" t="s">
        <v>1399</v>
      </c>
      <c r="C1070" s="78" t="s">
        <v>1722</v>
      </c>
      <c r="D1070" s="78" t="s">
        <v>1723</v>
      </c>
      <c r="E1070" s="49"/>
      <c r="F1070" s="49"/>
      <c r="G1070" s="49"/>
      <c r="H1070" s="49"/>
      <c r="I1070" s="49"/>
    </row>
    <row r="1071" ht="15.75" customHeight="1" spans="1:9">
      <c r="A1071" s="49"/>
      <c r="B1071" s="45" t="s">
        <v>1399</v>
      </c>
      <c r="C1071" s="78" t="s">
        <v>1724</v>
      </c>
      <c r="D1071" s="78" t="s">
        <v>1725</v>
      </c>
      <c r="E1071" s="49"/>
      <c r="F1071" s="49"/>
      <c r="G1071" s="49"/>
      <c r="H1071" s="49"/>
      <c r="I1071" s="49"/>
    </row>
    <row r="1072" ht="15.75" customHeight="1" spans="1:9">
      <c r="A1072" s="49"/>
      <c r="B1072" s="45" t="s">
        <v>1399</v>
      </c>
      <c r="C1072" s="78" t="s">
        <v>1726</v>
      </c>
      <c r="D1072" s="78" t="s">
        <v>1727</v>
      </c>
      <c r="E1072" s="49"/>
      <c r="F1072" s="49"/>
      <c r="G1072" s="49"/>
      <c r="H1072" s="49"/>
      <c r="I1072" s="49"/>
    </row>
    <row r="1073" ht="15.75" customHeight="1" spans="1:9">
      <c r="A1073" s="49"/>
      <c r="B1073" s="45" t="s">
        <v>1399</v>
      </c>
      <c r="C1073" s="78" t="s">
        <v>1728</v>
      </c>
      <c r="D1073" s="78" t="s">
        <v>1729</v>
      </c>
      <c r="E1073" s="49"/>
      <c r="F1073" s="49"/>
      <c r="G1073" s="49"/>
      <c r="H1073" s="49"/>
      <c r="I1073" s="49"/>
    </row>
    <row r="1074" ht="15.75" customHeight="1" spans="1:9">
      <c r="A1074" s="49"/>
      <c r="B1074" s="45" t="s">
        <v>1399</v>
      </c>
      <c r="C1074" s="78" t="s">
        <v>1730</v>
      </c>
      <c r="D1074" s="78" t="s">
        <v>1731</v>
      </c>
      <c r="E1074" s="49"/>
      <c r="F1074" s="49"/>
      <c r="G1074" s="49"/>
      <c r="H1074" s="49"/>
      <c r="I1074" s="49"/>
    </row>
    <row r="1075" ht="15.75" customHeight="1" spans="1:9">
      <c r="A1075" s="49"/>
      <c r="B1075" s="45" t="s">
        <v>1399</v>
      </c>
      <c r="C1075" s="78" t="s">
        <v>1732</v>
      </c>
      <c r="D1075" s="78" t="s">
        <v>1733</v>
      </c>
      <c r="E1075" s="49"/>
      <c r="F1075" s="49"/>
      <c r="G1075" s="49"/>
      <c r="H1075" s="49"/>
      <c r="I1075" s="49"/>
    </row>
    <row r="1076" ht="15.75" customHeight="1" spans="1:9">
      <c r="A1076" s="49"/>
      <c r="B1076" s="45" t="s">
        <v>1399</v>
      </c>
      <c r="C1076" s="78" t="s">
        <v>1734</v>
      </c>
      <c r="D1076" s="78" t="s">
        <v>1735</v>
      </c>
      <c r="E1076" s="49"/>
      <c r="F1076" s="49"/>
      <c r="G1076" s="49"/>
      <c r="H1076" s="49"/>
      <c r="I1076" s="49"/>
    </row>
    <row r="1077" ht="15.75" customHeight="1" spans="1:9">
      <c r="A1077" s="49"/>
      <c r="B1077" s="45" t="s">
        <v>1399</v>
      </c>
      <c r="C1077" s="78" t="s">
        <v>1736</v>
      </c>
      <c r="D1077" s="78" t="s">
        <v>1737</v>
      </c>
      <c r="E1077" s="49"/>
      <c r="F1077" s="49"/>
      <c r="G1077" s="49"/>
      <c r="H1077" s="49"/>
      <c r="I1077" s="49"/>
    </row>
    <row r="1078" ht="15.75" customHeight="1" spans="1:9">
      <c r="A1078" s="49"/>
      <c r="B1078" s="45" t="s">
        <v>1399</v>
      </c>
      <c r="C1078" s="78" t="s">
        <v>1738</v>
      </c>
      <c r="D1078" s="78" t="s">
        <v>1739</v>
      </c>
      <c r="E1078" s="49"/>
      <c r="F1078" s="49"/>
      <c r="G1078" s="49"/>
      <c r="H1078" s="49"/>
      <c r="I1078" s="49"/>
    </row>
    <row r="1079" ht="15.75" customHeight="1" spans="1:9">
      <c r="A1079" s="49"/>
      <c r="B1079" s="45" t="s">
        <v>1399</v>
      </c>
      <c r="C1079" s="78" t="s">
        <v>1740</v>
      </c>
      <c r="D1079" s="78" t="s">
        <v>1741</v>
      </c>
      <c r="E1079" s="49"/>
      <c r="F1079" s="49"/>
      <c r="G1079" s="49"/>
      <c r="H1079" s="49"/>
      <c r="I1079" s="49"/>
    </row>
    <row r="1080" ht="15.75" customHeight="1" spans="1:9">
      <c r="A1080" s="49"/>
      <c r="B1080" s="45" t="s">
        <v>1399</v>
      </c>
      <c r="C1080" s="78" t="s">
        <v>1742</v>
      </c>
      <c r="D1080" s="78" t="s">
        <v>1743</v>
      </c>
      <c r="E1080" s="49"/>
      <c r="F1080" s="49"/>
      <c r="G1080" s="49"/>
      <c r="H1080" s="49"/>
      <c r="I1080" s="49"/>
    </row>
    <row r="1081" ht="15.75" customHeight="1" spans="1:9">
      <c r="A1081" s="49"/>
      <c r="B1081" s="45" t="s">
        <v>1399</v>
      </c>
      <c r="C1081" s="78" t="s">
        <v>1744</v>
      </c>
      <c r="D1081" s="78" t="s">
        <v>1745</v>
      </c>
      <c r="E1081" s="49"/>
      <c r="F1081" s="49"/>
      <c r="G1081" s="49"/>
      <c r="H1081" s="49"/>
      <c r="I1081" s="49"/>
    </row>
    <row r="1082" ht="15.75" customHeight="1" spans="1:9">
      <c r="A1082" s="49"/>
      <c r="B1082" s="45" t="s">
        <v>1399</v>
      </c>
      <c r="C1082" s="78" t="s">
        <v>1746</v>
      </c>
      <c r="D1082" s="78" t="s">
        <v>1747</v>
      </c>
      <c r="E1082" s="49"/>
      <c r="F1082" s="49"/>
      <c r="G1082" s="49"/>
      <c r="H1082" s="49"/>
      <c r="I1082" s="49"/>
    </row>
    <row r="1083" ht="15.75" customHeight="1" spans="1:9">
      <c r="A1083" s="49"/>
      <c r="B1083" s="45" t="s">
        <v>1399</v>
      </c>
      <c r="C1083" s="78" t="s">
        <v>1748</v>
      </c>
      <c r="D1083" s="78" t="s">
        <v>1749</v>
      </c>
      <c r="E1083" s="49"/>
      <c r="F1083" s="49"/>
      <c r="G1083" s="49"/>
      <c r="H1083" s="49"/>
      <c r="I1083" s="49"/>
    </row>
    <row r="1084" ht="15.75" customHeight="1" spans="1:9">
      <c r="A1084" s="49"/>
      <c r="B1084" s="45" t="s">
        <v>1399</v>
      </c>
      <c r="C1084" s="78" t="s">
        <v>1750</v>
      </c>
      <c r="D1084" s="78" t="s">
        <v>1751</v>
      </c>
      <c r="E1084" s="49"/>
      <c r="F1084" s="49"/>
      <c r="G1084" s="49"/>
      <c r="H1084" s="49"/>
      <c r="I1084" s="49"/>
    </row>
    <row r="1085" ht="15.75" customHeight="1" spans="1:9">
      <c r="A1085" s="49"/>
      <c r="B1085" s="45" t="s">
        <v>1399</v>
      </c>
      <c r="C1085" s="78" t="s">
        <v>1752</v>
      </c>
      <c r="D1085" s="78" t="s">
        <v>1753</v>
      </c>
      <c r="E1085" s="49"/>
      <c r="F1085" s="49"/>
      <c r="G1085" s="49"/>
      <c r="H1085" s="49"/>
      <c r="I1085" s="49"/>
    </row>
    <row r="1086" ht="15.75" customHeight="1" spans="1:9">
      <c r="A1086" s="49"/>
      <c r="B1086" s="45" t="s">
        <v>1399</v>
      </c>
      <c r="C1086" s="78" t="s">
        <v>1754</v>
      </c>
      <c r="D1086" s="78" t="s">
        <v>1755</v>
      </c>
      <c r="E1086" s="49"/>
      <c r="F1086" s="49"/>
      <c r="G1086" s="49"/>
      <c r="H1086" s="49"/>
      <c r="I1086" s="49"/>
    </row>
    <row r="1087" ht="15.75" customHeight="1" spans="1:9">
      <c r="A1087" s="49"/>
      <c r="B1087" s="45" t="s">
        <v>1399</v>
      </c>
      <c r="C1087" s="78" t="s">
        <v>1756</v>
      </c>
      <c r="D1087" s="78" t="s">
        <v>1757</v>
      </c>
      <c r="E1087" s="49"/>
      <c r="F1087" s="49"/>
      <c r="G1087" s="49"/>
      <c r="H1087" s="49"/>
      <c r="I1087" s="49"/>
    </row>
    <row r="1088" ht="15.75" customHeight="1" spans="1:9">
      <c r="A1088" s="49"/>
      <c r="B1088" s="45" t="s">
        <v>1399</v>
      </c>
      <c r="C1088" s="78" t="s">
        <v>1758</v>
      </c>
      <c r="D1088" s="78" t="s">
        <v>1759</v>
      </c>
      <c r="E1088" s="49"/>
      <c r="F1088" s="49"/>
      <c r="G1088" s="49"/>
      <c r="H1088" s="49"/>
      <c r="I1088" s="49"/>
    </row>
    <row r="1089" ht="15.75" customHeight="1" spans="1:9">
      <c r="A1089" s="49"/>
      <c r="B1089" s="45" t="s">
        <v>1399</v>
      </c>
      <c r="C1089" s="78" t="s">
        <v>1760</v>
      </c>
      <c r="D1089" s="78" t="s">
        <v>1761</v>
      </c>
      <c r="E1089" s="49"/>
      <c r="F1089" s="49"/>
      <c r="G1089" s="49"/>
      <c r="H1089" s="49"/>
      <c r="I1089" s="49"/>
    </row>
    <row r="1090" ht="15.75" customHeight="1" spans="1:9">
      <c r="A1090" s="49"/>
      <c r="B1090" s="45" t="s">
        <v>1399</v>
      </c>
      <c r="C1090" s="78" t="s">
        <v>1762</v>
      </c>
      <c r="D1090" s="78" t="s">
        <v>1763</v>
      </c>
      <c r="E1090" s="49"/>
      <c r="F1090" s="49"/>
      <c r="G1090" s="49"/>
      <c r="H1090" s="49"/>
      <c r="I1090" s="49"/>
    </row>
    <row r="1091" ht="15.75" customHeight="1" spans="1:9">
      <c r="A1091" s="49"/>
      <c r="B1091" s="45" t="s">
        <v>1399</v>
      </c>
      <c r="C1091" s="78" t="s">
        <v>1764</v>
      </c>
      <c r="D1091" s="78" t="s">
        <v>1765</v>
      </c>
      <c r="E1091" s="49"/>
      <c r="F1091" s="49"/>
      <c r="G1091" s="49"/>
      <c r="H1091" s="49"/>
      <c r="I1091" s="49"/>
    </row>
    <row r="1092" ht="15.75" customHeight="1" spans="1:9">
      <c r="A1092" s="49"/>
      <c r="B1092" s="45" t="s">
        <v>1399</v>
      </c>
      <c r="C1092" s="78" t="s">
        <v>1766</v>
      </c>
      <c r="D1092" s="78" t="s">
        <v>1767</v>
      </c>
      <c r="E1092" s="49"/>
      <c r="F1092" s="49"/>
      <c r="G1092" s="49"/>
      <c r="H1092" s="49"/>
      <c r="I1092" s="49"/>
    </row>
    <row r="1093" ht="15.75" customHeight="1" spans="1:9">
      <c r="A1093" s="49"/>
      <c r="B1093" s="45" t="s">
        <v>1399</v>
      </c>
      <c r="C1093" s="78" t="s">
        <v>1768</v>
      </c>
      <c r="D1093" s="78" t="s">
        <v>1769</v>
      </c>
      <c r="E1093" s="49"/>
      <c r="F1093" s="49"/>
      <c r="G1093" s="49"/>
      <c r="H1093" s="49"/>
      <c r="I1093" s="49"/>
    </row>
    <row r="1094" ht="15.75" customHeight="1" spans="1:9">
      <c r="A1094" s="49"/>
      <c r="B1094" s="45" t="s">
        <v>1399</v>
      </c>
      <c r="C1094" s="78" t="s">
        <v>1770</v>
      </c>
      <c r="D1094" s="78" t="s">
        <v>1771</v>
      </c>
      <c r="E1094" s="49"/>
      <c r="F1094" s="49"/>
      <c r="G1094" s="49"/>
      <c r="H1094" s="49"/>
      <c r="I1094" s="49"/>
    </row>
    <row r="1095" ht="15.75" customHeight="1" spans="1:9">
      <c r="A1095" s="49"/>
      <c r="B1095" s="45" t="s">
        <v>1399</v>
      </c>
      <c r="C1095" s="78" t="s">
        <v>1772</v>
      </c>
      <c r="D1095" s="78" t="s">
        <v>1773</v>
      </c>
      <c r="E1095" s="49"/>
      <c r="F1095" s="49"/>
      <c r="G1095" s="49"/>
      <c r="H1095" s="49"/>
      <c r="I1095" s="49"/>
    </row>
    <row r="1096" ht="15.75" customHeight="1" spans="1:9">
      <c r="A1096" s="49"/>
      <c r="B1096" s="45" t="s">
        <v>1399</v>
      </c>
      <c r="C1096" s="78" t="s">
        <v>1774</v>
      </c>
      <c r="D1096" s="78" t="s">
        <v>1775</v>
      </c>
      <c r="E1096" s="49"/>
      <c r="F1096" s="49"/>
      <c r="G1096" s="49"/>
      <c r="H1096" s="49"/>
      <c r="I1096" s="49"/>
    </row>
    <row r="1097" ht="15.75" customHeight="1" spans="1:9">
      <c r="A1097" s="49"/>
      <c r="B1097" s="45" t="s">
        <v>1399</v>
      </c>
      <c r="C1097" s="78" t="s">
        <v>1776</v>
      </c>
      <c r="D1097" s="78" t="s">
        <v>1777</v>
      </c>
      <c r="E1097" s="49"/>
      <c r="F1097" s="49"/>
      <c r="G1097" s="49"/>
      <c r="H1097" s="49"/>
      <c r="I1097" s="49"/>
    </row>
    <row r="1098" ht="15.75" customHeight="1" spans="1:9">
      <c r="A1098" s="49"/>
      <c r="B1098" s="45" t="s">
        <v>1399</v>
      </c>
      <c r="C1098" s="78" t="s">
        <v>1778</v>
      </c>
      <c r="D1098" s="78" t="s">
        <v>1779</v>
      </c>
      <c r="E1098" s="49"/>
      <c r="F1098" s="49"/>
      <c r="G1098" s="49"/>
      <c r="H1098" s="49"/>
      <c r="I1098" s="49"/>
    </row>
    <row r="1099" ht="15.75" customHeight="1" spans="1:9">
      <c r="A1099" s="49"/>
      <c r="B1099" s="45" t="s">
        <v>1399</v>
      </c>
      <c r="C1099" s="78" t="s">
        <v>1780</v>
      </c>
      <c r="D1099" s="78" t="s">
        <v>1781</v>
      </c>
      <c r="E1099" s="49"/>
      <c r="F1099" s="49"/>
      <c r="G1099" s="49"/>
      <c r="H1099" s="49"/>
      <c r="I1099" s="49"/>
    </row>
    <row r="1100" ht="15.75" customHeight="1" spans="1:9">
      <c r="A1100" s="49"/>
      <c r="B1100" s="45" t="s">
        <v>1399</v>
      </c>
      <c r="C1100" s="78" t="s">
        <v>1782</v>
      </c>
      <c r="D1100" s="78" t="s">
        <v>1783</v>
      </c>
      <c r="E1100" s="49"/>
      <c r="F1100" s="49"/>
      <c r="G1100" s="49"/>
      <c r="H1100" s="49"/>
      <c r="I1100" s="49"/>
    </row>
    <row r="1101" ht="15.75" customHeight="1" spans="1:9">
      <c r="A1101" s="49"/>
      <c r="B1101" s="45" t="s">
        <v>1399</v>
      </c>
      <c r="C1101" s="78" t="s">
        <v>1784</v>
      </c>
      <c r="D1101" s="78" t="s">
        <v>1785</v>
      </c>
      <c r="E1101" s="49"/>
      <c r="F1101" s="49"/>
      <c r="G1101" s="49"/>
      <c r="H1101" s="49"/>
      <c r="I1101" s="49"/>
    </row>
    <row r="1102" ht="15.75" customHeight="1" spans="1:9">
      <c r="A1102" s="49"/>
      <c r="B1102" s="45" t="s">
        <v>1399</v>
      </c>
      <c r="C1102" s="78" t="s">
        <v>1786</v>
      </c>
      <c r="D1102" s="78" t="s">
        <v>1787</v>
      </c>
      <c r="E1102" s="49"/>
      <c r="F1102" s="49"/>
      <c r="G1102" s="49"/>
      <c r="H1102" s="49"/>
      <c r="I1102" s="49"/>
    </row>
    <row r="1103" ht="15.75" customHeight="1" spans="1:9">
      <c r="A1103" s="49"/>
      <c r="B1103" s="45" t="s">
        <v>1399</v>
      </c>
      <c r="C1103" s="78" t="s">
        <v>1788</v>
      </c>
      <c r="D1103" s="78" t="s">
        <v>1789</v>
      </c>
      <c r="E1103" s="49"/>
      <c r="F1103" s="49"/>
      <c r="G1103" s="49"/>
      <c r="H1103" s="49"/>
      <c r="I1103" s="49"/>
    </row>
    <row r="1104" ht="15.75" customHeight="1" spans="1:9">
      <c r="A1104" s="49"/>
      <c r="B1104" s="45" t="s">
        <v>1399</v>
      </c>
      <c r="C1104" s="78" t="s">
        <v>1790</v>
      </c>
      <c r="D1104" s="78" t="s">
        <v>1791</v>
      </c>
      <c r="E1104" s="49"/>
      <c r="F1104" s="49"/>
      <c r="G1104" s="49"/>
      <c r="H1104" s="49"/>
      <c r="I1104" s="49"/>
    </row>
    <row r="1105" ht="15.75" customHeight="1" spans="1:9">
      <c r="A1105" s="49"/>
      <c r="B1105" s="45" t="s">
        <v>1399</v>
      </c>
      <c r="C1105" s="78" t="s">
        <v>1792</v>
      </c>
      <c r="D1105" s="78" t="s">
        <v>1793</v>
      </c>
      <c r="E1105" s="49"/>
      <c r="F1105" s="49"/>
      <c r="G1105" s="49"/>
      <c r="H1105" s="49"/>
      <c r="I1105" s="49"/>
    </row>
    <row r="1106" ht="15.75" customHeight="1" spans="1:9">
      <c r="A1106" s="49"/>
      <c r="B1106" s="45" t="s">
        <v>1399</v>
      </c>
      <c r="C1106" s="78" t="s">
        <v>1794</v>
      </c>
      <c r="D1106" s="78" t="s">
        <v>1795</v>
      </c>
      <c r="E1106" s="49"/>
      <c r="F1106" s="49"/>
      <c r="G1106" s="49"/>
      <c r="H1106" s="49"/>
      <c r="I1106" s="49"/>
    </row>
    <row r="1107" ht="15.75" customHeight="1" spans="1:9">
      <c r="A1107" s="49"/>
      <c r="B1107" s="45" t="s">
        <v>1399</v>
      </c>
      <c r="C1107" s="78" t="s">
        <v>1796</v>
      </c>
      <c r="D1107" s="78" t="s">
        <v>1797</v>
      </c>
      <c r="E1107" s="49"/>
      <c r="F1107" s="49"/>
      <c r="G1107" s="49"/>
      <c r="H1107" s="49"/>
      <c r="I1107" s="49"/>
    </row>
    <row r="1108" ht="15.75" customHeight="1" spans="1:9">
      <c r="A1108" s="49"/>
      <c r="B1108" s="45" t="s">
        <v>1399</v>
      </c>
      <c r="C1108" s="78" t="s">
        <v>1798</v>
      </c>
      <c r="D1108" s="78" t="s">
        <v>1799</v>
      </c>
      <c r="E1108" s="49"/>
      <c r="F1108" s="49"/>
      <c r="G1108" s="49"/>
      <c r="H1108" s="49"/>
      <c r="I1108" s="49"/>
    </row>
    <row r="1109" ht="15.75" customHeight="1" spans="1:9">
      <c r="A1109" s="49"/>
      <c r="B1109" s="45" t="s">
        <v>1399</v>
      </c>
      <c r="C1109" s="78" t="s">
        <v>1800</v>
      </c>
      <c r="D1109" s="78" t="s">
        <v>1801</v>
      </c>
      <c r="E1109" s="49"/>
      <c r="F1109" s="49"/>
      <c r="G1109" s="49"/>
      <c r="H1109" s="49"/>
      <c r="I1109" s="49"/>
    </row>
    <row r="1110" ht="15.75" customHeight="1" spans="1:9">
      <c r="A1110" s="49"/>
      <c r="B1110" s="45" t="s">
        <v>1399</v>
      </c>
      <c r="C1110" s="78" t="s">
        <v>1802</v>
      </c>
      <c r="D1110" s="78" t="s">
        <v>1803</v>
      </c>
      <c r="E1110" s="49"/>
      <c r="F1110" s="49"/>
      <c r="G1110" s="49"/>
      <c r="H1110" s="49"/>
      <c r="I1110" s="49"/>
    </row>
    <row r="1111" ht="15.75" customHeight="1" spans="1:9">
      <c r="A1111" s="49"/>
      <c r="B1111" s="45" t="s">
        <v>1399</v>
      </c>
      <c r="C1111" s="78" t="s">
        <v>1804</v>
      </c>
      <c r="D1111" s="78" t="s">
        <v>1805</v>
      </c>
      <c r="E1111" s="49"/>
      <c r="F1111" s="49"/>
      <c r="G1111" s="49"/>
      <c r="H1111" s="49"/>
      <c r="I1111" s="49"/>
    </row>
    <row r="1112" ht="15.75" customHeight="1" spans="1:9">
      <c r="A1112" s="49"/>
      <c r="B1112" s="45" t="s">
        <v>1399</v>
      </c>
      <c r="C1112" s="78" t="s">
        <v>1806</v>
      </c>
      <c r="D1112" s="78" t="s">
        <v>1807</v>
      </c>
      <c r="E1112" s="49"/>
      <c r="F1112" s="49"/>
      <c r="G1112" s="49"/>
      <c r="H1112" s="49"/>
      <c r="I1112" s="49"/>
    </row>
    <row r="1113" ht="15.75" customHeight="1" spans="1:9">
      <c r="A1113" s="49"/>
      <c r="B1113" s="45" t="s">
        <v>1399</v>
      </c>
      <c r="C1113" s="78" t="s">
        <v>1808</v>
      </c>
      <c r="D1113" s="78" t="s">
        <v>1809</v>
      </c>
      <c r="E1113" s="49"/>
      <c r="F1113" s="49"/>
      <c r="G1113" s="49"/>
      <c r="H1113" s="49"/>
      <c r="I1113" s="49"/>
    </row>
    <row r="1114" ht="15.75" customHeight="1" spans="1:9">
      <c r="A1114" s="49"/>
      <c r="B1114" s="45" t="s">
        <v>1399</v>
      </c>
      <c r="C1114" s="78" t="s">
        <v>1810</v>
      </c>
      <c r="D1114" s="78" t="s">
        <v>1811</v>
      </c>
      <c r="E1114" s="49"/>
      <c r="F1114" s="49"/>
      <c r="G1114" s="49"/>
      <c r="H1114" s="49"/>
      <c r="I1114" s="49"/>
    </row>
    <row r="1115" ht="15.75" customHeight="1" spans="1:9">
      <c r="A1115" s="49"/>
      <c r="B1115" s="45" t="s">
        <v>1399</v>
      </c>
      <c r="C1115" s="78" t="s">
        <v>1812</v>
      </c>
      <c r="D1115" s="78" t="s">
        <v>1813</v>
      </c>
      <c r="E1115" s="49"/>
      <c r="F1115" s="49"/>
      <c r="G1115" s="49"/>
      <c r="H1115" s="49"/>
      <c r="I1115" s="49"/>
    </row>
    <row r="1116" ht="15.75" customHeight="1" spans="1:9">
      <c r="A1116" s="49"/>
      <c r="B1116" s="45" t="s">
        <v>1399</v>
      </c>
      <c r="C1116" s="78" t="s">
        <v>1814</v>
      </c>
      <c r="D1116" s="78" t="s">
        <v>1815</v>
      </c>
      <c r="E1116" s="49"/>
      <c r="F1116" s="49"/>
      <c r="G1116" s="49"/>
      <c r="H1116" s="49"/>
      <c r="I1116" s="49"/>
    </row>
    <row r="1117" ht="15.75" customHeight="1" spans="1:9">
      <c r="A1117" s="49"/>
      <c r="B1117" s="45" t="s">
        <v>1399</v>
      </c>
      <c r="C1117" s="78" t="s">
        <v>1816</v>
      </c>
      <c r="D1117" s="78" t="s">
        <v>1817</v>
      </c>
      <c r="E1117" s="49"/>
      <c r="F1117" s="49"/>
      <c r="G1117" s="49"/>
      <c r="H1117" s="49"/>
      <c r="I1117" s="49"/>
    </row>
    <row r="1118" ht="15.75" customHeight="1" spans="1:9">
      <c r="A1118" s="49"/>
      <c r="B1118" s="45" t="s">
        <v>1399</v>
      </c>
      <c r="C1118" s="78" t="s">
        <v>1818</v>
      </c>
      <c r="D1118" s="78" t="s">
        <v>1819</v>
      </c>
      <c r="E1118" s="49"/>
      <c r="F1118" s="49"/>
      <c r="G1118" s="49"/>
      <c r="H1118" s="49"/>
      <c r="I1118" s="49"/>
    </row>
    <row r="1119" ht="15.75" customHeight="1" spans="1:9">
      <c r="A1119" s="49"/>
      <c r="B1119" s="45" t="s">
        <v>1399</v>
      </c>
      <c r="C1119" s="78" t="s">
        <v>1820</v>
      </c>
      <c r="D1119" s="78" t="s">
        <v>1821</v>
      </c>
      <c r="E1119" s="49"/>
      <c r="F1119" s="49"/>
      <c r="G1119" s="49"/>
      <c r="H1119" s="49"/>
      <c r="I1119" s="49"/>
    </row>
    <row r="1120" ht="15.75" customHeight="1" spans="1:9">
      <c r="A1120" s="49"/>
      <c r="B1120" s="45" t="s">
        <v>1399</v>
      </c>
      <c r="C1120" s="78" t="s">
        <v>1822</v>
      </c>
      <c r="D1120" s="78" t="s">
        <v>1823</v>
      </c>
      <c r="E1120" s="49"/>
      <c r="F1120" s="49"/>
      <c r="G1120" s="49"/>
      <c r="H1120" s="49"/>
      <c r="I1120" s="49"/>
    </row>
    <row r="1121" ht="15.75" customHeight="1" spans="1:9">
      <c r="A1121" s="49"/>
      <c r="B1121" s="45" t="s">
        <v>1399</v>
      </c>
      <c r="C1121" s="78" t="s">
        <v>1824</v>
      </c>
      <c r="D1121" s="78" t="s">
        <v>1825</v>
      </c>
      <c r="E1121" s="49"/>
      <c r="F1121" s="49"/>
      <c r="G1121" s="49"/>
      <c r="H1121" s="49"/>
      <c r="I1121" s="49"/>
    </row>
    <row r="1122" ht="15.75" customHeight="1" spans="1:9">
      <c r="A1122" s="49"/>
      <c r="B1122" s="45" t="s">
        <v>1399</v>
      </c>
      <c r="C1122" s="78" t="s">
        <v>1826</v>
      </c>
      <c r="D1122" s="78" t="s">
        <v>1827</v>
      </c>
      <c r="E1122" s="49"/>
      <c r="F1122" s="49"/>
      <c r="G1122" s="49"/>
      <c r="H1122" s="49"/>
      <c r="I1122" s="49"/>
    </row>
    <row r="1123" ht="15.75" customHeight="1" spans="1:9">
      <c r="A1123" s="49"/>
      <c r="B1123" s="45" t="s">
        <v>1399</v>
      </c>
      <c r="C1123" s="78" t="s">
        <v>1828</v>
      </c>
      <c r="D1123" s="78" t="s">
        <v>1829</v>
      </c>
      <c r="E1123" s="49"/>
      <c r="F1123" s="49"/>
      <c r="G1123" s="49"/>
      <c r="H1123" s="49"/>
      <c r="I1123" s="49"/>
    </row>
    <row r="1124" ht="15.75" customHeight="1" spans="1:9">
      <c r="A1124" s="49"/>
      <c r="B1124" s="45" t="s">
        <v>1399</v>
      </c>
      <c r="C1124" s="78" t="s">
        <v>1830</v>
      </c>
      <c r="D1124" s="78" t="s">
        <v>1831</v>
      </c>
      <c r="E1124" s="49"/>
      <c r="F1124" s="49"/>
      <c r="G1124" s="49"/>
      <c r="H1124" s="49"/>
      <c r="I1124" s="49"/>
    </row>
    <row r="1125" ht="15.75" customHeight="1" spans="1:9">
      <c r="A1125" s="49"/>
      <c r="B1125" s="45" t="s">
        <v>1399</v>
      </c>
      <c r="C1125" s="78" t="s">
        <v>1832</v>
      </c>
      <c r="D1125" s="78" t="s">
        <v>1833</v>
      </c>
      <c r="E1125" s="49"/>
      <c r="F1125" s="49"/>
      <c r="G1125" s="49"/>
      <c r="H1125" s="49"/>
      <c r="I1125" s="49"/>
    </row>
    <row r="1126" ht="15.75" customHeight="1" spans="1:9">
      <c r="A1126" s="49"/>
      <c r="B1126" s="45" t="s">
        <v>1399</v>
      </c>
      <c r="C1126" s="78" t="s">
        <v>1834</v>
      </c>
      <c r="D1126" s="78" t="s">
        <v>1835</v>
      </c>
      <c r="E1126" s="49"/>
      <c r="F1126" s="49"/>
      <c r="G1126" s="49"/>
      <c r="H1126" s="49"/>
      <c r="I1126" s="49"/>
    </row>
    <row r="1127" ht="15.75" customHeight="1" spans="1:9">
      <c r="A1127" s="49"/>
      <c r="B1127" s="45" t="s">
        <v>1399</v>
      </c>
      <c r="C1127" s="78" t="s">
        <v>1836</v>
      </c>
      <c r="D1127" s="78" t="s">
        <v>1837</v>
      </c>
      <c r="E1127" s="49"/>
      <c r="F1127" s="49"/>
      <c r="G1127" s="49"/>
      <c r="H1127" s="49"/>
      <c r="I1127" s="49"/>
    </row>
    <row r="1128" ht="15.75" customHeight="1" spans="1:9">
      <c r="A1128" s="49"/>
      <c r="B1128" s="45" t="s">
        <v>1399</v>
      </c>
      <c r="C1128" s="78" t="s">
        <v>1838</v>
      </c>
      <c r="D1128" s="78" t="s">
        <v>1839</v>
      </c>
      <c r="E1128" s="49"/>
      <c r="F1128" s="49"/>
      <c r="G1128" s="49"/>
      <c r="H1128" s="49"/>
      <c r="I1128" s="49"/>
    </row>
    <row r="1129" ht="15.75" customHeight="1" spans="1:9">
      <c r="A1129" s="49"/>
      <c r="B1129" s="45" t="s">
        <v>1399</v>
      </c>
      <c r="C1129" s="78" t="s">
        <v>1840</v>
      </c>
      <c r="D1129" s="78" t="s">
        <v>1841</v>
      </c>
      <c r="E1129" s="49"/>
      <c r="F1129" s="49"/>
      <c r="G1129" s="49"/>
      <c r="H1129" s="49"/>
      <c r="I1129" s="49"/>
    </row>
    <row r="1130" ht="15.75" customHeight="1" spans="1:9">
      <c r="A1130" s="49"/>
      <c r="B1130" s="45" t="s">
        <v>1399</v>
      </c>
      <c r="C1130" s="78" t="s">
        <v>1842</v>
      </c>
      <c r="D1130" s="78" t="s">
        <v>1843</v>
      </c>
      <c r="E1130" s="49"/>
      <c r="F1130" s="49"/>
      <c r="G1130" s="49"/>
      <c r="H1130" s="49"/>
      <c r="I1130" s="49"/>
    </row>
    <row r="1131" ht="15.75" customHeight="1" spans="1:9">
      <c r="A1131" s="49"/>
      <c r="B1131" s="45" t="s">
        <v>1399</v>
      </c>
      <c r="C1131" s="78" t="s">
        <v>1844</v>
      </c>
      <c r="D1131" s="78" t="s">
        <v>1845</v>
      </c>
      <c r="E1131" s="49"/>
      <c r="F1131" s="49"/>
      <c r="G1131" s="49"/>
      <c r="H1131" s="49"/>
      <c r="I1131" s="49"/>
    </row>
    <row r="1132" ht="15.75" customHeight="1" spans="1:9">
      <c r="A1132" s="49"/>
      <c r="B1132" s="45" t="s">
        <v>1399</v>
      </c>
      <c r="C1132" s="78" t="s">
        <v>1846</v>
      </c>
      <c r="D1132" s="78" t="s">
        <v>1847</v>
      </c>
      <c r="E1132" s="49"/>
      <c r="F1132" s="49"/>
      <c r="G1132" s="49"/>
      <c r="H1132" s="49"/>
      <c r="I1132" s="49"/>
    </row>
    <row r="1133" ht="15.75" customHeight="1" spans="1:9">
      <c r="A1133" s="49"/>
      <c r="B1133" s="45" t="s">
        <v>1399</v>
      </c>
      <c r="C1133" s="78" t="s">
        <v>1848</v>
      </c>
      <c r="D1133" s="78" t="s">
        <v>1849</v>
      </c>
      <c r="E1133" s="49"/>
      <c r="F1133" s="49"/>
      <c r="G1133" s="49"/>
      <c r="H1133" s="49"/>
      <c r="I1133" s="49"/>
    </row>
    <row r="1134" ht="15.75" customHeight="1" spans="1:9">
      <c r="A1134" s="49"/>
      <c r="B1134" s="45" t="s">
        <v>1399</v>
      </c>
      <c r="C1134" s="78" t="s">
        <v>1850</v>
      </c>
      <c r="D1134" s="78" t="s">
        <v>1851</v>
      </c>
      <c r="E1134" s="49"/>
      <c r="F1134" s="49"/>
      <c r="G1134" s="49"/>
      <c r="H1134" s="49"/>
      <c r="I1134" s="49"/>
    </row>
    <row r="1135" ht="15.75" customHeight="1" spans="1:9">
      <c r="A1135" s="49"/>
      <c r="B1135" s="45" t="s">
        <v>1399</v>
      </c>
      <c r="C1135" s="78" t="s">
        <v>1852</v>
      </c>
      <c r="D1135" s="78" t="s">
        <v>1853</v>
      </c>
      <c r="E1135" s="49"/>
      <c r="F1135" s="49"/>
      <c r="G1135" s="49"/>
      <c r="H1135" s="49"/>
      <c r="I1135" s="49"/>
    </row>
    <row r="1136" ht="15.75" customHeight="1" spans="1:9">
      <c r="A1136" s="49"/>
      <c r="B1136" s="45" t="s">
        <v>1399</v>
      </c>
      <c r="C1136" s="78" t="s">
        <v>1854</v>
      </c>
      <c r="D1136" s="78" t="s">
        <v>1855</v>
      </c>
      <c r="E1136" s="49"/>
      <c r="F1136" s="49"/>
      <c r="G1136" s="49"/>
      <c r="H1136" s="49"/>
      <c r="I1136" s="49"/>
    </row>
    <row r="1137" ht="15.75" customHeight="1" spans="1:9">
      <c r="A1137" s="49"/>
      <c r="B1137" s="45" t="s">
        <v>1399</v>
      </c>
      <c r="C1137" s="78" t="s">
        <v>1856</v>
      </c>
      <c r="D1137" s="78" t="s">
        <v>1857</v>
      </c>
      <c r="E1137" s="49"/>
      <c r="F1137" s="49"/>
      <c r="G1137" s="49"/>
      <c r="H1137" s="49"/>
      <c r="I1137" s="49"/>
    </row>
    <row r="1138" ht="15.75" customHeight="1" spans="1:9">
      <c r="A1138" s="49"/>
      <c r="B1138" s="45" t="s">
        <v>1399</v>
      </c>
      <c r="C1138" s="78" t="s">
        <v>1858</v>
      </c>
      <c r="D1138" s="78" t="s">
        <v>1859</v>
      </c>
      <c r="E1138" s="49"/>
      <c r="F1138" s="49"/>
      <c r="G1138" s="49"/>
      <c r="H1138" s="49"/>
      <c r="I1138" s="49"/>
    </row>
    <row r="1139" ht="15.75" customHeight="1" spans="1:9">
      <c r="A1139" s="49"/>
      <c r="B1139" s="45" t="s">
        <v>1399</v>
      </c>
      <c r="C1139" s="78" t="s">
        <v>1860</v>
      </c>
      <c r="D1139" s="78" t="s">
        <v>1861</v>
      </c>
      <c r="E1139" s="49"/>
      <c r="F1139" s="49"/>
      <c r="G1139" s="49"/>
      <c r="H1139" s="49"/>
      <c r="I1139" s="49"/>
    </row>
    <row r="1140" ht="15.75" customHeight="1" spans="1:9">
      <c r="A1140" s="49"/>
      <c r="B1140" s="45" t="s">
        <v>1399</v>
      </c>
      <c r="C1140" s="78" t="s">
        <v>1862</v>
      </c>
      <c r="D1140" s="78" t="s">
        <v>1863</v>
      </c>
      <c r="E1140" s="49"/>
      <c r="F1140" s="49"/>
      <c r="G1140" s="49"/>
      <c r="H1140" s="49"/>
      <c r="I1140" s="49"/>
    </row>
    <row r="1141" ht="15.75" customHeight="1" spans="1:9">
      <c r="A1141" s="49"/>
      <c r="B1141" s="45" t="s">
        <v>1399</v>
      </c>
      <c r="C1141" s="78" t="s">
        <v>1864</v>
      </c>
      <c r="D1141" s="78" t="s">
        <v>1865</v>
      </c>
      <c r="E1141" s="49"/>
      <c r="F1141" s="49"/>
      <c r="G1141" s="49"/>
      <c r="H1141" s="49"/>
      <c r="I1141" s="49"/>
    </row>
    <row r="1142" ht="15.75" customHeight="1" spans="1:9">
      <c r="A1142" s="49"/>
      <c r="B1142" s="45" t="s">
        <v>1399</v>
      </c>
      <c r="C1142" s="78" t="s">
        <v>1866</v>
      </c>
      <c r="D1142" s="78" t="s">
        <v>1867</v>
      </c>
      <c r="E1142" s="49"/>
      <c r="F1142" s="49"/>
      <c r="G1142" s="49"/>
      <c r="H1142" s="49"/>
      <c r="I1142" s="49"/>
    </row>
    <row r="1143" ht="15.75" customHeight="1" spans="1:9">
      <c r="A1143" s="49"/>
      <c r="B1143" s="45" t="s">
        <v>1399</v>
      </c>
      <c r="C1143" s="78" t="s">
        <v>1868</v>
      </c>
      <c r="D1143" s="78" t="s">
        <v>1869</v>
      </c>
      <c r="E1143" s="49"/>
      <c r="F1143" s="49"/>
      <c r="G1143" s="49"/>
      <c r="H1143" s="49"/>
      <c r="I1143" s="49"/>
    </row>
    <row r="1144" ht="15.75" customHeight="1" spans="1:9">
      <c r="A1144" s="49"/>
      <c r="B1144" s="45" t="s">
        <v>1399</v>
      </c>
      <c r="C1144" s="78" t="s">
        <v>1870</v>
      </c>
      <c r="D1144" s="78" t="s">
        <v>1871</v>
      </c>
      <c r="E1144" s="49"/>
      <c r="F1144" s="49"/>
      <c r="G1144" s="49"/>
      <c r="H1144" s="49"/>
      <c r="I1144" s="49"/>
    </row>
    <row r="1145" ht="15.75" customHeight="1" spans="1:9">
      <c r="A1145" s="49"/>
      <c r="B1145" s="45" t="s">
        <v>1399</v>
      </c>
      <c r="C1145" s="78" t="s">
        <v>1872</v>
      </c>
      <c r="D1145" s="78" t="s">
        <v>1873</v>
      </c>
      <c r="E1145" s="49"/>
      <c r="F1145" s="49"/>
      <c r="G1145" s="49"/>
      <c r="H1145" s="49"/>
      <c r="I1145" s="49"/>
    </row>
    <row r="1146" ht="15.75" customHeight="1" spans="1:9">
      <c r="A1146" s="49"/>
      <c r="B1146" s="45" t="s">
        <v>1399</v>
      </c>
      <c r="C1146" s="78" t="s">
        <v>1874</v>
      </c>
      <c r="D1146" s="78" t="s">
        <v>1875</v>
      </c>
      <c r="E1146" s="49"/>
      <c r="F1146" s="49"/>
      <c r="G1146" s="49"/>
      <c r="H1146" s="49"/>
      <c r="I1146" s="49"/>
    </row>
    <row r="1147" ht="15.75" customHeight="1" spans="1:9">
      <c r="A1147" s="49"/>
      <c r="B1147" s="45" t="s">
        <v>1399</v>
      </c>
      <c r="C1147" s="78" t="s">
        <v>1876</v>
      </c>
      <c r="D1147" s="78" t="s">
        <v>1877</v>
      </c>
      <c r="E1147" s="49"/>
      <c r="F1147" s="49"/>
      <c r="G1147" s="49"/>
      <c r="H1147" s="49"/>
      <c r="I1147" s="49"/>
    </row>
    <row r="1148" ht="15.75" customHeight="1" spans="1:9">
      <c r="A1148" s="49"/>
      <c r="B1148" s="45" t="s">
        <v>1399</v>
      </c>
      <c r="C1148" s="78" t="s">
        <v>1878</v>
      </c>
      <c r="D1148" s="78" t="s">
        <v>1879</v>
      </c>
      <c r="E1148" s="49"/>
      <c r="F1148" s="49"/>
      <c r="G1148" s="49"/>
      <c r="H1148" s="49"/>
      <c r="I1148" s="49"/>
    </row>
    <row r="1149" ht="15.75" customHeight="1" spans="1:9">
      <c r="A1149" s="49"/>
      <c r="B1149" s="45" t="s">
        <v>1399</v>
      </c>
      <c r="C1149" s="78" t="s">
        <v>1880</v>
      </c>
      <c r="D1149" s="78" t="s">
        <v>1881</v>
      </c>
      <c r="E1149" s="49"/>
      <c r="F1149" s="49"/>
      <c r="G1149" s="49"/>
      <c r="H1149" s="49"/>
      <c r="I1149" s="49"/>
    </row>
    <row r="1150" ht="15.75" customHeight="1" spans="1:9">
      <c r="A1150" s="49"/>
      <c r="B1150" s="45" t="s">
        <v>1399</v>
      </c>
      <c r="C1150" s="78" t="s">
        <v>1882</v>
      </c>
      <c r="D1150" s="78" t="s">
        <v>1883</v>
      </c>
      <c r="E1150" s="49"/>
      <c r="F1150" s="49"/>
      <c r="G1150" s="49"/>
      <c r="H1150" s="49"/>
      <c r="I1150" s="49"/>
    </row>
    <row r="1151" ht="15.75" customHeight="1" spans="1:9">
      <c r="A1151" s="49"/>
      <c r="B1151" s="45" t="s">
        <v>1399</v>
      </c>
      <c r="C1151" s="78" t="s">
        <v>1884</v>
      </c>
      <c r="D1151" s="78" t="s">
        <v>1885</v>
      </c>
      <c r="E1151" s="49"/>
      <c r="F1151" s="49"/>
      <c r="G1151" s="49"/>
      <c r="H1151" s="49"/>
      <c r="I1151" s="49"/>
    </row>
    <row r="1152" ht="15.75" customHeight="1" spans="1:9">
      <c r="A1152" s="49"/>
      <c r="B1152" s="45" t="s">
        <v>1399</v>
      </c>
      <c r="C1152" s="78" t="s">
        <v>1886</v>
      </c>
      <c r="D1152" s="78" t="s">
        <v>1887</v>
      </c>
      <c r="E1152" s="49"/>
      <c r="F1152" s="49"/>
      <c r="G1152" s="49"/>
      <c r="H1152" s="49"/>
      <c r="I1152" s="49"/>
    </row>
    <row r="1153" ht="15.75" customHeight="1" spans="1:9">
      <c r="A1153" s="49"/>
      <c r="B1153" s="45" t="s">
        <v>1399</v>
      </c>
      <c r="C1153" s="78" t="s">
        <v>1888</v>
      </c>
      <c r="D1153" s="78" t="s">
        <v>1889</v>
      </c>
      <c r="E1153" s="49"/>
      <c r="F1153" s="49"/>
      <c r="G1153" s="49"/>
      <c r="H1153" s="49"/>
      <c r="I1153" s="49"/>
    </row>
    <row r="1154" ht="15.75" customHeight="1" spans="1:9">
      <c r="A1154" s="49"/>
      <c r="B1154" s="45" t="s">
        <v>1399</v>
      </c>
      <c r="C1154" s="78" t="s">
        <v>1890</v>
      </c>
      <c r="D1154" s="78" t="s">
        <v>1891</v>
      </c>
      <c r="E1154" s="49"/>
      <c r="F1154" s="49"/>
      <c r="G1154" s="49"/>
      <c r="H1154" s="49"/>
      <c r="I1154" s="49"/>
    </row>
    <row r="1155" ht="15.75" customHeight="1" spans="1:9">
      <c r="A1155" s="49"/>
      <c r="B1155" s="45" t="s">
        <v>1399</v>
      </c>
      <c r="C1155" s="78" t="s">
        <v>1892</v>
      </c>
      <c r="D1155" s="78" t="s">
        <v>1893</v>
      </c>
      <c r="E1155" s="49"/>
      <c r="F1155" s="49"/>
      <c r="G1155" s="49"/>
      <c r="H1155" s="49"/>
      <c r="I1155" s="49"/>
    </row>
    <row r="1156" ht="15.75" customHeight="1" spans="1:9">
      <c r="A1156" s="49"/>
      <c r="B1156" s="45" t="s">
        <v>1399</v>
      </c>
      <c r="C1156" s="78" t="s">
        <v>1894</v>
      </c>
      <c r="D1156" s="78" t="s">
        <v>1895</v>
      </c>
      <c r="E1156" s="49"/>
      <c r="F1156" s="49"/>
      <c r="G1156" s="49"/>
      <c r="H1156" s="49"/>
      <c r="I1156" s="49"/>
    </row>
    <row r="1157" ht="15.75" customHeight="1" spans="1:9">
      <c r="A1157" s="49"/>
      <c r="B1157" s="45" t="s">
        <v>1399</v>
      </c>
      <c r="C1157" s="78" t="s">
        <v>1896</v>
      </c>
      <c r="D1157" s="78" t="s">
        <v>1897</v>
      </c>
      <c r="E1157" s="49"/>
      <c r="F1157" s="49"/>
      <c r="G1157" s="49"/>
      <c r="H1157" s="49"/>
      <c r="I1157" s="49"/>
    </row>
    <row r="1158" ht="15.75" customHeight="1" spans="1:9">
      <c r="A1158" s="49"/>
      <c r="B1158" s="45" t="s">
        <v>1399</v>
      </c>
      <c r="C1158" s="78" t="s">
        <v>1898</v>
      </c>
      <c r="D1158" s="78" t="s">
        <v>1899</v>
      </c>
      <c r="E1158" s="49"/>
      <c r="F1158" s="49"/>
      <c r="G1158" s="49"/>
      <c r="H1158" s="49"/>
      <c r="I1158" s="49"/>
    </row>
    <row r="1159" ht="15.75" customHeight="1" spans="1:9">
      <c r="A1159" s="49"/>
      <c r="B1159" s="45" t="s">
        <v>1399</v>
      </c>
      <c r="C1159" s="78" t="s">
        <v>1900</v>
      </c>
      <c r="D1159" s="78" t="s">
        <v>1901</v>
      </c>
      <c r="E1159" s="49"/>
      <c r="F1159" s="49"/>
      <c r="G1159" s="49"/>
      <c r="H1159" s="49"/>
      <c r="I1159" s="49"/>
    </row>
    <row r="1160" ht="15.75" customHeight="1" spans="1:9">
      <c r="A1160" s="49"/>
      <c r="B1160" s="45" t="s">
        <v>1399</v>
      </c>
      <c r="C1160" s="78" t="s">
        <v>1902</v>
      </c>
      <c r="D1160" s="78" t="s">
        <v>1903</v>
      </c>
      <c r="E1160" s="49"/>
      <c r="F1160" s="49"/>
      <c r="G1160" s="49"/>
      <c r="H1160" s="49"/>
      <c r="I1160" s="49"/>
    </row>
    <row r="1161" ht="15.75" customHeight="1" spans="1:9">
      <c r="A1161" s="49"/>
      <c r="B1161" s="45" t="s">
        <v>1399</v>
      </c>
      <c r="C1161" s="78" t="s">
        <v>1904</v>
      </c>
      <c r="D1161" s="78" t="s">
        <v>1905</v>
      </c>
      <c r="E1161" s="49"/>
      <c r="F1161" s="49"/>
      <c r="G1161" s="49"/>
      <c r="H1161" s="49"/>
      <c r="I1161" s="49"/>
    </row>
    <row r="1162" ht="15.75" customHeight="1" spans="1:9">
      <c r="A1162" s="49"/>
      <c r="B1162" s="45" t="s">
        <v>1399</v>
      </c>
      <c r="C1162" s="78" t="s">
        <v>1906</v>
      </c>
      <c r="D1162" s="78" t="s">
        <v>1907</v>
      </c>
      <c r="E1162" s="49"/>
      <c r="F1162" s="49"/>
      <c r="G1162" s="49"/>
      <c r="H1162" s="49"/>
      <c r="I1162" s="49"/>
    </row>
    <row r="1163" ht="15.75" customHeight="1" spans="1:9">
      <c r="A1163" s="49"/>
      <c r="B1163" s="45" t="s">
        <v>1399</v>
      </c>
      <c r="C1163" s="78" t="s">
        <v>1908</v>
      </c>
      <c r="D1163" s="78" t="s">
        <v>1909</v>
      </c>
      <c r="E1163" s="49"/>
      <c r="F1163" s="49"/>
      <c r="G1163" s="49"/>
      <c r="H1163" s="49"/>
      <c r="I1163" s="49"/>
    </row>
    <row r="1164" ht="15.75" customHeight="1" spans="1:9">
      <c r="A1164" s="49"/>
      <c r="B1164" s="45" t="s">
        <v>1399</v>
      </c>
      <c r="C1164" s="78" t="s">
        <v>1910</v>
      </c>
      <c r="D1164" s="78" t="s">
        <v>1911</v>
      </c>
      <c r="E1164" s="49"/>
      <c r="F1164" s="49"/>
      <c r="G1164" s="49"/>
      <c r="H1164" s="49"/>
      <c r="I1164" s="49"/>
    </row>
    <row r="1165" ht="15.75" customHeight="1" spans="1:9">
      <c r="A1165" s="49"/>
      <c r="B1165" s="45" t="s">
        <v>1399</v>
      </c>
      <c r="C1165" s="78" t="s">
        <v>1912</v>
      </c>
      <c r="D1165" s="78" t="s">
        <v>1913</v>
      </c>
      <c r="E1165" s="49"/>
      <c r="F1165" s="49"/>
      <c r="G1165" s="49"/>
      <c r="H1165" s="49"/>
      <c r="I1165" s="49"/>
    </row>
    <row r="1166" ht="15.75" customHeight="1" spans="1:9">
      <c r="A1166" s="49"/>
      <c r="B1166" s="45" t="s">
        <v>1399</v>
      </c>
      <c r="C1166" s="78" t="s">
        <v>1914</v>
      </c>
      <c r="D1166" s="78" t="s">
        <v>1915</v>
      </c>
      <c r="E1166" s="49"/>
      <c r="F1166" s="49"/>
      <c r="G1166" s="49"/>
      <c r="H1166" s="49"/>
      <c r="I1166" s="49"/>
    </row>
    <row r="1167" ht="15.75" customHeight="1" spans="1:9">
      <c r="A1167" s="49"/>
      <c r="B1167" s="45" t="s">
        <v>1399</v>
      </c>
      <c r="C1167" s="78" t="s">
        <v>1916</v>
      </c>
      <c r="D1167" s="78" t="s">
        <v>1917</v>
      </c>
      <c r="E1167" s="49"/>
      <c r="F1167" s="49"/>
      <c r="G1167" s="49"/>
      <c r="H1167" s="49"/>
      <c r="I1167" s="49"/>
    </row>
    <row r="1168" ht="15.75" customHeight="1" spans="1:9">
      <c r="A1168" s="49"/>
      <c r="B1168" s="45" t="s">
        <v>1399</v>
      </c>
      <c r="C1168" s="78" t="s">
        <v>1918</v>
      </c>
      <c r="D1168" s="78" t="s">
        <v>1919</v>
      </c>
      <c r="E1168" s="49"/>
      <c r="F1168" s="49"/>
      <c r="G1168" s="49"/>
      <c r="H1168" s="49"/>
      <c r="I1168" s="49"/>
    </row>
    <row r="1169" ht="15.75" customHeight="1" spans="1:9">
      <c r="A1169" s="49"/>
      <c r="B1169" s="45" t="s">
        <v>1399</v>
      </c>
      <c r="C1169" s="78" t="s">
        <v>1920</v>
      </c>
      <c r="D1169" s="78" t="s">
        <v>1921</v>
      </c>
      <c r="E1169" s="49"/>
      <c r="F1169" s="49"/>
      <c r="G1169" s="49"/>
      <c r="H1169" s="49"/>
      <c r="I1169" s="49"/>
    </row>
    <row r="1170" ht="15.75" customHeight="1" spans="1:9">
      <c r="A1170" s="49"/>
      <c r="B1170" s="45" t="s">
        <v>1399</v>
      </c>
      <c r="C1170" s="78" t="s">
        <v>1922</v>
      </c>
      <c r="D1170" s="78" t="s">
        <v>1923</v>
      </c>
      <c r="E1170" s="49"/>
      <c r="F1170" s="49"/>
      <c r="G1170" s="49"/>
      <c r="H1170" s="49"/>
      <c r="I1170" s="49"/>
    </row>
    <row r="1171" ht="15.75" customHeight="1" spans="1:9">
      <c r="A1171" s="49"/>
      <c r="B1171" s="45" t="s">
        <v>1399</v>
      </c>
      <c r="C1171" s="78" t="s">
        <v>1924</v>
      </c>
      <c r="D1171" s="78" t="s">
        <v>1925</v>
      </c>
      <c r="E1171" s="49"/>
      <c r="F1171" s="49"/>
      <c r="G1171" s="49"/>
      <c r="H1171" s="49"/>
      <c r="I1171" s="49"/>
    </row>
    <row r="1172" ht="15.75" customHeight="1" spans="1:9">
      <c r="A1172" s="49"/>
      <c r="B1172" s="45" t="s">
        <v>1399</v>
      </c>
      <c r="C1172" s="78" t="s">
        <v>1926</v>
      </c>
      <c r="D1172" s="78" t="s">
        <v>1927</v>
      </c>
      <c r="E1172" s="49"/>
      <c r="F1172" s="49"/>
      <c r="G1172" s="49"/>
      <c r="H1172" s="49"/>
      <c r="I1172" s="49"/>
    </row>
    <row r="1173" ht="15.75" customHeight="1" spans="1:9">
      <c r="A1173" s="49"/>
      <c r="B1173" s="45" t="s">
        <v>1399</v>
      </c>
      <c r="C1173" s="78" t="s">
        <v>1928</v>
      </c>
      <c r="D1173" s="78" t="s">
        <v>1929</v>
      </c>
      <c r="E1173" s="49"/>
      <c r="F1173" s="49"/>
      <c r="G1173" s="49"/>
      <c r="H1173" s="49"/>
      <c r="I1173" s="49"/>
    </row>
    <row r="1174" ht="15.75" customHeight="1" spans="1:9">
      <c r="A1174" s="49"/>
      <c r="B1174" s="45" t="s">
        <v>1399</v>
      </c>
      <c r="C1174" s="78" t="s">
        <v>1930</v>
      </c>
      <c r="D1174" s="78" t="s">
        <v>1931</v>
      </c>
      <c r="E1174" s="49"/>
      <c r="F1174" s="49"/>
      <c r="G1174" s="49"/>
      <c r="H1174" s="49"/>
      <c r="I1174" s="49"/>
    </row>
    <row r="1175" ht="15.75" customHeight="1" spans="1:9">
      <c r="A1175" s="49"/>
      <c r="B1175" s="45" t="s">
        <v>1399</v>
      </c>
      <c r="C1175" s="78" t="s">
        <v>1932</v>
      </c>
      <c r="D1175" s="78" t="s">
        <v>1933</v>
      </c>
      <c r="E1175" s="49"/>
      <c r="F1175" s="49"/>
      <c r="G1175" s="49"/>
      <c r="H1175" s="49"/>
      <c r="I1175" s="49"/>
    </row>
    <row r="1176" ht="15.75" customHeight="1" spans="1:9">
      <c r="A1176" s="49"/>
      <c r="B1176" s="45" t="s">
        <v>1399</v>
      </c>
      <c r="C1176" s="78" t="s">
        <v>1934</v>
      </c>
      <c r="D1176" s="78" t="s">
        <v>1935</v>
      </c>
      <c r="E1176" s="49"/>
      <c r="F1176" s="49"/>
      <c r="G1176" s="49"/>
      <c r="H1176" s="49"/>
      <c r="I1176" s="49"/>
    </row>
    <row r="1177" ht="15.75" customHeight="1" spans="1:9">
      <c r="A1177" s="49"/>
      <c r="B1177" s="45" t="s">
        <v>1399</v>
      </c>
      <c r="C1177" s="78" t="s">
        <v>1936</v>
      </c>
      <c r="D1177" s="78" t="s">
        <v>1937</v>
      </c>
      <c r="E1177" s="49"/>
      <c r="F1177" s="49"/>
      <c r="G1177" s="49"/>
      <c r="H1177" s="49"/>
      <c r="I1177" s="49"/>
    </row>
    <row r="1178" ht="15.75" customHeight="1" spans="1:9">
      <c r="A1178" s="49"/>
      <c r="B1178" s="45" t="s">
        <v>1399</v>
      </c>
      <c r="C1178" s="78" t="s">
        <v>1938</v>
      </c>
      <c r="D1178" s="78" t="s">
        <v>1939</v>
      </c>
      <c r="E1178" s="49"/>
      <c r="F1178" s="49"/>
      <c r="G1178" s="49"/>
      <c r="H1178" s="49"/>
      <c r="I1178" s="49"/>
    </row>
    <row r="1179" ht="15.75" customHeight="1" spans="1:9">
      <c r="A1179" s="49"/>
      <c r="B1179" s="45" t="s">
        <v>1399</v>
      </c>
      <c r="C1179" s="78" t="s">
        <v>1940</v>
      </c>
      <c r="D1179" s="78" t="s">
        <v>1941</v>
      </c>
      <c r="E1179" s="49"/>
      <c r="F1179" s="49"/>
      <c r="G1179" s="49"/>
      <c r="H1179" s="49"/>
      <c r="I1179" s="49"/>
    </row>
    <row r="1180" ht="15.75" customHeight="1" spans="1:9">
      <c r="A1180" s="49"/>
      <c r="B1180" s="45" t="s">
        <v>1399</v>
      </c>
      <c r="C1180" s="78" t="s">
        <v>1942</v>
      </c>
      <c r="D1180" s="78" t="s">
        <v>1943</v>
      </c>
      <c r="E1180" s="49"/>
      <c r="F1180" s="49"/>
      <c r="G1180" s="49"/>
      <c r="H1180" s="49"/>
      <c r="I1180" s="49"/>
    </row>
    <row r="1181" ht="15.75" customHeight="1" spans="1:9">
      <c r="A1181" s="49"/>
      <c r="B1181" s="45" t="s">
        <v>1399</v>
      </c>
      <c r="C1181" s="78" t="s">
        <v>1944</v>
      </c>
      <c r="D1181" s="78" t="s">
        <v>1945</v>
      </c>
      <c r="E1181" s="49"/>
      <c r="F1181" s="49"/>
      <c r="G1181" s="49"/>
      <c r="H1181" s="49"/>
      <c r="I1181" s="49"/>
    </row>
    <row r="1182" ht="15.75" customHeight="1" spans="1:9">
      <c r="A1182" s="49"/>
      <c r="B1182" s="45" t="s">
        <v>1399</v>
      </c>
      <c r="C1182" s="78" t="s">
        <v>1946</v>
      </c>
      <c r="D1182" s="78" t="s">
        <v>1947</v>
      </c>
      <c r="E1182" s="49"/>
      <c r="F1182" s="49"/>
      <c r="G1182" s="49"/>
      <c r="H1182" s="49"/>
      <c r="I1182" s="49"/>
    </row>
    <row r="1183" ht="15.75" customHeight="1" spans="1:9">
      <c r="A1183" s="49"/>
      <c r="B1183" s="45" t="s">
        <v>1399</v>
      </c>
      <c r="C1183" s="78" t="s">
        <v>1948</v>
      </c>
      <c r="D1183" s="78" t="s">
        <v>1949</v>
      </c>
      <c r="E1183" s="49"/>
      <c r="F1183" s="49"/>
      <c r="G1183" s="49"/>
      <c r="H1183" s="49"/>
      <c r="I1183" s="49"/>
    </row>
    <row r="1184" ht="15.75" customHeight="1" spans="1:9">
      <c r="A1184" s="49"/>
      <c r="B1184" s="45" t="s">
        <v>1399</v>
      </c>
      <c r="C1184" s="78" t="s">
        <v>1950</v>
      </c>
      <c r="D1184" s="78" t="s">
        <v>1951</v>
      </c>
      <c r="E1184" s="49"/>
      <c r="F1184" s="49"/>
      <c r="G1184" s="49"/>
      <c r="H1184" s="49"/>
      <c r="I1184" s="49"/>
    </row>
    <row r="1185" ht="15.75" customHeight="1" spans="1:9">
      <c r="A1185" s="49"/>
      <c r="B1185" s="45" t="s">
        <v>1399</v>
      </c>
      <c r="C1185" s="78" t="s">
        <v>1952</v>
      </c>
      <c r="D1185" s="78" t="s">
        <v>1953</v>
      </c>
      <c r="E1185" s="49"/>
      <c r="F1185" s="49"/>
      <c r="G1185" s="49"/>
      <c r="H1185" s="49"/>
      <c r="I1185" s="49"/>
    </row>
    <row r="1186" ht="15.75" customHeight="1" spans="1:9">
      <c r="A1186" s="49"/>
      <c r="B1186" s="45" t="s">
        <v>1399</v>
      </c>
      <c r="C1186" s="78" t="s">
        <v>1954</v>
      </c>
      <c r="D1186" s="78" t="s">
        <v>1955</v>
      </c>
      <c r="E1186" s="49"/>
      <c r="F1186" s="49"/>
      <c r="G1186" s="49"/>
      <c r="H1186" s="49"/>
      <c r="I1186" s="49"/>
    </row>
    <row r="1187" ht="15.75" customHeight="1" spans="1:9">
      <c r="A1187" s="49"/>
      <c r="B1187" s="45" t="s">
        <v>1399</v>
      </c>
      <c r="C1187" s="78" t="s">
        <v>1956</v>
      </c>
      <c r="D1187" s="78" t="s">
        <v>1957</v>
      </c>
      <c r="E1187" s="49"/>
      <c r="F1187" s="49"/>
      <c r="G1187" s="49"/>
      <c r="H1187" s="49"/>
      <c r="I1187" s="49"/>
    </row>
    <row r="1188" ht="15.75" customHeight="1" spans="1:9">
      <c r="A1188" s="49"/>
      <c r="B1188" s="45" t="s">
        <v>1399</v>
      </c>
      <c r="C1188" s="78" t="s">
        <v>1958</v>
      </c>
      <c r="D1188" s="78" t="s">
        <v>1959</v>
      </c>
      <c r="E1188" s="49"/>
      <c r="F1188" s="49"/>
      <c r="G1188" s="49"/>
      <c r="H1188" s="49"/>
      <c r="I1188" s="49"/>
    </row>
    <row r="1189" ht="15.75" customHeight="1" spans="1:9">
      <c r="A1189" s="49"/>
      <c r="B1189" s="45" t="s">
        <v>1399</v>
      </c>
      <c r="C1189" s="78" t="s">
        <v>1960</v>
      </c>
      <c r="D1189" s="78" t="s">
        <v>1961</v>
      </c>
      <c r="E1189" s="49"/>
      <c r="F1189" s="49"/>
      <c r="G1189" s="49"/>
      <c r="H1189" s="49"/>
      <c r="I1189" s="49"/>
    </row>
    <row r="1190" ht="15.75" customHeight="1" spans="1:9">
      <c r="A1190" s="49"/>
      <c r="B1190" s="45" t="s">
        <v>1399</v>
      </c>
      <c r="C1190" s="78" t="s">
        <v>1962</v>
      </c>
      <c r="D1190" s="78" t="s">
        <v>1963</v>
      </c>
      <c r="E1190" s="49"/>
      <c r="F1190" s="49"/>
      <c r="G1190" s="49"/>
      <c r="H1190" s="49"/>
      <c r="I1190" s="49"/>
    </row>
    <row r="1191" ht="15.75" customHeight="1" spans="1:9">
      <c r="A1191" s="49"/>
      <c r="B1191" s="45" t="s">
        <v>1399</v>
      </c>
      <c r="C1191" s="78" t="s">
        <v>1964</v>
      </c>
      <c r="D1191" s="78" t="s">
        <v>1965</v>
      </c>
      <c r="E1191" s="49"/>
      <c r="F1191" s="49"/>
      <c r="G1191" s="49"/>
      <c r="H1191" s="49"/>
      <c r="I1191" s="49"/>
    </row>
    <row r="1192" ht="15.75" customHeight="1" spans="1:9">
      <c r="A1192" s="49"/>
      <c r="B1192" s="45" t="s">
        <v>1399</v>
      </c>
      <c r="C1192" s="78" t="s">
        <v>1966</v>
      </c>
      <c r="D1192" s="78" t="s">
        <v>1967</v>
      </c>
      <c r="E1192" s="49"/>
      <c r="F1192" s="49"/>
      <c r="G1192" s="49"/>
      <c r="H1192" s="49"/>
      <c r="I1192" s="49"/>
    </row>
    <row r="1193" ht="15.75" customHeight="1" spans="1:9">
      <c r="A1193" s="49"/>
      <c r="B1193" s="45" t="s">
        <v>1399</v>
      </c>
      <c r="C1193" s="78" t="s">
        <v>1968</v>
      </c>
      <c r="D1193" s="78" t="s">
        <v>1969</v>
      </c>
      <c r="E1193" s="49"/>
      <c r="F1193" s="49"/>
      <c r="G1193" s="49"/>
      <c r="H1193" s="49"/>
      <c r="I1193" s="49"/>
    </row>
    <row r="1194" ht="15.75" customHeight="1" spans="1:9">
      <c r="A1194" s="49"/>
      <c r="B1194" s="45" t="s">
        <v>1399</v>
      </c>
      <c r="C1194" s="78" t="s">
        <v>1970</v>
      </c>
      <c r="D1194" s="78" t="s">
        <v>1971</v>
      </c>
      <c r="E1194" s="49"/>
      <c r="F1194" s="49"/>
      <c r="G1194" s="49"/>
      <c r="H1194" s="49"/>
      <c r="I1194" s="49"/>
    </row>
    <row r="1195" ht="15.75" customHeight="1" spans="1:9">
      <c r="A1195" s="49"/>
      <c r="B1195" s="45" t="s">
        <v>1399</v>
      </c>
      <c r="C1195" s="78" t="s">
        <v>1972</v>
      </c>
      <c r="D1195" s="78" t="s">
        <v>1973</v>
      </c>
      <c r="E1195" s="49"/>
      <c r="F1195" s="49"/>
      <c r="G1195" s="49"/>
      <c r="H1195" s="49"/>
      <c r="I1195" s="49"/>
    </row>
    <row r="1196" ht="15.75" customHeight="1" spans="1:9">
      <c r="A1196" s="49"/>
      <c r="B1196" s="45" t="s">
        <v>1399</v>
      </c>
      <c r="C1196" s="78" t="s">
        <v>1974</v>
      </c>
      <c r="D1196" s="78" t="s">
        <v>1975</v>
      </c>
      <c r="E1196" s="49"/>
      <c r="F1196" s="49"/>
      <c r="G1196" s="49"/>
      <c r="H1196" s="49"/>
      <c r="I1196" s="49"/>
    </row>
    <row r="1197" ht="15.75" customHeight="1" spans="1:9">
      <c r="A1197" s="49"/>
      <c r="B1197" s="45" t="s">
        <v>1399</v>
      </c>
      <c r="C1197" s="78" t="s">
        <v>1976</v>
      </c>
      <c r="D1197" s="78" t="s">
        <v>1977</v>
      </c>
      <c r="E1197" s="49"/>
      <c r="F1197" s="49"/>
      <c r="G1197" s="49"/>
      <c r="H1197" s="49"/>
      <c r="I1197" s="49"/>
    </row>
    <row r="1198" ht="15.75" customHeight="1" spans="1:9">
      <c r="A1198" s="49"/>
      <c r="B1198" s="45" t="s">
        <v>1399</v>
      </c>
      <c r="C1198" s="78" t="s">
        <v>1978</v>
      </c>
      <c r="D1198" s="78" t="s">
        <v>1979</v>
      </c>
      <c r="E1198" s="49"/>
      <c r="F1198" s="49"/>
      <c r="G1198" s="49"/>
      <c r="H1198" s="49"/>
      <c r="I1198" s="49"/>
    </row>
    <row r="1199" ht="15.75" customHeight="1" spans="1:9">
      <c r="A1199" s="49"/>
      <c r="B1199" s="45" t="s">
        <v>1399</v>
      </c>
      <c r="C1199" s="78" t="s">
        <v>1980</v>
      </c>
      <c r="D1199" s="78" t="s">
        <v>1981</v>
      </c>
      <c r="E1199" s="49"/>
      <c r="F1199" s="49"/>
      <c r="G1199" s="49"/>
      <c r="H1199" s="49"/>
      <c r="I1199" s="49"/>
    </row>
    <row r="1200" ht="15.75" customHeight="1" spans="1:9">
      <c r="A1200" s="49"/>
      <c r="B1200" s="45" t="s">
        <v>1399</v>
      </c>
      <c r="C1200" s="78" t="s">
        <v>1982</v>
      </c>
      <c r="D1200" s="78" t="s">
        <v>1983</v>
      </c>
      <c r="E1200" s="49"/>
      <c r="F1200" s="49"/>
      <c r="G1200" s="49"/>
      <c r="H1200" s="49"/>
      <c r="I1200" s="49"/>
    </row>
    <row r="1201" ht="15.75" customHeight="1" spans="1:9">
      <c r="A1201" s="49"/>
      <c r="B1201" s="45" t="s">
        <v>1399</v>
      </c>
      <c r="C1201" s="78" t="s">
        <v>1984</v>
      </c>
      <c r="D1201" s="78" t="s">
        <v>1985</v>
      </c>
      <c r="E1201" s="49"/>
      <c r="F1201" s="49"/>
      <c r="G1201" s="49"/>
      <c r="H1201" s="49"/>
      <c r="I1201" s="49"/>
    </row>
    <row r="1202" ht="15.75" customHeight="1" spans="1:9">
      <c r="A1202" s="49"/>
      <c r="B1202" s="45" t="s">
        <v>1399</v>
      </c>
      <c r="C1202" s="78" t="s">
        <v>1986</v>
      </c>
      <c r="D1202" s="78" t="s">
        <v>1987</v>
      </c>
      <c r="E1202" s="49"/>
      <c r="F1202" s="49"/>
      <c r="G1202" s="49"/>
      <c r="H1202" s="49"/>
      <c r="I1202" s="49"/>
    </row>
    <row r="1203" ht="15.75" customHeight="1" spans="1:9">
      <c r="A1203" s="49"/>
      <c r="B1203" s="45" t="s">
        <v>1399</v>
      </c>
      <c r="C1203" s="78" t="s">
        <v>1988</v>
      </c>
      <c r="D1203" s="78" t="s">
        <v>1989</v>
      </c>
      <c r="E1203" s="49"/>
      <c r="F1203" s="49"/>
      <c r="G1203" s="49"/>
      <c r="H1203" s="49"/>
      <c r="I1203" s="49"/>
    </row>
    <row r="1204" ht="15.75" customHeight="1" spans="1:9">
      <c r="A1204" s="49"/>
      <c r="B1204" s="45" t="s">
        <v>1399</v>
      </c>
      <c r="C1204" s="78" t="s">
        <v>1990</v>
      </c>
      <c r="D1204" s="78" t="s">
        <v>1991</v>
      </c>
      <c r="E1204" s="49"/>
      <c r="F1204" s="49"/>
      <c r="G1204" s="49"/>
      <c r="H1204" s="49"/>
      <c r="I1204" s="49"/>
    </row>
    <row r="1205" ht="15.75" customHeight="1" spans="1:9">
      <c r="A1205" s="49"/>
      <c r="B1205" s="45" t="s">
        <v>1399</v>
      </c>
      <c r="C1205" s="78" t="s">
        <v>1992</v>
      </c>
      <c r="D1205" s="78" t="s">
        <v>1993</v>
      </c>
      <c r="E1205" s="49"/>
      <c r="F1205" s="49"/>
      <c r="G1205" s="49"/>
      <c r="H1205" s="49"/>
      <c r="I1205" s="49"/>
    </row>
    <row r="1206" ht="15.75" customHeight="1" spans="1:9">
      <c r="A1206" s="49"/>
      <c r="B1206" s="45" t="s">
        <v>1399</v>
      </c>
      <c r="C1206" s="78" t="s">
        <v>1994</v>
      </c>
      <c r="D1206" s="78" t="s">
        <v>1995</v>
      </c>
      <c r="E1206" s="49"/>
      <c r="F1206" s="49"/>
      <c r="G1206" s="49"/>
      <c r="H1206" s="49"/>
      <c r="I1206" s="49"/>
    </row>
    <row r="1207" ht="15.75" customHeight="1" spans="1:9">
      <c r="A1207" s="49"/>
      <c r="B1207" s="45" t="s">
        <v>1399</v>
      </c>
      <c r="C1207" s="78" t="s">
        <v>1996</v>
      </c>
      <c r="D1207" s="78" t="s">
        <v>1997</v>
      </c>
      <c r="E1207" s="49"/>
      <c r="F1207" s="49"/>
      <c r="G1207" s="49"/>
      <c r="H1207" s="49"/>
      <c r="I1207" s="49"/>
    </row>
    <row r="1208" ht="15.75" customHeight="1" spans="1:9">
      <c r="A1208" s="49"/>
      <c r="B1208" s="45" t="s">
        <v>1399</v>
      </c>
      <c r="C1208" s="78" t="s">
        <v>1998</v>
      </c>
      <c r="D1208" s="78" t="s">
        <v>1999</v>
      </c>
      <c r="E1208" s="49"/>
      <c r="F1208" s="49"/>
      <c r="G1208" s="49"/>
      <c r="H1208" s="49"/>
      <c r="I1208" s="49"/>
    </row>
    <row r="1209" ht="15.75" customHeight="1" spans="1:9">
      <c r="A1209" s="49"/>
      <c r="B1209" s="45" t="s">
        <v>1399</v>
      </c>
      <c r="C1209" s="78" t="s">
        <v>2000</v>
      </c>
      <c r="D1209" s="78" t="s">
        <v>2001</v>
      </c>
      <c r="E1209" s="49"/>
      <c r="F1209" s="49"/>
      <c r="G1209" s="49"/>
      <c r="H1209" s="49"/>
      <c r="I1209" s="49"/>
    </row>
    <row r="1210" ht="15.75" customHeight="1" spans="1:9">
      <c r="A1210" s="49"/>
      <c r="B1210" s="45" t="s">
        <v>1399</v>
      </c>
      <c r="C1210" s="78" t="s">
        <v>2002</v>
      </c>
      <c r="D1210" s="78" t="s">
        <v>2003</v>
      </c>
      <c r="E1210" s="49"/>
      <c r="F1210" s="49"/>
      <c r="G1210" s="49"/>
      <c r="H1210" s="49"/>
      <c r="I1210" s="49"/>
    </row>
    <row r="1211" ht="15.75" customHeight="1" spans="1:9">
      <c r="A1211" s="49"/>
      <c r="B1211" s="45" t="s">
        <v>1399</v>
      </c>
      <c r="C1211" s="78" t="s">
        <v>2004</v>
      </c>
      <c r="D1211" s="78" t="s">
        <v>2005</v>
      </c>
      <c r="E1211" s="49"/>
      <c r="F1211" s="49"/>
      <c r="G1211" s="49"/>
      <c r="H1211" s="49"/>
      <c r="I1211" s="49"/>
    </row>
    <row r="1212" ht="15.75" customHeight="1" spans="1:9">
      <c r="A1212" s="49"/>
      <c r="B1212" s="45" t="s">
        <v>1399</v>
      </c>
      <c r="C1212" s="78" t="s">
        <v>2006</v>
      </c>
      <c r="D1212" s="78" t="s">
        <v>2007</v>
      </c>
      <c r="E1212" s="49"/>
      <c r="F1212" s="49"/>
      <c r="G1212" s="49"/>
      <c r="H1212" s="49"/>
      <c r="I1212" s="49"/>
    </row>
    <row r="1213" ht="15.75" customHeight="1" spans="1:9">
      <c r="A1213" s="49"/>
      <c r="B1213" s="45" t="s">
        <v>1399</v>
      </c>
      <c r="C1213" s="78" t="s">
        <v>2008</v>
      </c>
      <c r="D1213" s="78" t="s">
        <v>2009</v>
      </c>
      <c r="E1213" s="49"/>
      <c r="F1213" s="49"/>
      <c r="G1213" s="49"/>
      <c r="H1213" s="49"/>
      <c r="I1213" s="49"/>
    </row>
    <row r="1214" ht="15.75" customHeight="1" spans="1:9">
      <c r="A1214" s="49"/>
      <c r="B1214" s="45" t="s">
        <v>1399</v>
      </c>
      <c r="C1214" s="78" t="s">
        <v>2010</v>
      </c>
      <c r="D1214" s="78" t="s">
        <v>2011</v>
      </c>
      <c r="E1214" s="49"/>
      <c r="F1214" s="49"/>
      <c r="G1214" s="49"/>
      <c r="H1214" s="49"/>
      <c r="I1214" s="49"/>
    </row>
    <row r="1215" ht="15.75" customHeight="1" spans="1:9">
      <c r="A1215" s="49"/>
      <c r="B1215" s="45" t="s">
        <v>1399</v>
      </c>
      <c r="C1215" s="78" t="s">
        <v>2012</v>
      </c>
      <c r="D1215" s="78" t="s">
        <v>2013</v>
      </c>
      <c r="E1215" s="49"/>
      <c r="F1215" s="49"/>
      <c r="G1215" s="49"/>
      <c r="H1215" s="49"/>
      <c r="I1215" s="49"/>
    </row>
    <row r="1216" ht="15.75" customHeight="1" spans="1:9">
      <c r="A1216" s="49"/>
      <c r="B1216" s="45" t="s">
        <v>1399</v>
      </c>
      <c r="C1216" s="78" t="s">
        <v>2014</v>
      </c>
      <c r="D1216" s="78" t="s">
        <v>2015</v>
      </c>
      <c r="E1216" s="49"/>
      <c r="F1216" s="49"/>
      <c r="G1216" s="49"/>
      <c r="H1216" s="49"/>
      <c r="I1216" s="49"/>
    </row>
    <row r="1217" ht="15.75" customHeight="1" spans="1:9">
      <c r="A1217" s="49"/>
      <c r="B1217" s="45" t="s">
        <v>1399</v>
      </c>
      <c r="C1217" s="78" t="s">
        <v>2016</v>
      </c>
      <c r="D1217" s="78" t="s">
        <v>2017</v>
      </c>
      <c r="E1217" s="49"/>
      <c r="F1217" s="49"/>
      <c r="G1217" s="49"/>
      <c r="H1217" s="49"/>
      <c r="I1217" s="49"/>
    </row>
    <row r="1218" ht="15.75" customHeight="1" spans="1:9">
      <c r="A1218" s="49"/>
      <c r="B1218" s="45" t="s">
        <v>1399</v>
      </c>
      <c r="C1218" s="78" t="s">
        <v>2018</v>
      </c>
      <c r="D1218" s="78" t="s">
        <v>2019</v>
      </c>
      <c r="E1218" s="49"/>
      <c r="F1218" s="49"/>
      <c r="G1218" s="49"/>
      <c r="H1218" s="49"/>
      <c r="I1218" s="49"/>
    </row>
    <row r="1219" ht="15.75" customHeight="1" spans="1:9">
      <c r="A1219" s="49"/>
      <c r="B1219" s="45" t="s">
        <v>1399</v>
      </c>
      <c r="C1219" s="78" t="s">
        <v>2020</v>
      </c>
      <c r="D1219" s="78" t="s">
        <v>2021</v>
      </c>
      <c r="E1219" s="49"/>
      <c r="F1219" s="49"/>
      <c r="G1219" s="49"/>
      <c r="H1219" s="49"/>
      <c r="I1219" s="49"/>
    </row>
    <row r="1220" ht="15.75" customHeight="1" spans="1:9">
      <c r="A1220" s="49"/>
      <c r="B1220" s="45" t="s">
        <v>1399</v>
      </c>
      <c r="C1220" s="78" t="s">
        <v>2022</v>
      </c>
      <c r="D1220" s="78" t="s">
        <v>2023</v>
      </c>
      <c r="E1220" s="49"/>
      <c r="F1220" s="49"/>
      <c r="G1220" s="49"/>
      <c r="H1220" s="49"/>
      <c r="I1220" s="49"/>
    </row>
    <row r="1221" ht="15.75" customHeight="1" spans="1:9">
      <c r="A1221" s="49"/>
      <c r="B1221" s="45" t="s">
        <v>1399</v>
      </c>
      <c r="C1221" s="78" t="s">
        <v>2024</v>
      </c>
      <c r="D1221" s="78" t="s">
        <v>2025</v>
      </c>
      <c r="E1221" s="49"/>
      <c r="F1221" s="49"/>
      <c r="G1221" s="49"/>
      <c r="H1221" s="49"/>
      <c r="I1221" s="49"/>
    </row>
    <row r="1222" ht="15.75" customHeight="1" spans="1:9">
      <c r="A1222" s="49"/>
      <c r="B1222" s="45" t="s">
        <v>1399</v>
      </c>
      <c r="C1222" s="78" t="s">
        <v>2026</v>
      </c>
      <c r="D1222" s="78" t="s">
        <v>2027</v>
      </c>
      <c r="E1222" s="49"/>
      <c r="F1222" s="49"/>
      <c r="G1222" s="49"/>
      <c r="H1222" s="49"/>
      <c r="I1222" s="49"/>
    </row>
    <row r="1223" ht="15.75" customHeight="1" spans="1:9">
      <c r="A1223" s="49"/>
      <c r="B1223" s="45" t="s">
        <v>1399</v>
      </c>
      <c r="C1223" s="78" t="s">
        <v>2028</v>
      </c>
      <c r="D1223" s="78" t="s">
        <v>2029</v>
      </c>
      <c r="E1223" s="49"/>
      <c r="F1223" s="49"/>
      <c r="G1223" s="49"/>
      <c r="H1223" s="49"/>
      <c r="I1223" s="49"/>
    </row>
    <row r="1224" ht="15.75" customHeight="1" spans="1:9">
      <c r="A1224" s="49"/>
      <c r="B1224" s="45" t="s">
        <v>1399</v>
      </c>
      <c r="C1224" s="78" t="s">
        <v>2030</v>
      </c>
      <c r="D1224" s="78" t="s">
        <v>2031</v>
      </c>
      <c r="E1224" s="49"/>
      <c r="F1224" s="49"/>
      <c r="G1224" s="49"/>
      <c r="H1224" s="49"/>
      <c r="I1224" s="49"/>
    </row>
    <row r="1225" ht="15.75" customHeight="1" spans="1:9">
      <c r="A1225" s="49"/>
      <c r="B1225" s="45" t="s">
        <v>1399</v>
      </c>
      <c r="C1225" s="78" t="s">
        <v>2032</v>
      </c>
      <c r="D1225" s="78" t="s">
        <v>2033</v>
      </c>
      <c r="E1225" s="49"/>
      <c r="F1225" s="49"/>
      <c r="G1225" s="49"/>
      <c r="H1225" s="49"/>
      <c r="I1225" s="49"/>
    </row>
    <row r="1226" ht="15.75" customHeight="1" spans="1:9">
      <c r="A1226" s="49"/>
      <c r="B1226" s="45" t="s">
        <v>1399</v>
      </c>
      <c r="C1226" s="78" t="s">
        <v>2034</v>
      </c>
      <c r="D1226" s="78" t="s">
        <v>2035</v>
      </c>
      <c r="E1226" s="49"/>
      <c r="F1226" s="49"/>
      <c r="G1226" s="49"/>
      <c r="H1226" s="49"/>
      <c r="I1226" s="49"/>
    </row>
    <row r="1227" ht="15.75" customHeight="1" spans="1:9">
      <c r="A1227" s="49"/>
      <c r="B1227" s="45" t="s">
        <v>1399</v>
      </c>
      <c r="C1227" s="78" t="s">
        <v>2036</v>
      </c>
      <c r="D1227" s="78" t="s">
        <v>2037</v>
      </c>
      <c r="E1227" s="49"/>
      <c r="F1227" s="49"/>
      <c r="G1227" s="49"/>
      <c r="H1227" s="49"/>
      <c r="I1227" s="49"/>
    </row>
    <row r="1228" ht="15.75" customHeight="1" spans="1:9">
      <c r="A1228" s="49"/>
      <c r="B1228" s="45" t="s">
        <v>1399</v>
      </c>
      <c r="C1228" s="78" t="s">
        <v>2038</v>
      </c>
      <c r="D1228" s="78" t="s">
        <v>2039</v>
      </c>
      <c r="E1228" s="49"/>
      <c r="F1228" s="49"/>
      <c r="G1228" s="49"/>
      <c r="H1228" s="49"/>
      <c r="I1228" s="49"/>
    </row>
    <row r="1229" ht="15.75" customHeight="1" spans="1:9">
      <c r="A1229" s="49"/>
      <c r="B1229" s="45" t="s">
        <v>1399</v>
      </c>
      <c r="C1229" s="78" t="s">
        <v>2040</v>
      </c>
      <c r="D1229" s="78" t="s">
        <v>2041</v>
      </c>
      <c r="E1229" s="49"/>
      <c r="F1229" s="49"/>
      <c r="G1229" s="49"/>
      <c r="H1229" s="49"/>
      <c r="I1229" s="49"/>
    </row>
    <row r="1230" ht="15.75" customHeight="1" spans="1:9">
      <c r="A1230" s="49"/>
      <c r="B1230" s="45" t="s">
        <v>1399</v>
      </c>
      <c r="C1230" s="78" t="s">
        <v>2042</v>
      </c>
      <c r="D1230" s="78" t="s">
        <v>2043</v>
      </c>
      <c r="E1230" s="49"/>
      <c r="F1230" s="49"/>
      <c r="G1230" s="49"/>
      <c r="H1230" s="49"/>
      <c r="I1230" s="49"/>
    </row>
    <row r="1231" ht="15.75" customHeight="1" spans="1:9">
      <c r="A1231" s="49"/>
      <c r="B1231" s="45" t="s">
        <v>1399</v>
      </c>
      <c r="C1231" s="78" t="s">
        <v>2044</v>
      </c>
      <c r="D1231" s="78" t="s">
        <v>2045</v>
      </c>
      <c r="E1231" s="49"/>
      <c r="F1231" s="49"/>
      <c r="G1231" s="49"/>
      <c r="H1231" s="49"/>
      <c r="I1231" s="49"/>
    </row>
    <row r="1232" ht="15.75" customHeight="1" spans="1:9">
      <c r="A1232" s="49"/>
      <c r="B1232" s="45" t="s">
        <v>1399</v>
      </c>
      <c r="C1232" s="78" t="s">
        <v>2046</v>
      </c>
      <c r="D1232" s="78" t="s">
        <v>2047</v>
      </c>
      <c r="E1232" s="49"/>
      <c r="F1232" s="49"/>
      <c r="G1232" s="49"/>
      <c r="H1232" s="49"/>
      <c r="I1232" s="49"/>
    </row>
    <row r="1233" ht="15.75" customHeight="1" spans="1:9">
      <c r="A1233" s="49"/>
      <c r="B1233" s="45" t="s">
        <v>1399</v>
      </c>
      <c r="C1233" s="78" t="s">
        <v>2048</v>
      </c>
      <c r="D1233" s="78" t="s">
        <v>2049</v>
      </c>
      <c r="E1233" s="49"/>
      <c r="F1233" s="49"/>
      <c r="G1233" s="49"/>
      <c r="H1233" s="49"/>
      <c r="I1233" s="49"/>
    </row>
    <row r="1234" ht="15.75" customHeight="1" spans="1:9">
      <c r="A1234" s="49"/>
      <c r="B1234" s="45" t="s">
        <v>1399</v>
      </c>
      <c r="C1234" s="78" t="s">
        <v>2050</v>
      </c>
      <c r="D1234" s="78" t="s">
        <v>2051</v>
      </c>
      <c r="E1234" s="49"/>
      <c r="F1234" s="49"/>
      <c r="G1234" s="49"/>
      <c r="H1234" s="49"/>
      <c r="I1234" s="49"/>
    </row>
    <row r="1235" ht="15.75" customHeight="1" spans="1:9">
      <c r="A1235" s="49"/>
      <c r="B1235" s="45" t="s">
        <v>1399</v>
      </c>
      <c r="C1235" s="78" t="s">
        <v>2052</v>
      </c>
      <c r="D1235" s="78" t="s">
        <v>2053</v>
      </c>
      <c r="E1235" s="49"/>
      <c r="F1235" s="49"/>
      <c r="G1235" s="49"/>
      <c r="H1235" s="49"/>
      <c r="I1235" s="49"/>
    </row>
    <row r="1236" ht="15.75" customHeight="1" spans="1:9">
      <c r="A1236" s="49"/>
      <c r="B1236" s="45" t="s">
        <v>1399</v>
      </c>
      <c r="C1236" s="78" t="s">
        <v>2054</v>
      </c>
      <c r="D1236" s="78" t="s">
        <v>2055</v>
      </c>
      <c r="E1236" s="49"/>
      <c r="F1236" s="49"/>
      <c r="G1236" s="49"/>
      <c r="H1236" s="49"/>
      <c r="I1236" s="49"/>
    </row>
    <row r="1237" ht="15.75" customHeight="1" spans="1:9">
      <c r="A1237" s="49"/>
      <c r="B1237" s="45" t="s">
        <v>1399</v>
      </c>
      <c r="C1237" s="78" t="s">
        <v>2056</v>
      </c>
      <c r="D1237" s="78" t="s">
        <v>2057</v>
      </c>
      <c r="E1237" s="49"/>
      <c r="F1237" s="49"/>
      <c r="G1237" s="49"/>
      <c r="H1237" s="49"/>
      <c r="I1237" s="49"/>
    </row>
    <row r="1238" ht="15.75" customHeight="1" spans="1:9">
      <c r="A1238" s="49"/>
      <c r="B1238" s="45" t="s">
        <v>1399</v>
      </c>
      <c r="C1238" s="78" t="s">
        <v>2058</v>
      </c>
      <c r="D1238" s="78" t="s">
        <v>2059</v>
      </c>
      <c r="E1238" s="49"/>
      <c r="F1238" s="49"/>
      <c r="G1238" s="49"/>
      <c r="H1238" s="49"/>
      <c r="I1238" s="49"/>
    </row>
    <row r="1239" ht="15.75" customHeight="1" spans="1:9">
      <c r="A1239" s="49"/>
      <c r="B1239" s="45" t="s">
        <v>1399</v>
      </c>
      <c r="C1239" s="78" t="s">
        <v>2060</v>
      </c>
      <c r="D1239" s="78" t="s">
        <v>2061</v>
      </c>
      <c r="E1239" s="49"/>
      <c r="F1239" s="49"/>
      <c r="G1239" s="49"/>
      <c r="H1239" s="49"/>
      <c r="I1239" s="49"/>
    </row>
    <row r="1240" ht="15.75" customHeight="1" spans="1:9">
      <c r="A1240" s="49"/>
      <c r="B1240" s="45" t="s">
        <v>1399</v>
      </c>
      <c r="C1240" s="78" t="s">
        <v>2062</v>
      </c>
      <c r="D1240" s="78" t="s">
        <v>2063</v>
      </c>
      <c r="E1240" s="49"/>
      <c r="F1240" s="49"/>
      <c r="G1240" s="49"/>
      <c r="H1240" s="49"/>
      <c r="I1240" s="49"/>
    </row>
    <row r="1241" ht="15.75" customHeight="1" spans="1:9">
      <c r="A1241" s="49"/>
      <c r="B1241" s="45" t="s">
        <v>1399</v>
      </c>
      <c r="C1241" s="78" t="s">
        <v>2064</v>
      </c>
      <c r="D1241" s="78" t="s">
        <v>2065</v>
      </c>
      <c r="E1241" s="49"/>
      <c r="F1241" s="49"/>
      <c r="G1241" s="49"/>
      <c r="H1241" s="49"/>
      <c r="I1241" s="49"/>
    </row>
    <row r="1242" ht="15.75" customHeight="1" spans="1:9">
      <c r="A1242" s="49"/>
      <c r="B1242" s="45" t="s">
        <v>1399</v>
      </c>
      <c r="C1242" s="78" t="s">
        <v>2066</v>
      </c>
      <c r="D1242" s="78" t="s">
        <v>2067</v>
      </c>
      <c r="E1242" s="49"/>
      <c r="F1242" s="49"/>
      <c r="G1242" s="49"/>
      <c r="H1242" s="49"/>
      <c r="I1242" s="49"/>
    </row>
    <row r="1243" ht="15.75" customHeight="1" spans="1:9">
      <c r="A1243" s="49"/>
      <c r="B1243" s="45" t="s">
        <v>1399</v>
      </c>
      <c r="C1243" s="78" t="s">
        <v>2068</v>
      </c>
      <c r="D1243" s="78" t="s">
        <v>2069</v>
      </c>
      <c r="E1243" s="49"/>
      <c r="F1243" s="49"/>
      <c r="G1243" s="49"/>
      <c r="H1243" s="49"/>
      <c r="I1243" s="49"/>
    </row>
    <row r="1244" ht="15.75" customHeight="1" spans="1:9">
      <c r="A1244" s="49"/>
      <c r="B1244" s="45" t="s">
        <v>1399</v>
      </c>
      <c r="C1244" s="78" t="s">
        <v>2070</v>
      </c>
      <c r="D1244" s="78" t="s">
        <v>2071</v>
      </c>
      <c r="E1244" s="49"/>
      <c r="F1244" s="49"/>
      <c r="G1244" s="49"/>
      <c r="H1244" s="49"/>
      <c r="I1244" s="49"/>
    </row>
    <row r="1245" ht="15.75" customHeight="1" spans="1:9">
      <c r="A1245" s="49"/>
      <c r="B1245" s="45" t="s">
        <v>1399</v>
      </c>
      <c r="C1245" s="78" t="s">
        <v>2072</v>
      </c>
      <c r="D1245" s="78" t="s">
        <v>2073</v>
      </c>
      <c r="E1245" s="49"/>
      <c r="F1245" s="49"/>
      <c r="G1245" s="49"/>
      <c r="H1245" s="49"/>
      <c r="I1245" s="49"/>
    </row>
    <row r="1246" ht="15.75" customHeight="1" spans="1:9">
      <c r="A1246" s="49"/>
      <c r="B1246" s="45" t="s">
        <v>1399</v>
      </c>
      <c r="C1246" s="78" t="s">
        <v>2074</v>
      </c>
      <c r="D1246" s="78" t="s">
        <v>2075</v>
      </c>
      <c r="E1246" s="49"/>
      <c r="F1246" s="49"/>
      <c r="G1246" s="49"/>
      <c r="H1246" s="49"/>
      <c r="I1246" s="49"/>
    </row>
    <row r="1247" ht="15.75" customHeight="1" spans="1:9">
      <c r="A1247" s="49"/>
      <c r="B1247" s="45" t="s">
        <v>1399</v>
      </c>
      <c r="C1247" s="78" t="s">
        <v>2076</v>
      </c>
      <c r="D1247" s="78" t="s">
        <v>2077</v>
      </c>
      <c r="E1247" s="49"/>
      <c r="F1247" s="49"/>
      <c r="G1247" s="49"/>
      <c r="H1247" s="49"/>
      <c r="I1247" s="49"/>
    </row>
    <row r="1248" ht="15.75" customHeight="1" spans="1:9">
      <c r="A1248" s="49"/>
      <c r="B1248" s="45" t="s">
        <v>1399</v>
      </c>
      <c r="C1248" s="78" t="s">
        <v>2078</v>
      </c>
      <c r="D1248" s="78" t="s">
        <v>2079</v>
      </c>
      <c r="E1248" s="49"/>
      <c r="F1248" s="49"/>
      <c r="G1248" s="49"/>
      <c r="H1248" s="49"/>
      <c r="I1248" s="49"/>
    </row>
    <row r="1249" ht="15.75" customHeight="1" spans="1:9">
      <c r="A1249" s="49"/>
      <c r="B1249" s="45" t="s">
        <v>1399</v>
      </c>
      <c r="C1249" s="78" t="s">
        <v>2080</v>
      </c>
      <c r="D1249" s="78" t="s">
        <v>2081</v>
      </c>
      <c r="E1249" s="49"/>
      <c r="F1249" s="49"/>
      <c r="G1249" s="49"/>
      <c r="H1249" s="49"/>
      <c r="I1249" s="49"/>
    </row>
    <row r="1250" ht="15.75" customHeight="1" spans="1:9">
      <c r="A1250" s="49"/>
      <c r="B1250" s="45" t="s">
        <v>1399</v>
      </c>
      <c r="C1250" s="78" t="s">
        <v>2082</v>
      </c>
      <c r="D1250" s="78" t="s">
        <v>2083</v>
      </c>
      <c r="E1250" s="49"/>
      <c r="F1250" s="49"/>
      <c r="G1250" s="49"/>
      <c r="H1250" s="49"/>
      <c r="I1250" s="49"/>
    </row>
    <row r="1251" ht="15.75" customHeight="1" spans="1:9">
      <c r="A1251" s="49"/>
      <c r="B1251" s="45" t="s">
        <v>1399</v>
      </c>
      <c r="C1251" s="78" t="s">
        <v>2084</v>
      </c>
      <c r="D1251" s="78" t="s">
        <v>2085</v>
      </c>
      <c r="E1251" s="49"/>
      <c r="F1251" s="49"/>
      <c r="G1251" s="49"/>
      <c r="H1251" s="49"/>
      <c r="I1251" s="49"/>
    </row>
    <row r="1252" ht="15.75" customHeight="1" spans="1:9">
      <c r="A1252" s="49"/>
      <c r="B1252" s="45" t="s">
        <v>1399</v>
      </c>
      <c r="C1252" s="78" t="s">
        <v>2086</v>
      </c>
      <c r="D1252" s="78" t="s">
        <v>2087</v>
      </c>
      <c r="E1252" s="49"/>
      <c r="F1252" s="49"/>
      <c r="G1252" s="49"/>
      <c r="H1252" s="49"/>
      <c r="I1252" s="49"/>
    </row>
    <row r="1253" ht="15.75" customHeight="1" spans="1:9">
      <c r="A1253" s="49"/>
      <c r="B1253" s="45" t="s">
        <v>1399</v>
      </c>
      <c r="C1253" s="78" t="s">
        <v>2088</v>
      </c>
      <c r="D1253" s="78" t="s">
        <v>2089</v>
      </c>
      <c r="E1253" s="49"/>
      <c r="F1253" s="49"/>
      <c r="G1253" s="49"/>
      <c r="H1253" s="49"/>
      <c r="I1253" s="49"/>
    </row>
    <row r="1254" ht="15.75" customHeight="1" spans="1:9">
      <c r="A1254" s="49"/>
      <c r="B1254" s="45" t="s">
        <v>1399</v>
      </c>
      <c r="C1254" s="78" t="s">
        <v>2090</v>
      </c>
      <c r="D1254" s="78" t="s">
        <v>2091</v>
      </c>
      <c r="E1254" s="49"/>
      <c r="F1254" s="49"/>
      <c r="G1254" s="49"/>
      <c r="H1254" s="49"/>
      <c r="I1254" s="49"/>
    </row>
    <row r="1255" ht="15.75" customHeight="1" spans="1:9">
      <c r="A1255" s="49"/>
      <c r="B1255" s="45" t="s">
        <v>1399</v>
      </c>
      <c r="C1255" s="78" t="s">
        <v>2092</v>
      </c>
      <c r="D1255" s="78" t="s">
        <v>2093</v>
      </c>
      <c r="E1255" s="49"/>
      <c r="F1255" s="49"/>
      <c r="G1255" s="49"/>
      <c r="H1255" s="49"/>
      <c r="I1255" s="49"/>
    </row>
    <row r="1256" ht="15.75" customHeight="1" spans="1:9">
      <c r="A1256" s="49"/>
      <c r="B1256" s="45" t="s">
        <v>1399</v>
      </c>
      <c r="C1256" s="78" t="s">
        <v>2094</v>
      </c>
      <c r="D1256" s="78" t="s">
        <v>2095</v>
      </c>
      <c r="E1256" s="49"/>
      <c r="F1256" s="49"/>
      <c r="G1256" s="49"/>
      <c r="H1256" s="49"/>
      <c r="I1256" s="49"/>
    </row>
    <row r="1257" ht="15.75" customHeight="1" spans="1:9">
      <c r="A1257" s="49"/>
      <c r="B1257" s="45" t="s">
        <v>1399</v>
      </c>
      <c r="C1257" s="78" t="s">
        <v>2096</v>
      </c>
      <c r="D1257" s="78" t="s">
        <v>2097</v>
      </c>
      <c r="E1257" s="49"/>
      <c r="F1257" s="49"/>
      <c r="G1257" s="49"/>
      <c r="H1257" s="49"/>
      <c r="I1257" s="49"/>
    </row>
    <row r="1258" ht="15.75" customHeight="1" spans="1:9">
      <c r="A1258" s="49"/>
      <c r="B1258" s="45" t="s">
        <v>1399</v>
      </c>
      <c r="C1258" s="78" t="s">
        <v>2098</v>
      </c>
      <c r="D1258" s="78" t="s">
        <v>2099</v>
      </c>
      <c r="E1258" s="49"/>
      <c r="F1258" s="49"/>
      <c r="G1258" s="49"/>
      <c r="H1258" s="49"/>
      <c r="I1258" s="49"/>
    </row>
    <row r="1259" ht="15.75" customHeight="1" spans="1:9">
      <c r="A1259" s="49"/>
      <c r="B1259" s="45" t="s">
        <v>1399</v>
      </c>
      <c r="C1259" s="78" t="s">
        <v>2100</v>
      </c>
      <c r="D1259" s="78" t="s">
        <v>2101</v>
      </c>
      <c r="E1259" s="49"/>
      <c r="F1259" s="49"/>
      <c r="G1259" s="49"/>
      <c r="H1259" s="49"/>
      <c r="I1259" s="49"/>
    </row>
    <row r="1260" ht="15.75" customHeight="1" spans="1:9">
      <c r="A1260" s="49"/>
      <c r="B1260" s="45" t="s">
        <v>1399</v>
      </c>
      <c r="C1260" s="78" t="s">
        <v>2102</v>
      </c>
      <c r="D1260" s="78" t="s">
        <v>2103</v>
      </c>
      <c r="E1260" s="49"/>
      <c r="F1260" s="49"/>
      <c r="G1260" s="49"/>
      <c r="H1260" s="49"/>
      <c r="I1260" s="49"/>
    </row>
    <row r="1261" ht="15.75" customHeight="1" spans="1:9">
      <c r="A1261" s="49"/>
      <c r="B1261" s="45" t="s">
        <v>1399</v>
      </c>
      <c r="C1261" s="78" t="s">
        <v>2104</v>
      </c>
      <c r="D1261" s="78" t="s">
        <v>2105</v>
      </c>
      <c r="E1261" s="49"/>
      <c r="F1261" s="49"/>
      <c r="G1261" s="49"/>
      <c r="H1261" s="49"/>
      <c r="I1261" s="49"/>
    </row>
    <row r="1262" ht="15.75" customHeight="1" spans="1:9">
      <c r="A1262" s="49"/>
      <c r="B1262" s="45" t="s">
        <v>1399</v>
      </c>
      <c r="C1262" s="78" t="s">
        <v>2106</v>
      </c>
      <c r="D1262" s="78" t="s">
        <v>2107</v>
      </c>
      <c r="E1262" s="49"/>
      <c r="F1262" s="49"/>
      <c r="G1262" s="49"/>
      <c r="H1262" s="49"/>
      <c r="I1262" s="49"/>
    </row>
    <row r="1263" ht="15.75" customHeight="1" spans="1:9">
      <c r="A1263" s="49"/>
      <c r="B1263" s="45" t="s">
        <v>1399</v>
      </c>
      <c r="C1263" s="78" t="s">
        <v>2108</v>
      </c>
      <c r="D1263" s="78" t="s">
        <v>2109</v>
      </c>
      <c r="E1263" s="49"/>
      <c r="F1263" s="49"/>
      <c r="G1263" s="49"/>
      <c r="H1263" s="49"/>
      <c r="I1263" s="49"/>
    </row>
    <row r="1264" ht="15.75" customHeight="1" spans="1:9">
      <c r="A1264" s="49"/>
      <c r="B1264" s="45" t="s">
        <v>1399</v>
      </c>
      <c r="C1264" s="78" t="s">
        <v>2110</v>
      </c>
      <c r="D1264" s="78" t="s">
        <v>2111</v>
      </c>
      <c r="E1264" s="49"/>
      <c r="F1264" s="49"/>
      <c r="G1264" s="49"/>
      <c r="H1264" s="49"/>
      <c r="I1264" s="49"/>
    </row>
    <row r="1265" ht="15.75" customHeight="1" spans="1:9">
      <c r="A1265" s="49"/>
      <c r="B1265" s="45" t="s">
        <v>1399</v>
      </c>
      <c r="C1265" s="78" t="s">
        <v>2112</v>
      </c>
      <c r="D1265" s="78" t="s">
        <v>2113</v>
      </c>
      <c r="E1265" s="49"/>
      <c r="F1265" s="49"/>
      <c r="G1265" s="49"/>
      <c r="H1265" s="49"/>
      <c r="I1265" s="49"/>
    </row>
    <row r="1266" ht="15.75" customHeight="1" spans="1:9">
      <c r="A1266" s="49"/>
      <c r="B1266" s="45" t="s">
        <v>1399</v>
      </c>
      <c r="C1266" s="78" t="s">
        <v>2114</v>
      </c>
      <c r="D1266" s="78" t="s">
        <v>2115</v>
      </c>
      <c r="E1266" s="49"/>
      <c r="F1266" s="49"/>
      <c r="G1266" s="49"/>
      <c r="H1266" s="49"/>
      <c r="I1266" s="49"/>
    </row>
    <row r="1267" ht="15.75" customHeight="1" spans="1:9">
      <c r="A1267" s="49"/>
      <c r="B1267" s="45" t="s">
        <v>1399</v>
      </c>
      <c r="C1267" s="78" t="s">
        <v>2116</v>
      </c>
      <c r="D1267" s="78" t="s">
        <v>2117</v>
      </c>
      <c r="E1267" s="49"/>
      <c r="F1267" s="49"/>
      <c r="G1267" s="49"/>
      <c r="H1267" s="49"/>
      <c r="I1267" s="49"/>
    </row>
    <row r="1268" ht="15.75" customHeight="1" spans="1:9">
      <c r="A1268" s="49"/>
      <c r="B1268" s="45" t="s">
        <v>1399</v>
      </c>
      <c r="C1268" s="78" t="s">
        <v>2118</v>
      </c>
      <c r="D1268" s="78" t="s">
        <v>2119</v>
      </c>
      <c r="E1268" s="49"/>
      <c r="F1268" s="49"/>
      <c r="G1268" s="49"/>
      <c r="H1268" s="49"/>
      <c r="I1268" s="49"/>
    </row>
    <row r="1269" ht="15.75" customHeight="1" spans="1:9">
      <c r="A1269" s="49"/>
      <c r="B1269" s="45" t="s">
        <v>1399</v>
      </c>
      <c r="C1269" s="78" t="s">
        <v>2120</v>
      </c>
      <c r="D1269" s="78" t="s">
        <v>2121</v>
      </c>
      <c r="E1269" s="49"/>
      <c r="F1269" s="49"/>
      <c r="G1269" s="49"/>
      <c r="H1269" s="49"/>
      <c r="I1269" s="49"/>
    </row>
    <row r="1270" ht="15.75" customHeight="1" spans="1:9">
      <c r="A1270" s="49"/>
      <c r="B1270" s="45" t="s">
        <v>1399</v>
      </c>
      <c r="C1270" s="78" t="s">
        <v>2122</v>
      </c>
      <c r="D1270" s="78" t="s">
        <v>2123</v>
      </c>
      <c r="E1270" s="49"/>
      <c r="F1270" s="49"/>
      <c r="G1270" s="49"/>
      <c r="H1270" s="49"/>
      <c r="I1270" s="49"/>
    </row>
    <row r="1271" ht="15.75" customHeight="1" spans="1:9">
      <c r="A1271" s="49"/>
      <c r="B1271" s="45" t="s">
        <v>1399</v>
      </c>
      <c r="C1271" s="78" t="s">
        <v>2124</v>
      </c>
      <c r="D1271" s="78" t="s">
        <v>2125</v>
      </c>
      <c r="E1271" s="49"/>
      <c r="F1271" s="49"/>
      <c r="G1271" s="49"/>
      <c r="H1271" s="49"/>
      <c r="I1271" s="49"/>
    </row>
    <row r="1272" ht="15.75" customHeight="1" spans="1:9">
      <c r="A1272" s="49"/>
      <c r="B1272" s="45" t="s">
        <v>1399</v>
      </c>
      <c r="C1272" s="78" t="s">
        <v>2126</v>
      </c>
      <c r="D1272" s="78" t="s">
        <v>2127</v>
      </c>
      <c r="E1272" s="49"/>
      <c r="F1272" s="49"/>
      <c r="G1272" s="49"/>
      <c r="H1272" s="49"/>
      <c r="I1272" s="49"/>
    </row>
    <row r="1273" ht="15.75" customHeight="1" spans="1:9">
      <c r="A1273" s="49"/>
      <c r="B1273" s="45" t="s">
        <v>1399</v>
      </c>
      <c r="C1273" s="78" t="s">
        <v>2128</v>
      </c>
      <c r="D1273" s="78" t="s">
        <v>2129</v>
      </c>
      <c r="E1273" s="49"/>
      <c r="F1273" s="49"/>
      <c r="G1273" s="49"/>
      <c r="H1273" s="49"/>
      <c r="I1273" s="49"/>
    </row>
    <row r="1274" ht="15.75" customHeight="1" spans="1:9">
      <c r="A1274" s="49"/>
      <c r="B1274" s="45" t="s">
        <v>1399</v>
      </c>
      <c r="C1274" s="78" t="s">
        <v>2130</v>
      </c>
      <c r="D1274" s="78" t="s">
        <v>2131</v>
      </c>
      <c r="E1274" s="49"/>
      <c r="F1274" s="49"/>
      <c r="G1274" s="49"/>
      <c r="H1274" s="49"/>
      <c r="I1274" s="49"/>
    </row>
    <row r="1275" ht="15.75" customHeight="1" spans="1:9">
      <c r="A1275" s="49"/>
      <c r="B1275" s="45" t="s">
        <v>1399</v>
      </c>
      <c r="C1275" s="78" t="s">
        <v>2132</v>
      </c>
      <c r="D1275" s="78" t="s">
        <v>2133</v>
      </c>
      <c r="E1275" s="49"/>
      <c r="F1275" s="49"/>
      <c r="G1275" s="49"/>
      <c r="H1275" s="49"/>
      <c r="I1275" s="49"/>
    </row>
    <row r="1276" ht="15.75" customHeight="1" spans="1:9">
      <c r="A1276" s="49"/>
      <c r="B1276" s="45" t="s">
        <v>1399</v>
      </c>
      <c r="C1276" s="78" t="s">
        <v>2134</v>
      </c>
      <c r="D1276" s="78" t="s">
        <v>2135</v>
      </c>
      <c r="E1276" s="49"/>
      <c r="F1276" s="49"/>
      <c r="G1276" s="49"/>
      <c r="H1276" s="49"/>
      <c r="I1276" s="49"/>
    </row>
    <row r="1277" ht="15.75" customHeight="1" spans="1:9">
      <c r="A1277" s="49"/>
      <c r="B1277" s="45" t="s">
        <v>1399</v>
      </c>
      <c r="C1277" s="78" t="s">
        <v>2136</v>
      </c>
      <c r="D1277" s="78" t="s">
        <v>2137</v>
      </c>
      <c r="E1277" s="49"/>
      <c r="F1277" s="49"/>
      <c r="G1277" s="49"/>
      <c r="H1277" s="49"/>
      <c r="I1277" s="49"/>
    </row>
    <row r="1278" ht="15.75" customHeight="1" spans="1:9">
      <c r="A1278" s="49"/>
      <c r="B1278" s="45" t="s">
        <v>1399</v>
      </c>
      <c r="C1278" s="78" t="s">
        <v>2138</v>
      </c>
      <c r="D1278" s="78" t="s">
        <v>2139</v>
      </c>
      <c r="E1278" s="49"/>
      <c r="F1278" s="49"/>
      <c r="G1278" s="49"/>
      <c r="H1278" s="49"/>
      <c r="I1278" s="49"/>
    </row>
    <row r="1279" ht="15.75" customHeight="1" spans="1:9">
      <c r="A1279" s="49"/>
      <c r="B1279" s="45" t="s">
        <v>1399</v>
      </c>
      <c r="C1279" s="78" t="s">
        <v>2140</v>
      </c>
      <c r="D1279" s="78" t="s">
        <v>2141</v>
      </c>
      <c r="E1279" s="49"/>
      <c r="F1279" s="49"/>
      <c r="G1279" s="49"/>
      <c r="H1279" s="49"/>
      <c r="I1279" s="49"/>
    </row>
    <row r="1280" ht="15.75" customHeight="1" spans="1:9">
      <c r="A1280" s="49"/>
      <c r="B1280" s="45" t="s">
        <v>1399</v>
      </c>
      <c r="C1280" s="78" t="s">
        <v>2142</v>
      </c>
      <c r="D1280" s="78" t="s">
        <v>2143</v>
      </c>
      <c r="E1280" s="49"/>
      <c r="F1280" s="49"/>
      <c r="G1280" s="49"/>
      <c r="H1280" s="49"/>
      <c r="I1280" s="49"/>
    </row>
    <row r="1281" ht="15.75" customHeight="1" spans="1:9">
      <c r="A1281" s="49"/>
      <c r="B1281" s="45" t="s">
        <v>1399</v>
      </c>
      <c r="C1281" s="78" t="s">
        <v>2144</v>
      </c>
      <c r="D1281" s="78" t="s">
        <v>2145</v>
      </c>
      <c r="E1281" s="49"/>
      <c r="F1281" s="49"/>
      <c r="G1281" s="49"/>
      <c r="H1281" s="49"/>
      <c r="I1281" s="49"/>
    </row>
    <row r="1282" ht="15.75" customHeight="1" spans="1:9">
      <c r="A1282" s="49"/>
      <c r="B1282" s="45" t="s">
        <v>1399</v>
      </c>
      <c r="C1282" s="78" t="s">
        <v>2146</v>
      </c>
      <c r="D1282" s="78" t="s">
        <v>2147</v>
      </c>
      <c r="E1282" s="49"/>
      <c r="F1282" s="49"/>
      <c r="G1282" s="49"/>
      <c r="H1282" s="49"/>
      <c r="I1282" s="49"/>
    </row>
    <row r="1283" ht="15.75" customHeight="1" spans="1:9">
      <c r="A1283" s="49"/>
      <c r="B1283" s="45" t="s">
        <v>1399</v>
      </c>
      <c r="C1283" s="78" t="s">
        <v>2148</v>
      </c>
      <c r="D1283" s="78" t="s">
        <v>2149</v>
      </c>
      <c r="E1283" s="49"/>
      <c r="F1283" s="49"/>
      <c r="G1283" s="49"/>
      <c r="H1283" s="49"/>
      <c r="I1283" s="49"/>
    </row>
    <row r="1284" ht="15.75" customHeight="1" spans="1:9">
      <c r="A1284" s="49"/>
      <c r="B1284" s="45" t="s">
        <v>1399</v>
      </c>
      <c r="C1284" s="78" t="s">
        <v>2150</v>
      </c>
      <c r="D1284" s="78" t="s">
        <v>2151</v>
      </c>
      <c r="E1284" s="49"/>
      <c r="F1284" s="49"/>
      <c r="G1284" s="49"/>
      <c r="H1284" s="49"/>
      <c r="I1284" s="49"/>
    </row>
    <row r="1285" ht="15.75" customHeight="1" spans="1:9">
      <c r="A1285" s="49"/>
      <c r="B1285" s="45" t="s">
        <v>1399</v>
      </c>
      <c r="C1285" s="78" t="s">
        <v>2152</v>
      </c>
      <c r="D1285" s="78" t="s">
        <v>2153</v>
      </c>
      <c r="E1285" s="49"/>
      <c r="F1285" s="49"/>
      <c r="G1285" s="49"/>
      <c r="H1285" s="49"/>
      <c r="I1285" s="49"/>
    </row>
    <row r="1286" ht="15.75" customHeight="1" spans="1:9">
      <c r="A1286" s="49"/>
      <c r="B1286" s="45" t="s">
        <v>1399</v>
      </c>
      <c r="C1286" s="78" t="s">
        <v>2154</v>
      </c>
      <c r="D1286" s="78" t="s">
        <v>2155</v>
      </c>
      <c r="E1286" s="49"/>
      <c r="F1286" s="49"/>
      <c r="G1286" s="49"/>
      <c r="H1286" s="49"/>
      <c r="I1286" s="49"/>
    </row>
    <row r="1287" ht="15.75" customHeight="1" spans="1:9">
      <c r="A1287" s="49"/>
      <c r="B1287" s="45" t="s">
        <v>1399</v>
      </c>
      <c r="C1287" s="78" t="s">
        <v>2156</v>
      </c>
      <c r="D1287" s="78" t="s">
        <v>2157</v>
      </c>
      <c r="E1287" s="49"/>
      <c r="F1287" s="49"/>
      <c r="G1287" s="49"/>
      <c r="H1287" s="49"/>
      <c r="I1287" s="49"/>
    </row>
    <row r="1288" ht="15.75" customHeight="1" spans="1:9">
      <c r="A1288" s="49"/>
      <c r="B1288" s="45" t="s">
        <v>1399</v>
      </c>
      <c r="C1288" s="78" t="s">
        <v>2158</v>
      </c>
      <c r="D1288" s="78" t="s">
        <v>2159</v>
      </c>
      <c r="E1288" s="49"/>
      <c r="F1288" s="49"/>
      <c r="G1288" s="49"/>
      <c r="H1288" s="49"/>
      <c r="I1288" s="49"/>
    </row>
    <row r="1289" ht="15.75" customHeight="1" spans="1:9">
      <c r="A1289" s="49"/>
      <c r="B1289" s="45" t="s">
        <v>1399</v>
      </c>
      <c r="C1289" s="78" t="s">
        <v>2160</v>
      </c>
      <c r="D1289" s="78" t="s">
        <v>2161</v>
      </c>
      <c r="E1289" s="49"/>
      <c r="F1289" s="49"/>
      <c r="G1289" s="49"/>
      <c r="H1289" s="49"/>
      <c r="I1289" s="49"/>
    </row>
    <row r="1290" ht="15.75" customHeight="1" spans="1:9">
      <c r="A1290" s="49"/>
      <c r="B1290" s="45" t="s">
        <v>1399</v>
      </c>
      <c r="C1290" s="78" t="s">
        <v>2162</v>
      </c>
      <c r="D1290" s="78" t="s">
        <v>2163</v>
      </c>
      <c r="E1290" s="49"/>
      <c r="F1290" s="49"/>
      <c r="G1290" s="49"/>
      <c r="H1290" s="49"/>
      <c r="I1290" s="49"/>
    </row>
    <row r="1291" ht="15.75" customHeight="1" spans="1:9">
      <c r="A1291" s="49"/>
      <c r="B1291" s="45" t="s">
        <v>1399</v>
      </c>
      <c r="C1291" s="78" t="s">
        <v>2164</v>
      </c>
      <c r="D1291" s="78" t="s">
        <v>2165</v>
      </c>
      <c r="E1291" s="49"/>
      <c r="F1291" s="49"/>
      <c r="G1291" s="49"/>
      <c r="H1291" s="49"/>
      <c r="I1291" s="49"/>
    </row>
    <row r="1292" ht="15.75" customHeight="1" spans="1:9">
      <c r="A1292" s="49"/>
      <c r="B1292" s="45" t="s">
        <v>1399</v>
      </c>
      <c r="C1292" s="78" t="s">
        <v>2166</v>
      </c>
      <c r="D1292" s="78" t="s">
        <v>2167</v>
      </c>
      <c r="E1292" s="49"/>
      <c r="F1292" s="49"/>
      <c r="G1292" s="49"/>
      <c r="H1292" s="49"/>
      <c r="I1292" s="49"/>
    </row>
    <row r="1293" ht="15.75" customHeight="1" spans="1:9">
      <c r="A1293" s="49"/>
      <c r="B1293" s="45" t="s">
        <v>1399</v>
      </c>
      <c r="C1293" s="78" t="s">
        <v>2168</v>
      </c>
      <c r="D1293" s="78" t="s">
        <v>2169</v>
      </c>
      <c r="E1293" s="49"/>
      <c r="F1293" s="49"/>
      <c r="G1293" s="49"/>
      <c r="H1293" s="49"/>
      <c r="I1293" s="49"/>
    </row>
    <row r="1294" ht="15.75" customHeight="1" spans="1:9">
      <c r="A1294" s="49"/>
      <c r="B1294" s="45" t="s">
        <v>1399</v>
      </c>
      <c r="C1294" s="78" t="s">
        <v>2170</v>
      </c>
      <c r="D1294" s="78" t="s">
        <v>2171</v>
      </c>
      <c r="E1294" s="49"/>
      <c r="F1294" s="49"/>
      <c r="G1294" s="49"/>
      <c r="H1294" s="49"/>
      <c r="I1294" s="49"/>
    </row>
    <row r="1295" ht="15.75" customHeight="1" spans="1:9">
      <c r="A1295" s="49"/>
      <c r="B1295" s="45" t="s">
        <v>1399</v>
      </c>
      <c r="C1295" s="78" t="s">
        <v>2172</v>
      </c>
      <c r="D1295" s="78" t="s">
        <v>2173</v>
      </c>
      <c r="E1295" s="49"/>
      <c r="F1295" s="49"/>
      <c r="G1295" s="49"/>
      <c r="H1295" s="49"/>
      <c r="I1295" s="49"/>
    </row>
    <row r="1296" ht="15.75" customHeight="1" spans="1:9">
      <c r="A1296" s="49"/>
      <c r="B1296" s="45" t="s">
        <v>1399</v>
      </c>
      <c r="C1296" s="78" t="s">
        <v>2174</v>
      </c>
      <c r="D1296" s="78" t="s">
        <v>2175</v>
      </c>
      <c r="E1296" s="49"/>
      <c r="F1296" s="49"/>
      <c r="G1296" s="49"/>
      <c r="H1296" s="49"/>
      <c r="I1296" s="49"/>
    </row>
    <row r="1297" ht="15.75" customHeight="1" spans="1:9">
      <c r="A1297" s="49"/>
      <c r="B1297" s="45" t="s">
        <v>1399</v>
      </c>
      <c r="C1297" s="78" t="s">
        <v>2176</v>
      </c>
      <c r="D1297" s="78" t="s">
        <v>2177</v>
      </c>
      <c r="E1297" s="49"/>
      <c r="F1297" s="49"/>
      <c r="G1297" s="49"/>
      <c r="H1297" s="49"/>
      <c r="I1297" s="49"/>
    </row>
    <row r="1298" ht="15.75" customHeight="1" spans="1:9">
      <c r="A1298" s="49"/>
      <c r="B1298" s="45" t="s">
        <v>1399</v>
      </c>
      <c r="C1298" s="78" t="s">
        <v>2178</v>
      </c>
      <c r="D1298" s="78" t="s">
        <v>2179</v>
      </c>
      <c r="E1298" s="49"/>
      <c r="F1298" s="49"/>
      <c r="G1298" s="49"/>
      <c r="H1298" s="49"/>
      <c r="I1298" s="49"/>
    </row>
    <row r="1299" ht="15.75" customHeight="1" spans="1:9">
      <c r="A1299" s="49"/>
      <c r="B1299" s="45" t="s">
        <v>1399</v>
      </c>
      <c r="C1299" s="78" t="s">
        <v>2180</v>
      </c>
      <c r="D1299" s="78" t="s">
        <v>2181</v>
      </c>
      <c r="E1299" s="49"/>
      <c r="F1299" s="49"/>
      <c r="G1299" s="49"/>
      <c r="H1299" s="49"/>
      <c r="I1299" s="49"/>
    </row>
    <row r="1300" ht="15.75" customHeight="1" spans="1:9">
      <c r="A1300" s="49"/>
      <c r="B1300" s="45" t="s">
        <v>1399</v>
      </c>
      <c r="C1300" s="78" t="s">
        <v>2182</v>
      </c>
      <c r="D1300" s="78" t="s">
        <v>2183</v>
      </c>
      <c r="E1300" s="49"/>
      <c r="F1300" s="49"/>
      <c r="G1300" s="49"/>
      <c r="H1300" s="49"/>
      <c r="I1300" s="49"/>
    </row>
    <row r="1301" ht="15.75" customHeight="1" spans="1:9">
      <c r="A1301" s="49"/>
      <c r="B1301" s="45" t="s">
        <v>1399</v>
      </c>
      <c r="C1301" s="78" t="s">
        <v>2184</v>
      </c>
      <c r="D1301" s="78" t="s">
        <v>2185</v>
      </c>
      <c r="E1301" s="49"/>
      <c r="F1301" s="49"/>
      <c r="G1301" s="49"/>
      <c r="H1301" s="49"/>
      <c r="I1301" s="49"/>
    </row>
    <row r="1302" ht="15.75" customHeight="1" spans="1:9">
      <c r="A1302" s="49"/>
      <c r="B1302" s="45" t="s">
        <v>1399</v>
      </c>
      <c r="C1302" s="78" t="s">
        <v>2186</v>
      </c>
      <c r="D1302" s="78" t="s">
        <v>2187</v>
      </c>
      <c r="E1302" s="49"/>
      <c r="F1302" s="49"/>
      <c r="G1302" s="49"/>
      <c r="H1302" s="49"/>
      <c r="I1302" s="49"/>
    </row>
    <row r="1303" ht="15.75" customHeight="1" spans="1:9">
      <c r="A1303" s="49"/>
      <c r="B1303" s="45" t="s">
        <v>1399</v>
      </c>
      <c r="C1303" s="78" t="s">
        <v>2188</v>
      </c>
      <c r="D1303" s="78" t="s">
        <v>2189</v>
      </c>
      <c r="E1303" s="49"/>
      <c r="F1303" s="49"/>
      <c r="G1303" s="49"/>
      <c r="H1303" s="49"/>
      <c r="I1303" s="49"/>
    </row>
    <row r="1304" ht="15.75" customHeight="1" spans="1:9">
      <c r="A1304" s="49"/>
      <c r="B1304" s="45" t="s">
        <v>1399</v>
      </c>
      <c r="C1304" s="78" t="s">
        <v>2190</v>
      </c>
      <c r="D1304" s="78" t="s">
        <v>2191</v>
      </c>
      <c r="E1304" s="49"/>
      <c r="F1304" s="49"/>
      <c r="G1304" s="49"/>
      <c r="H1304" s="49"/>
      <c r="I1304" s="49"/>
    </row>
    <row r="1305" ht="15.75" customHeight="1" spans="1:9">
      <c r="A1305" s="49"/>
      <c r="B1305" s="45" t="s">
        <v>1399</v>
      </c>
      <c r="C1305" s="78" t="s">
        <v>2192</v>
      </c>
      <c r="D1305" s="78" t="s">
        <v>2193</v>
      </c>
      <c r="E1305" s="49"/>
      <c r="F1305" s="49"/>
      <c r="G1305" s="49"/>
      <c r="H1305" s="49"/>
      <c r="I1305" s="49"/>
    </row>
    <row r="1306" ht="15.75" customHeight="1" spans="1:9">
      <c r="A1306" s="49"/>
      <c r="B1306" s="45" t="s">
        <v>1399</v>
      </c>
      <c r="C1306" s="78" t="s">
        <v>2194</v>
      </c>
      <c r="D1306" s="78" t="s">
        <v>2195</v>
      </c>
      <c r="E1306" s="49"/>
      <c r="F1306" s="49"/>
      <c r="G1306" s="49"/>
      <c r="H1306" s="49"/>
      <c r="I1306" s="49"/>
    </row>
    <row r="1307" ht="15.75" customHeight="1" spans="1:9">
      <c r="A1307" s="49"/>
      <c r="B1307" s="45" t="s">
        <v>1399</v>
      </c>
      <c r="C1307" s="78" t="s">
        <v>2196</v>
      </c>
      <c r="D1307" s="78" t="s">
        <v>2197</v>
      </c>
      <c r="E1307" s="49"/>
      <c r="F1307" s="49"/>
      <c r="G1307" s="49"/>
      <c r="H1307" s="49"/>
      <c r="I1307" s="49"/>
    </row>
    <row r="1308" ht="15.75" customHeight="1" spans="1:9">
      <c r="A1308" s="49"/>
      <c r="B1308" s="45" t="s">
        <v>1399</v>
      </c>
      <c r="C1308" s="78" t="s">
        <v>2198</v>
      </c>
      <c r="D1308" s="78" t="s">
        <v>2199</v>
      </c>
      <c r="E1308" s="49"/>
      <c r="F1308" s="49"/>
      <c r="G1308" s="49"/>
      <c r="H1308" s="49"/>
      <c r="I1308" s="49"/>
    </row>
    <row r="1309" ht="15.75" customHeight="1" spans="1:9">
      <c r="A1309" s="49"/>
      <c r="B1309" s="45" t="s">
        <v>1399</v>
      </c>
      <c r="C1309" s="78" t="s">
        <v>2200</v>
      </c>
      <c r="D1309" s="78" t="s">
        <v>2201</v>
      </c>
      <c r="E1309" s="49"/>
      <c r="F1309" s="49"/>
      <c r="G1309" s="49"/>
      <c r="H1309" s="49"/>
      <c r="I1309" s="49"/>
    </row>
    <row r="1310" ht="15.75" customHeight="1" spans="1:9">
      <c r="A1310" s="49"/>
      <c r="B1310" s="45" t="s">
        <v>1399</v>
      </c>
      <c r="C1310" s="78" t="s">
        <v>2202</v>
      </c>
      <c r="D1310" s="78" t="s">
        <v>2203</v>
      </c>
      <c r="E1310" s="49"/>
      <c r="F1310" s="49"/>
      <c r="G1310" s="49"/>
      <c r="H1310" s="49"/>
      <c r="I1310" s="49"/>
    </row>
    <row r="1311" ht="15.75" customHeight="1" spans="1:9">
      <c r="A1311" s="49"/>
      <c r="B1311" s="45" t="s">
        <v>1399</v>
      </c>
      <c r="C1311" s="78" t="s">
        <v>2204</v>
      </c>
      <c r="D1311" s="78" t="s">
        <v>2205</v>
      </c>
      <c r="E1311" s="49"/>
      <c r="F1311" s="49"/>
      <c r="G1311" s="49"/>
      <c r="H1311" s="49"/>
      <c r="I1311" s="49"/>
    </row>
    <row r="1312" ht="15.75" customHeight="1" spans="1:9">
      <c r="A1312" s="49"/>
      <c r="B1312" s="45" t="s">
        <v>1399</v>
      </c>
      <c r="C1312" s="78" t="s">
        <v>2206</v>
      </c>
      <c r="D1312" s="78" t="s">
        <v>2207</v>
      </c>
      <c r="E1312" s="49"/>
      <c r="F1312" s="49"/>
      <c r="G1312" s="49"/>
      <c r="H1312" s="49"/>
      <c r="I1312" s="49"/>
    </row>
    <row r="1313" ht="15.75" customHeight="1" spans="1:9">
      <c r="A1313" s="49"/>
      <c r="B1313" s="45" t="s">
        <v>1399</v>
      </c>
      <c r="C1313" s="78" t="s">
        <v>2208</v>
      </c>
      <c r="D1313" s="78" t="s">
        <v>2209</v>
      </c>
      <c r="E1313" s="49"/>
      <c r="F1313" s="49"/>
      <c r="G1313" s="49"/>
      <c r="H1313" s="49"/>
      <c r="I1313" s="49"/>
    </row>
    <row r="1314" ht="15.75" customHeight="1" spans="1:9">
      <c r="A1314" s="49"/>
      <c r="B1314" s="45" t="s">
        <v>1399</v>
      </c>
      <c r="C1314" s="78" t="s">
        <v>2210</v>
      </c>
      <c r="D1314" s="78" t="s">
        <v>2211</v>
      </c>
      <c r="E1314" s="49"/>
      <c r="F1314" s="49"/>
      <c r="G1314" s="49"/>
      <c r="H1314" s="49"/>
      <c r="I1314" s="49"/>
    </row>
    <row r="1315" ht="15.75" customHeight="1" spans="1:9">
      <c r="A1315" s="49"/>
      <c r="B1315" s="45" t="s">
        <v>1399</v>
      </c>
      <c r="C1315" s="78" t="s">
        <v>2212</v>
      </c>
      <c r="D1315" s="78" t="s">
        <v>2213</v>
      </c>
      <c r="E1315" s="49"/>
      <c r="F1315" s="49"/>
      <c r="G1315" s="49"/>
      <c r="H1315" s="49"/>
      <c r="I1315" s="49"/>
    </row>
    <row r="1316" ht="15.75" customHeight="1" spans="1:9">
      <c r="A1316" s="49"/>
      <c r="B1316" s="45" t="s">
        <v>1399</v>
      </c>
      <c r="C1316" s="78" t="s">
        <v>2214</v>
      </c>
      <c r="D1316" s="78" t="s">
        <v>2215</v>
      </c>
      <c r="E1316" s="49"/>
      <c r="F1316" s="49"/>
      <c r="G1316" s="49"/>
      <c r="H1316" s="49"/>
      <c r="I1316" s="49"/>
    </row>
    <row r="1317" ht="15.75" customHeight="1" spans="1:9">
      <c r="A1317" s="49"/>
      <c r="B1317" s="45" t="s">
        <v>1399</v>
      </c>
      <c r="C1317" s="78" t="s">
        <v>2216</v>
      </c>
      <c r="D1317" s="78" t="s">
        <v>2217</v>
      </c>
      <c r="E1317" s="49"/>
      <c r="F1317" s="49"/>
      <c r="G1317" s="49"/>
      <c r="H1317" s="49"/>
      <c r="I1317" s="49"/>
    </row>
    <row r="1318" ht="15.75" customHeight="1" spans="1:9">
      <c r="A1318" s="49"/>
      <c r="B1318" s="45" t="s">
        <v>1399</v>
      </c>
      <c r="C1318" s="78" t="s">
        <v>2218</v>
      </c>
      <c r="D1318" s="78" t="s">
        <v>2219</v>
      </c>
      <c r="E1318" s="49"/>
      <c r="F1318" s="49"/>
      <c r="G1318" s="49"/>
      <c r="H1318" s="49"/>
      <c r="I1318" s="49"/>
    </row>
    <row r="1319" ht="15.75" customHeight="1" spans="1:9">
      <c r="A1319" s="49"/>
      <c r="B1319" s="45" t="s">
        <v>1399</v>
      </c>
      <c r="C1319" s="78" t="s">
        <v>2220</v>
      </c>
      <c r="D1319" s="78" t="s">
        <v>2221</v>
      </c>
      <c r="E1319" s="49"/>
      <c r="F1319" s="49"/>
      <c r="G1319" s="49"/>
      <c r="H1319" s="49"/>
      <c r="I1319" s="49"/>
    </row>
    <row r="1320" ht="15.75" customHeight="1" spans="1:9">
      <c r="A1320" s="49"/>
      <c r="B1320" s="45" t="s">
        <v>1399</v>
      </c>
      <c r="C1320" s="78" t="s">
        <v>2222</v>
      </c>
      <c r="D1320" s="78" t="s">
        <v>2223</v>
      </c>
      <c r="E1320" s="49"/>
      <c r="F1320" s="49"/>
      <c r="G1320" s="49"/>
      <c r="H1320" s="49"/>
      <c r="I1320" s="49"/>
    </row>
    <row r="1321" ht="15.75" customHeight="1" spans="1:9">
      <c r="A1321" s="49"/>
      <c r="B1321" s="45" t="s">
        <v>1399</v>
      </c>
      <c r="C1321" s="78" t="s">
        <v>2224</v>
      </c>
      <c r="D1321" s="78" t="s">
        <v>2225</v>
      </c>
      <c r="E1321" s="49"/>
      <c r="F1321" s="49"/>
      <c r="G1321" s="49"/>
      <c r="H1321" s="49"/>
      <c r="I1321" s="49"/>
    </row>
    <row r="1322" ht="15.75" customHeight="1" spans="1:9">
      <c r="A1322" s="49"/>
      <c r="B1322" s="45" t="s">
        <v>1399</v>
      </c>
      <c r="C1322" s="78" t="s">
        <v>2226</v>
      </c>
      <c r="D1322" s="78" t="s">
        <v>2227</v>
      </c>
      <c r="E1322" s="49"/>
      <c r="F1322" s="49"/>
      <c r="G1322" s="49"/>
      <c r="H1322" s="49"/>
      <c r="I1322" s="49"/>
    </row>
    <row r="1323" ht="15.75" customHeight="1" spans="1:9">
      <c r="A1323" s="49"/>
      <c r="B1323" s="45" t="s">
        <v>1399</v>
      </c>
      <c r="C1323" s="78" t="s">
        <v>2228</v>
      </c>
      <c r="D1323" s="78" t="s">
        <v>2229</v>
      </c>
      <c r="E1323" s="49"/>
      <c r="F1323" s="49"/>
      <c r="G1323" s="49"/>
      <c r="H1323" s="49"/>
      <c r="I1323" s="49"/>
    </row>
    <row r="1324" ht="15.75" customHeight="1" spans="1:9">
      <c r="A1324" s="49"/>
      <c r="B1324" s="45" t="s">
        <v>1399</v>
      </c>
      <c r="C1324" s="78" t="s">
        <v>2230</v>
      </c>
      <c r="D1324" s="78" t="s">
        <v>2231</v>
      </c>
      <c r="E1324" s="49"/>
      <c r="F1324" s="49"/>
      <c r="G1324" s="49"/>
      <c r="H1324" s="49"/>
      <c r="I1324" s="49"/>
    </row>
    <row r="1325" ht="15.75" customHeight="1" spans="1:9">
      <c r="A1325" s="49"/>
      <c r="B1325" s="45" t="s">
        <v>1399</v>
      </c>
      <c r="C1325" s="78" t="s">
        <v>2232</v>
      </c>
      <c r="D1325" s="78" t="s">
        <v>2233</v>
      </c>
      <c r="E1325" s="49"/>
      <c r="F1325" s="49"/>
      <c r="G1325" s="49"/>
      <c r="H1325" s="49"/>
      <c r="I1325" s="49"/>
    </row>
    <row r="1326" ht="15.75" customHeight="1" spans="1:9">
      <c r="A1326" s="49"/>
      <c r="B1326" s="45" t="s">
        <v>1399</v>
      </c>
      <c r="C1326" s="78" t="s">
        <v>2234</v>
      </c>
      <c r="D1326" s="78" t="s">
        <v>2235</v>
      </c>
      <c r="E1326" s="49"/>
      <c r="F1326" s="49"/>
      <c r="G1326" s="49"/>
      <c r="H1326" s="49"/>
      <c r="I1326" s="49"/>
    </row>
    <row r="1327" ht="15.75" customHeight="1" spans="1:9">
      <c r="A1327" s="49"/>
      <c r="B1327" s="45" t="s">
        <v>1399</v>
      </c>
      <c r="C1327" s="78" t="s">
        <v>2236</v>
      </c>
      <c r="D1327" s="78" t="s">
        <v>2237</v>
      </c>
      <c r="E1327" s="49"/>
      <c r="F1327" s="49"/>
      <c r="G1327" s="49"/>
      <c r="H1327" s="49"/>
      <c r="I1327" s="49"/>
    </row>
    <row r="1328" ht="15.75" customHeight="1" spans="1:9">
      <c r="A1328" s="49"/>
      <c r="B1328" s="45" t="s">
        <v>1399</v>
      </c>
      <c r="C1328" s="78" t="s">
        <v>2238</v>
      </c>
      <c r="D1328" s="78" t="s">
        <v>2239</v>
      </c>
      <c r="E1328" s="49"/>
      <c r="F1328" s="49"/>
      <c r="G1328" s="49"/>
      <c r="H1328" s="49"/>
      <c r="I1328" s="49"/>
    </row>
    <row r="1329" ht="15.75" customHeight="1" spans="1:9">
      <c r="A1329" s="49"/>
      <c r="B1329" s="45" t="s">
        <v>1399</v>
      </c>
      <c r="C1329" s="78" t="s">
        <v>2240</v>
      </c>
      <c r="D1329" s="78" t="s">
        <v>2241</v>
      </c>
      <c r="E1329" s="49"/>
      <c r="F1329" s="49"/>
      <c r="G1329" s="49"/>
      <c r="H1329" s="49"/>
      <c r="I1329" s="49"/>
    </row>
    <row r="1330" ht="15.75" customHeight="1" spans="1:9">
      <c r="A1330" s="49"/>
      <c r="B1330" s="45" t="s">
        <v>1399</v>
      </c>
      <c r="C1330" s="78" t="s">
        <v>2242</v>
      </c>
      <c r="D1330" s="78" t="s">
        <v>2243</v>
      </c>
      <c r="E1330" s="49"/>
      <c r="F1330" s="49"/>
      <c r="G1330" s="49"/>
      <c r="H1330" s="49"/>
      <c r="I1330" s="49"/>
    </row>
    <row r="1331" ht="15.75" customHeight="1" spans="1:9">
      <c r="A1331" s="49"/>
      <c r="B1331" s="45" t="s">
        <v>1399</v>
      </c>
      <c r="C1331" s="78" t="s">
        <v>2244</v>
      </c>
      <c r="D1331" s="78" t="s">
        <v>2245</v>
      </c>
      <c r="E1331" s="49"/>
      <c r="F1331" s="49"/>
      <c r="G1331" s="49"/>
      <c r="H1331" s="49"/>
      <c r="I1331" s="49"/>
    </row>
    <row r="1332" ht="15.75" customHeight="1" spans="1:9">
      <c r="A1332" s="49"/>
      <c r="B1332" s="45" t="s">
        <v>1399</v>
      </c>
      <c r="C1332" s="78" t="s">
        <v>2246</v>
      </c>
      <c r="D1332" s="78" t="s">
        <v>2247</v>
      </c>
      <c r="E1332" s="49"/>
      <c r="F1332" s="49"/>
      <c r="G1332" s="49"/>
      <c r="H1332" s="49"/>
      <c r="I1332" s="49"/>
    </row>
    <row r="1333" ht="15.75" customHeight="1" spans="1:9">
      <c r="A1333" s="49"/>
      <c r="B1333" s="45" t="s">
        <v>1399</v>
      </c>
      <c r="C1333" s="78" t="s">
        <v>2248</v>
      </c>
      <c r="D1333" s="78" t="s">
        <v>2249</v>
      </c>
      <c r="E1333" s="49"/>
      <c r="F1333" s="49"/>
      <c r="G1333" s="49"/>
      <c r="H1333" s="49"/>
      <c r="I1333" s="49"/>
    </row>
    <row r="1334" ht="15.75" customHeight="1" spans="1:9">
      <c r="A1334" s="49"/>
      <c r="B1334" s="45" t="s">
        <v>1399</v>
      </c>
      <c r="C1334" s="78" t="s">
        <v>2250</v>
      </c>
      <c r="D1334" s="78" t="s">
        <v>2251</v>
      </c>
      <c r="E1334" s="49"/>
      <c r="F1334" s="49"/>
      <c r="G1334" s="49"/>
      <c r="H1334" s="49"/>
      <c r="I1334" s="49"/>
    </row>
    <row r="1335" ht="15.75" customHeight="1" spans="1:9">
      <c r="A1335" s="49"/>
      <c r="B1335" s="45" t="s">
        <v>1399</v>
      </c>
      <c r="C1335" s="78" t="s">
        <v>2252</v>
      </c>
      <c r="D1335" s="78" t="s">
        <v>2253</v>
      </c>
      <c r="E1335" s="49"/>
      <c r="F1335" s="49"/>
      <c r="G1335" s="49"/>
      <c r="H1335" s="49"/>
      <c r="I1335" s="49"/>
    </row>
    <row r="1336" ht="15.75" customHeight="1" spans="1:9">
      <c r="A1336" s="49"/>
      <c r="B1336" s="45" t="s">
        <v>1399</v>
      </c>
      <c r="C1336" s="78" t="s">
        <v>2254</v>
      </c>
      <c r="D1336" s="78" t="s">
        <v>2255</v>
      </c>
      <c r="E1336" s="49"/>
      <c r="F1336" s="49"/>
      <c r="G1336" s="49"/>
      <c r="H1336" s="49"/>
      <c r="I1336" s="49"/>
    </row>
    <row r="1337" ht="15.75" customHeight="1" spans="1:9">
      <c r="A1337" s="49"/>
      <c r="B1337" s="45" t="s">
        <v>1399</v>
      </c>
      <c r="C1337" s="78" t="s">
        <v>2256</v>
      </c>
      <c r="D1337" s="78" t="s">
        <v>2257</v>
      </c>
      <c r="E1337" s="49"/>
      <c r="F1337" s="49"/>
      <c r="G1337" s="49"/>
      <c r="H1337" s="49"/>
      <c r="I1337" s="49"/>
    </row>
    <row r="1338" ht="15.75" customHeight="1" spans="1:9">
      <c r="A1338" s="49"/>
      <c r="B1338" s="45" t="s">
        <v>1399</v>
      </c>
      <c r="C1338" s="78" t="s">
        <v>2258</v>
      </c>
      <c r="D1338" s="78" t="s">
        <v>2259</v>
      </c>
      <c r="E1338" s="49"/>
      <c r="F1338" s="49"/>
      <c r="G1338" s="49"/>
      <c r="H1338" s="49"/>
      <c r="I1338" s="49"/>
    </row>
    <row r="1339" ht="15.75" customHeight="1" spans="1:9">
      <c r="A1339" s="49"/>
      <c r="B1339" s="45" t="s">
        <v>1399</v>
      </c>
      <c r="C1339" s="78" t="s">
        <v>2260</v>
      </c>
      <c r="D1339" s="78" t="s">
        <v>2261</v>
      </c>
      <c r="E1339" s="49"/>
      <c r="F1339" s="49"/>
      <c r="G1339" s="49"/>
      <c r="H1339" s="49"/>
      <c r="I1339" s="49"/>
    </row>
    <row r="1340" ht="15.75" customHeight="1" spans="1:9">
      <c r="A1340" s="49"/>
      <c r="B1340" s="45" t="s">
        <v>1399</v>
      </c>
      <c r="C1340" s="78" t="s">
        <v>2262</v>
      </c>
      <c r="D1340" s="78" t="s">
        <v>2263</v>
      </c>
      <c r="E1340" s="49"/>
      <c r="F1340" s="49"/>
      <c r="G1340" s="49"/>
      <c r="H1340" s="49"/>
      <c r="I1340" s="49"/>
    </row>
    <row r="1341" ht="15.75" customHeight="1" spans="1:9">
      <c r="A1341" s="49"/>
      <c r="B1341" s="45" t="s">
        <v>1399</v>
      </c>
      <c r="C1341" s="78" t="s">
        <v>2264</v>
      </c>
      <c r="D1341" s="78" t="s">
        <v>2265</v>
      </c>
      <c r="E1341" s="49"/>
      <c r="F1341" s="49"/>
      <c r="G1341" s="49"/>
      <c r="H1341" s="49"/>
      <c r="I1341" s="49"/>
    </row>
    <row r="1342" ht="15.75" customHeight="1" spans="1:9">
      <c r="A1342" s="49"/>
      <c r="B1342" s="45" t="s">
        <v>1399</v>
      </c>
      <c r="C1342" s="78" t="s">
        <v>2266</v>
      </c>
      <c r="D1342" s="78" t="s">
        <v>2267</v>
      </c>
      <c r="E1342" s="49"/>
      <c r="F1342" s="49"/>
      <c r="G1342" s="49"/>
      <c r="H1342" s="49"/>
      <c r="I1342" s="49"/>
    </row>
    <row r="1343" ht="15.75" customHeight="1" spans="1:9">
      <c r="A1343" s="49"/>
      <c r="B1343" s="45" t="s">
        <v>1399</v>
      </c>
      <c r="C1343" s="78" t="s">
        <v>2268</v>
      </c>
      <c r="D1343" s="78" t="s">
        <v>2269</v>
      </c>
      <c r="E1343" s="49"/>
      <c r="F1343" s="49"/>
      <c r="G1343" s="49"/>
      <c r="H1343" s="49"/>
      <c r="I1343" s="49"/>
    </row>
    <row r="1344" ht="15.75" customHeight="1" spans="1:9">
      <c r="A1344" s="49"/>
      <c r="B1344" s="45" t="s">
        <v>1399</v>
      </c>
      <c r="C1344" s="78" t="s">
        <v>2270</v>
      </c>
      <c r="D1344" s="78" t="s">
        <v>2271</v>
      </c>
      <c r="E1344" s="49"/>
      <c r="F1344" s="49"/>
      <c r="G1344" s="49"/>
      <c r="H1344" s="49"/>
      <c r="I1344" s="49"/>
    </row>
    <row r="1345" ht="15.75" customHeight="1" spans="1:9">
      <c r="A1345" s="49"/>
      <c r="B1345" s="45" t="s">
        <v>1399</v>
      </c>
      <c r="C1345" s="78" t="s">
        <v>2272</v>
      </c>
      <c r="D1345" s="78" t="s">
        <v>2273</v>
      </c>
      <c r="E1345" s="49"/>
      <c r="F1345" s="49"/>
      <c r="G1345" s="49"/>
      <c r="H1345" s="49"/>
      <c r="I1345" s="49"/>
    </row>
    <row r="1346" ht="15.75" customHeight="1" spans="1:9">
      <c r="A1346" s="49"/>
      <c r="B1346" s="45" t="s">
        <v>1399</v>
      </c>
      <c r="C1346" s="78" t="s">
        <v>2274</v>
      </c>
      <c r="D1346" s="78" t="s">
        <v>2275</v>
      </c>
      <c r="E1346" s="49"/>
      <c r="F1346" s="49"/>
      <c r="G1346" s="49"/>
      <c r="H1346" s="49"/>
      <c r="I1346" s="49"/>
    </row>
    <row r="1347" ht="15.75" customHeight="1" spans="1:9">
      <c r="A1347" s="49"/>
      <c r="B1347" s="45" t="s">
        <v>1399</v>
      </c>
      <c r="C1347" s="78" t="s">
        <v>2276</v>
      </c>
      <c r="D1347" s="78" t="s">
        <v>2277</v>
      </c>
      <c r="E1347" s="49"/>
      <c r="F1347" s="49"/>
      <c r="G1347" s="49"/>
      <c r="H1347" s="49"/>
      <c r="I1347" s="49"/>
    </row>
    <row r="1348" ht="15.75" customHeight="1" spans="1:9">
      <c r="A1348" s="49"/>
      <c r="B1348" s="45" t="s">
        <v>1399</v>
      </c>
      <c r="C1348" s="78" t="s">
        <v>2278</v>
      </c>
      <c r="D1348" s="78" t="s">
        <v>2279</v>
      </c>
      <c r="E1348" s="49"/>
      <c r="F1348" s="49"/>
      <c r="G1348" s="49"/>
      <c r="H1348" s="49"/>
      <c r="I1348" s="49"/>
    </row>
    <row r="1349" ht="15.75" customHeight="1" spans="1:9">
      <c r="A1349" s="49"/>
      <c r="B1349" s="45" t="s">
        <v>1399</v>
      </c>
      <c r="C1349" s="78" t="s">
        <v>2280</v>
      </c>
      <c r="D1349" s="78" t="s">
        <v>2281</v>
      </c>
      <c r="E1349" s="49"/>
      <c r="F1349" s="49"/>
      <c r="G1349" s="49"/>
      <c r="H1349" s="49"/>
      <c r="I1349" s="49"/>
    </row>
    <row r="1350" ht="15.75" customHeight="1" spans="1:9">
      <c r="A1350" s="49"/>
      <c r="B1350" s="45" t="s">
        <v>1399</v>
      </c>
      <c r="C1350" s="78" t="s">
        <v>2282</v>
      </c>
      <c r="D1350" s="78" t="s">
        <v>2283</v>
      </c>
      <c r="E1350" s="49"/>
      <c r="F1350" s="49"/>
      <c r="G1350" s="49"/>
      <c r="H1350" s="49"/>
      <c r="I1350" s="49"/>
    </row>
    <row r="1351" ht="15.75" customHeight="1" spans="1:9">
      <c r="A1351" s="49"/>
      <c r="B1351" s="45" t="s">
        <v>1399</v>
      </c>
      <c r="C1351" s="78" t="s">
        <v>2284</v>
      </c>
      <c r="D1351" s="78" t="s">
        <v>2285</v>
      </c>
      <c r="E1351" s="49"/>
      <c r="F1351" s="49"/>
      <c r="G1351" s="49"/>
      <c r="H1351" s="49"/>
      <c r="I1351" s="49"/>
    </row>
    <row r="1352" ht="15.75" customHeight="1" spans="1:9">
      <c r="A1352" s="49"/>
      <c r="B1352" s="45" t="s">
        <v>1399</v>
      </c>
      <c r="C1352" s="78" t="s">
        <v>2286</v>
      </c>
      <c r="D1352" s="78" t="s">
        <v>2287</v>
      </c>
      <c r="E1352" s="49"/>
      <c r="F1352" s="49"/>
      <c r="G1352" s="49"/>
      <c r="H1352" s="49"/>
      <c r="I1352" s="49"/>
    </row>
    <row r="1353" ht="15.75" customHeight="1" spans="1:9">
      <c r="A1353" s="49"/>
      <c r="B1353" s="45" t="s">
        <v>1399</v>
      </c>
      <c r="C1353" s="78" t="s">
        <v>2288</v>
      </c>
      <c r="D1353" s="78" t="s">
        <v>2289</v>
      </c>
      <c r="E1353" s="49"/>
      <c r="F1353" s="49"/>
      <c r="G1353" s="49"/>
      <c r="H1353" s="49"/>
      <c r="I1353" s="49"/>
    </row>
    <row r="1354" ht="15.75" customHeight="1" spans="1:9">
      <c r="A1354" s="49"/>
      <c r="B1354" s="45" t="s">
        <v>1399</v>
      </c>
      <c r="C1354" s="78" t="s">
        <v>2290</v>
      </c>
      <c r="D1354" s="78" t="s">
        <v>2291</v>
      </c>
      <c r="E1354" s="49"/>
      <c r="F1354" s="49"/>
      <c r="G1354" s="49"/>
      <c r="H1354" s="49"/>
      <c r="I1354" s="49"/>
    </row>
    <row r="1355" ht="15.75" customHeight="1" spans="1:9">
      <c r="A1355" s="49"/>
      <c r="B1355" s="45" t="s">
        <v>1399</v>
      </c>
      <c r="C1355" s="78" t="s">
        <v>2292</v>
      </c>
      <c r="D1355" s="78" t="s">
        <v>2293</v>
      </c>
      <c r="E1355" s="49"/>
      <c r="F1355" s="49"/>
      <c r="G1355" s="49"/>
      <c r="H1355" s="49"/>
      <c r="I1355" s="49"/>
    </row>
    <row r="1356" ht="15.75" customHeight="1" spans="1:9">
      <c r="A1356" s="49"/>
      <c r="B1356" s="45" t="s">
        <v>1399</v>
      </c>
      <c r="C1356" s="78" t="s">
        <v>2294</v>
      </c>
      <c r="D1356" s="78" t="s">
        <v>2295</v>
      </c>
      <c r="E1356" s="49"/>
      <c r="F1356" s="49"/>
      <c r="G1356" s="49"/>
      <c r="H1356" s="49"/>
      <c r="I1356" s="49"/>
    </row>
    <row r="1357" ht="15.75" customHeight="1" spans="1:9">
      <c r="A1357" s="49"/>
      <c r="B1357" s="45" t="s">
        <v>1399</v>
      </c>
      <c r="C1357" s="78" t="s">
        <v>2296</v>
      </c>
      <c r="D1357" s="78" t="s">
        <v>2297</v>
      </c>
      <c r="E1357" s="49"/>
      <c r="F1357" s="49"/>
      <c r="G1357" s="49"/>
      <c r="H1357" s="49"/>
      <c r="I1357" s="49"/>
    </row>
    <row r="1358" ht="15.75" customHeight="1" spans="1:9">
      <c r="A1358" s="49"/>
      <c r="B1358" s="45" t="s">
        <v>1399</v>
      </c>
      <c r="C1358" s="78" t="s">
        <v>2298</v>
      </c>
      <c r="D1358" s="78" t="s">
        <v>2299</v>
      </c>
      <c r="E1358" s="49"/>
      <c r="F1358" s="49"/>
      <c r="G1358" s="49"/>
      <c r="H1358" s="49"/>
      <c r="I1358" s="49"/>
    </row>
    <row r="1359" ht="15.75" customHeight="1" spans="1:9">
      <c r="A1359" s="49"/>
      <c r="B1359" s="45" t="s">
        <v>1399</v>
      </c>
      <c r="C1359" s="78" t="s">
        <v>2300</v>
      </c>
      <c r="D1359" s="78" t="s">
        <v>2301</v>
      </c>
      <c r="E1359" s="49"/>
      <c r="F1359" s="49"/>
      <c r="G1359" s="49"/>
      <c r="H1359" s="49"/>
      <c r="I1359" s="49"/>
    </row>
    <row r="1360" ht="15.75" customHeight="1" spans="1:9">
      <c r="A1360" s="49"/>
      <c r="B1360" s="45" t="s">
        <v>1399</v>
      </c>
      <c r="C1360" s="78" t="s">
        <v>2302</v>
      </c>
      <c r="D1360" s="78" t="s">
        <v>2303</v>
      </c>
      <c r="E1360" s="49"/>
      <c r="F1360" s="49"/>
      <c r="G1360" s="49"/>
      <c r="H1360" s="49"/>
      <c r="I1360" s="49"/>
    </row>
    <row r="1361" ht="15.75" customHeight="1" spans="1:9">
      <c r="A1361" s="49"/>
      <c r="B1361" s="45" t="s">
        <v>1399</v>
      </c>
      <c r="C1361" s="78" t="s">
        <v>2304</v>
      </c>
      <c r="D1361" s="78" t="s">
        <v>2305</v>
      </c>
      <c r="E1361" s="49"/>
      <c r="F1361" s="49"/>
      <c r="G1361" s="49"/>
      <c r="H1361" s="49"/>
      <c r="I1361" s="49"/>
    </row>
    <row r="1362" ht="15.75" customHeight="1" spans="1:9">
      <c r="A1362" s="49"/>
      <c r="B1362" s="45" t="s">
        <v>1399</v>
      </c>
      <c r="C1362" s="78" t="s">
        <v>2306</v>
      </c>
      <c r="D1362" s="78" t="s">
        <v>2307</v>
      </c>
      <c r="E1362" s="49"/>
      <c r="F1362" s="49"/>
      <c r="G1362" s="49"/>
      <c r="H1362" s="49"/>
      <c r="I1362" s="49"/>
    </row>
    <row r="1363" ht="15.75" customHeight="1" spans="1:9">
      <c r="A1363" s="49"/>
      <c r="B1363" s="45" t="s">
        <v>1399</v>
      </c>
      <c r="C1363" s="78" t="s">
        <v>2308</v>
      </c>
      <c r="D1363" s="78" t="s">
        <v>2309</v>
      </c>
      <c r="E1363" s="49"/>
      <c r="F1363" s="49"/>
      <c r="G1363" s="49"/>
      <c r="H1363" s="49"/>
      <c r="I1363" s="49"/>
    </row>
    <row r="1364" ht="15.75" customHeight="1" spans="1:9">
      <c r="A1364" s="49"/>
      <c r="B1364" s="45" t="s">
        <v>1399</v>
      </c>
      <c r="C1364" s="78" t="s">
        <v>2310</v>
      </c>
      <c r="D1364" s="78" t="s">
        <v>2311</v>
      </c>
      <c r="E1364" s="49"/>
      <c r="F1364" s="49"/>
      <c r="G1364" s="49"/>
      <c r="H1364" s="49"/>
      <c r="I1364" s="49"/>
    </row>
    <row r="1365" ht="15.75" customHeight="1" spans="1:9">
      <c r="A1365" s="49"/>
      <c r="B1365" s="45" t="s">
        <v>1399</v>
      </c>
      <c r="C1365" s="78" t="s">
        <v>2312</v>
      </c>
      <c r="D1365" s="78" t="s">
        <v>2313</v>
      </c>
      <c r="E1365" s="49"/>
      <c r="F1365" s="49"/>
      <c r="G1365" s="49"/>
      <c r="H1365" s="49"/>
      <c r="I1365" s="49"/>
    </row>
    <row r="1366" ht="15.75" customHeight="1" spans="1:9">
      <c r="A1366" s="49"/>
      <c r="B1366" s="45" t="s">
        <v>1399</v>
      </c>
      <c r="C1366" s="78" t="s">
        <v>2314</v>
      </c>
      <c r="D1366" s="78" t="s">
        <v>2315</v>
      </c>
      <c r="E1366" s="49"/>
      <c r="F1366" s="49"/>
      <c r="G1366" s="49"/>
      <c r="H1366" s="49"/>
      <c r="I1366" s="49"/>
    </row>
    <row r="1367" ht="15.75" customHeight="1" spans="1:9">
      <c r="A1367" s="49"/>
      <c r="B1367" s="45" t="s">
        <v>1399</v>
      </c>
      <c r="C1367" s="78" t="s">
        <v>2316</v>
      </c>
      <c r="D1367" s="78" t="s">
        <v>2317</v>
      </c>
      <c r="E1367" s="49"/>
      <c r="F1367" s="49"/>
      <c r="G1367" s="49"/>
      <c r="H1367" s="49"/>
      <c r="I1367" s="49"/>
    </row>
    <row r="1368" ht="15.75" customHeight="1" spans="1:9">
      <c r="A1368" s="49"/>
      <c r="B1368" s="45" t="s">
        <v>1399</v>
      </c>
      <c r="C1368" s="78" t="s">
        <v>2318</v>
      </c>
      <c r="D1368" s="78" t="s">
        <v>2319</v>
      </c>
      <c r="E1368" s="49"/>
      <c r="F1368" s="49"/>
      <c r="G1368" s="49"/>
      <c r="H1368" s="49"/>
      <c r="I1368" s="49"/>
    </row>
    <row r="1369" ht="15.75" customHeight="1" spans="1:9">
      <c r="A1369" s="49"/>
      <c r="B1369" s="45" t="s">
        <v>1399</v>
      </c>
      <c r="C1369" s="78" t="s">
        <v>2320</v>
      </c>
      <c r="D1369" s="78" t="s">
        <v>2321</v>
      </c>
      <c r="E1369" s="49"/>
      <c r="F1369" s="49"/>
      <c r="G1369" s="49"/>
      <c r="H1369" s="49"/>
      <c r="I1369" s="49"/>
    </row>
    <row r="1370" ht="15.75" customHeight="1" spans="1:9">
      <c r="A1370" s="49"/>
      <c r="B1370" s="45" t="s">
        <v>1399</v>
      </c>
      <c r="C1370" s="78" t="s">
        <v>2322</v>
      </c>
      <c r="D1370" s="78" t="s">
        <v>2323</v>
      </c>
      <c r="E1370" s="49"/>
      <c r="F1370" s="49"/>
      <c r="G1370" s="49"/>
      <c r="H1370" s="49"/>
      <c r="I1370" s="49"/>
    </row>
    <row r="1371" ht="15.75" customHeight="1" spans="1:9">
      <c r="A1371" s="49"/>
      <c r="B1371" s="45" t="s">
        <v>1399</v>
      </c>
      <c r="C1371" s="78" t="s">
        <v>2324</v>
      </c>
      <c r="D1371" s="78" t="s">
        <v>2325</v>
      </c>
      <c r="E1371" s="49"/>
      <c r="F1371" s="49"/>
      <c r="G1371" s="49"/>
      <c r="H1371" s="49"/>
      <c r="I1371" s="49"/>
    </row>
    <row r="1372" ht="15.75" customHeight="1" spans="1:9">
      <c r="A1372" s="49"/>
      <c r="B1372" s="45" t="s">
        <v>1399</v>
      </c>
      <c r="C1372" s="78" t="s">
        <v>2326</v>
      </c>
      <c r="D1372" s="78" t="s">
        <v>2327</v>
      </c>
      <c r="E1372" s="49"/>
      <c r="F1372" s="49"/>
      <c r="G1372" s="49"/>
      <c r="H1372" s="49"/>
      <c r="I1372" s="49"/>
    </row>
    <row r="1373" ht="15.75" customHeight="1" spans="1:9">
      <c r="A1373" s="49"/>
      <c r="B1373" s="45" t="s">
        <v>1399</v>
      </c>
      <c r="C1373" s="78" t="s">
        <v>2328</v>
      </c>
      <c r="D1373" s="78" t="s">
        <v>2329</v>
      </c>
      <c r="E1373" s="49"/>
      <c r="F1373" s="49"/>
      <c r="G1373" s="49"/>
      <c r="H1373" s="49"/>
      <c r="I1373" s="49"/>
    </row>
    <row r="1374" ht="15.75" customHeight="1" spans="1:9">
      <c r="A1374" s="49"/>
      <c r="B1374" s="45" t="s">
        <v>1399</v>
      </c>
      <c r="C1374" s="78" t="s">
        <v>2330</v>
      </c>
      <c r="D1374" s="78" t="s">
        <v>2331</v>
      </c>
      <c r="E1374" s="49"/>
      <c r="F1374" s="49"/>
      <c r="G1374" s="49"/>
      <c r="H1374" s="49"/>
      <c r="I1374" s="49"/>
    </row>
    <row r="1375" ht="15.75" customHeight="1" spans="1:9">
      <c r="A1375" s="49"/>
      <c r="B1375" s="45" t="s">
        <v>1399</v>
      </c>
      <c r="C1375" s="78" t="s">
        <v>2332</v>
      </c>
      <c r="D1375" s="78" t="s">
        <v>2333</v>
      </c>
      <c r="E1375" s="49"/>
      <c r="F1375" s="49"/>
      <c r="G1375" s="49"/>
      <c r="H1375" s="49"/>
      <c r="I1375" s="49"/>
    </row>
    <row r="1376" ht="15.75" customHeight="1" spans="1:9">
      <c r="A1376" s="49"/>
      <c r="B1376" s="45" t="s">
        <v>1399</v>
      </c>
      <c r="C1376" s="78" t="s">
        <v>2334</v>
      </c>
      <c r="D1376" s="78" t="s">
        <v>2335</v>
      </c>
      <c r="E1376" s="49"/>
      <c r="F1376" s="49"/>
      <c r="G1376" s="49"/>
      <c r="H1376" s="49"/>
      <c r="I1376" s="49"/>
    </row>
    <row r="1377" ht="15.75" customHeight="1" spans="1:9">
      <c r="A1377" s="49"/>
      <c r="B1377" s="45" t="s">
        <v>1399</v>
      </c>
      <c r="C1377" s="78" t="s">
        <v>2336</v>
      </c>
      <c r="D1377" s="78" t="s">
        <v>2337</v>
      </c>
      <c r="E1377" s="49"/>
      <c r="F1377" s="49"/>
      <c r="G1377" s="49"/>
      <c r="H1377" s="49"/>
      <c r="I1377" s="49"/>
    </row>
    <row r="1378" ht="15.75" customHeight="1" spans="1:9">
      <c r="A1378" s="49"/>
      <c r="B1378" s="45" t="s">
        <v>1399</v>
      </c>
      <c r="C1378" s="78" t="s">
        <v>2338</v>
      </c>
      <c r="D1378" s="78" t="s">
        <v>2339</v>
      </c>
      <c r="E1378" s="49"/>
      <c r="F1378" s="49"/>
      <c r="G1378" s="49"/>
      <c r="H1378" s="49"/>
      <c r="I1378" s="49"/>
    </row>
    <row r="1379" ht="15.75" customHeight="1" spans="1:9">
      <c r="A1379" s="49"/>
      <c r="B1379" s="45" t="s">
        <v>1399</v>
      </c>
      <c r="C1379" s="78" t="s">
        <v>2340</v>
      </c>
      <c r="D1379" s="78" t="s">
        <v>2341</v>
      </c>
      <c r="E1379" s="49"/>
      <c r="F1379" s="49"/>
      <c r="G1379" s="49"/>
      <c r="H1379" s="49"/>
      <c r="I1379" s="49"/>
    </row>
    <row r="1380" ht="15.75" customHeight="1" spans="1:9">
      <c r="A1380" s="49"/>
      <c r="B1380" s="45" t="s">
        <v>1399</v>
      </c>
      <c r="C1380" s="78" t="s">
        <v>2342</v>
      </c>
      <c r="D1380" s="78" t="s">
        <v>2343</v>
      </c>
      <c r="E1380" s="49"/>
      <c r="F1380" s="49"/>
      <c r="G1380" s="49"/>
      <c r="H1380" s="49"/>
      <c r="I1380" s="49"/>
    </row>
    <row r="1381" ht="15.75" customHeight="1" spans="1:9">
      <c r="A1381" s="49"/>
      <c r="B1381" s="45" t="s">
        <v>1399</v>
      </c>
      <c r="C1381" s="78" t="s">
        <v>2344</v>
      </c>
      <c r="D1381" s="78" t="s">
        <v>2345</v>
      </c>
      <c r="E1381" s="49"/>
      <c r="F1381" s="49"/>
      <c r="G1381" s="49"/>
      <c r="H1381" s="49"/>
      <c r="I1381" s="49"/>
    </row>
    <row r="1382" ht="15.75" customHeight="1" spans="1:9">
      <c r="A1382" s="49"/>
      <c r="B1382" s="45" t="s">
        <v>1399</v>
      </c>
      <c r="C1382" s="78" t="s">
        <v>2346</v>
      </c>
      <c r="D1382" s="78" t="s">
        <v>2347</v>
      </c>
      <c r="E1382" s="49"/>
      <c r="F1382" s="49"/>
      <c r="G1382" s="49"/>
      <c r="H1382" s="49"/>
      <c r="I1382" s="49"/>
    </row>
    <row r="1383" ht="15.75" customHeight="1" spans="1:9">
      <c r="A1383" s="49"/>
      <c r="B1383" s="45" t="s">
        <v>1399</v>
      </c>
      <c r="C1383" s="78" t="s">
        <v>2348</v>
      </c>
      <c r="D1383" s="78" t="s">
        <v>2349</v>
      </c>
      <c r="E1383" s="49"/>
      <c r="F1383" s="49"/>
      <c r="G1383" s="49"/>
      <c r="H1383" s="49"/>
      <c r="I1383" s="49"/>
    </row>
    <row r="1384" ht="15.75" customHeight="1" spans="1:9">
      <c r="A1384" s="49"/>
      <c r="B1384" s="45" t="s">
        <v>1399</v>
      </c>
      <c r="C1384" s="78" t="s">
        <v>2350</v>
      </c>
      <c r="D1384" s="78" t="s">
        <v>2351</v>
      </c>
      <c r="E1384" s="49"/>
      <c r="F1384" s="49"/>
      <c r="G1384" s="49"/>
      <c r="H1384" s="49"/>
      <c r="I1384" s="49"/>
    </row>
    <row r="1385" ht="15.75" customHeight="1" spans="1:9">
      <c r="A1385" s="49"/>
      <c r="B1385" s="45" t="s">
        <v>1399</v>
      </c>
      <c r="C1385" s="78" t="s">
        <v>2352</v>
      </c>
      <c r="D1385" s="78" t="s">
        <v>2353</v>
      </c>
      <c r="E1385" s="49"/>
      <c r="F1385" s="49"/>
      <c r="G1385" s="49"/>
      <c r="H1385" s="49"/>
      <c r="I1385" s="49"/>
    </row>
    <row r="1386" ht="15.75" customHeight="1" spans="1:9">
      <c r="A1386" s="49"/>
      <c r="B1386" s="45" t="s">
        <v>1399</v>
      </c>
      <c r="C1386" s="78" t="s">
        <v>2354</v>
      </c>
      <c r="D1386" s="78" t="s">
        <v>2355</v>
      </c>
      <c r="E1386" s="49"/>
      <c r="F1386" s="49"/>
      <c r="G1386" s="49"/>
      <c r="H1386" s="49"/>
      <c r="I1386" s="49"/>
    </row>
    <row r="1387" ht="15.75" customHeight="1" spans="1:9">
      <c r="A1387" s="49"/>
      <c r="B1387" s="45" t="s">
        <v>1399</v>
      </c>
      <c r="C1387" s="78" t="s">
        <v>2356</v>
      </c>
      <c r="D1387" s="78" t="s">
        <v>2357</v>
      </c>
      <c r="E1387" s="49"/>
      <c r="F1387" s="49"/>
      <c r="G1387" s="49"/>
      <c r="H1387" s="49"/>
      <c r="I1387" s="49"/>
    </row>
    <row r="1388" ht="15.75" customHeight="1" spans="1:9">
      <c r="A1388" s="49"/>
      <c r="B1388" s="45" t="s">
        <v>1399</v>
      </c>
      <c r="C1388" s="78" t="s">
        <v>2358</v>
      </c>
      <c r="D1388" s="78" t="s">
        <v>2359</v>
      </c>
      <c r="E1388" s="49"/>
      <c r="F1388" s="49"/>
      <c r="G1388" s="49"/>
      <c r="H1388" s="49"/>
      <c r="I1388" s="49"/>
    </row>
    <row r="1389" ht="15.75" customHeight="1" spans="1:9">
      <c r="A1389" s="49"/>
      <c r="B1389" s="45" t="s">
        <v>1399</v>
      </c>
      <c r="C1389" s="78" t="s">
        <v>2360</v>
      </c>
      <c r="D1389" s="78" t="s">
        <v>2361</v>
      </c>
      <c r="E1389" s="49"/>
      <c r="F1389" s="49"/>
      <c r="G1389" s="49"/>
      <c r="H1389" s="49"/>
      <c r="I1389" s="49"/>
    </row>
    <row r="1390" ht="15.75" customHeight="1" spans="1:9">
      <c r="A1390" s="49"/>
      <c r="B1390" s="45" t="s">
        <v>1399</v>
      </c>
      <c r="C1390" s="78" t="s">
        <v>2362</v>
      </c>
      <c r="D1390" s="78" t="s">
        <v>2363</v>
      </c>
      <c r="E1390" s="49"/>
      <c r="F1390" s="49"/>
      <c r="G1390" s="49"/>
      <c r="H1390" s="49"/>
      <c r="I1390" s="49"/>
    </row>
    <row r="1391" ht="15.75" customHeight="1" spans="1:9">
      <c r="A1391" s="49"/>
      <c r="B1391" s="45" t="s">
        <v>1399</v>
      </c>
      <c r="C1391" s="78" t="s">
        <v>2364</v>
      </c>
      <c r="D1391" s="78" t="s">
        <v>2365</v>
      </c>
      <c r="E1391" s="49"/>
      <c r="F1391" s="49"/>
      <c r="G1391" s="49"/>
      <c r="H1391" s="49"/>
      <c r="I1391" s="49"/>
    </row>
    <row r="1392" ht="15.75" customHeight="1" spans="1:9">
      <c r="A1392" s="49"/>
      <c r="B1392" s="45" t="s">
        <v>1399</v>
      </c>
      <c r="C1392" s="78" t="s">
        <v>2366</v>
      </c>
      <c r="D1392" s="78" t="s">
        <v>2367</v>
      </c>
      <c r="E1392" s="49"/>
      <c r="F1392" s="49"/>
      <c r="G1392" s="49"/>
      <c r="H1392" s="49"/>
      <c r="I1392" s="49"/>
    </row>
    <row r="1393" ht="15.75" customHeight="1" spans="1:9">
      <c r="A1393" s="49"/>
      <c r="B1393" s="45" t="s">
        <v>1399</v>
      </c>
      <c r="C1393" s="78" t="s">
        <v>2368</v>
      </c>
      <c r="D1393" s="78" t="s">
        <v>2369</v>
      </c>
      <c r="E1393" s="49"/>
      <c r="F1393" s="49"/>
      <c r="G1393" s="49"/>
      <c r="H1393" s="49"/>
      <c r="I1393" s="49"/>
    </row>
    <row r="1394" ht="15.75" customHeight="1" spans="1:9">
      <c r="A1394" s="49"/>
      <c r="B1394" s="45" t="s">
        <v>1399</v>
      </c>
      <c r="C1394" s="78" t="s">
        <v>2370</v>
      </c>
      <c r="D1394" s="78" t="s">
        <v>2371</v>
      </c>
      <c r="E1394" s="49"/>
      <c r="F1394" s="49"/>
      <c r="G1394" s="49"/>
      <c r="H1394" s="49"/>
      <c r="I1394" s="49"/>
    </row>
    <row r="1395" ht="15.75" customHeight="1" spans="1:9">
      <c r="A1395" s="49"/>
      <c r="B1395" s="45" t="s">
        <v>1399</v>
      </c>
      <c r="C1395" s="78" t="s">
        <v>2372</v>
      </c>
      <c r="D1395" s="78" t="s">
        <v>2373</v>
      </c>
      <c r="E1395" s="49"/>
      <c r="F1395" s="49"/>
      <c r="G1395" s="49"/>
      <c r="H1395" s="49"/>
      <c r="I1395" s="49"/>
    </row>
    <row r="1396" ht="15.75" customHeight="1" spans="1:9">
      <c r="A1396" s="49"/>
      <c r="B1396" s="45" t="s">
        <v>1399</v>
      </c>
      <c r="C1396" s="78" t="s">
        <v>2374</v>
      </c>
      <c r="D1396" s="78" t="s">
        <v>2375</v>
      </c>
      <c r="E1396" s="49"/>
      <c r="F1396" s="49"/>
      <c r="G1396" s="49"/>
      <c r="H1396" s="49"/>
      <c r="I1396" s="49"/>
    </row>
    <row r="1397" ht="15.75" customHeight="1" spans="1:9">
      <c r="A1397" s="49"/>
      <c r="B1397" s="45" t="s">
        <v>1399</v>
      </c>
      <c r="C1397" s="78" t="s">
        <v>2376</v>
      </c>
      <c r="D1397" s="78" t="s">
        <v>2377</v>
      </c>
      <c r="E1397" s="49"/>
      <c r="F1397" s="49"/>
      <c r="G1397" s="49"/>
      <c r="H1397" s="49"/>
      <c r="I1397" s="49"/>
    </row>
    <row r="1398" ht="15.75" customHeight="1" spans="1:9">
      <c r="A1398" s="49"/>
      <c r="B1398" s="45" t="s">
        <v>1399</v>
      </c>
      <c r="C1398" s="78" t="s">
        <v>2378</v>
      </c>
      <c r="D1398" s="78" t="s">
        <v>2379</v>
      </c>
      <c r="E1398" s="49"/>
      <c r="F1398" s="49"/>
      <c r="G1398" s="49"/>
      <c r="H1398" s="49"/>
      <c r="I1398" s="49"/>
    </row>
    <row r="1399" ht="15.75" customHeight="1" spans="1:9">
      <c r="A1399" s="49"/>
      <c r="B1399" s="45" t="s">
        <v>1399</v>
      </c>
      <c r="C1399" s="78" t="s">
        <v>2380</v>
      </c>
      <c r="D1399" s="78" t="s">
        <v>2381</v>
      </c>
      <c r="E1399" s="49"/>
      <c r="F1399" s="49"/>
      <c r="G1399" s="49"/>
      <c r="H1399" s="49"/>
      <c r="I1399" s="49"/>
    </row>
    <row r="1400" ht="15.75" customHeight="1" spans="1:9">
      <c r="A1400" s="49"/>
      <c r="B1400" s="45" t="s">
        <v>1399</v>
      </c>
      <c r="C1400" s="78" t="s">
        <v>2382</v>
      </c>
      <c r="D1400" s="78" t="s">
        <v>2383</v>
      </c>
      <c r="E1400" s="49"/>
      <c r="F1400" s="49"/>
      <c r="G1400" s="49"/>
      <c r="H1400" s="49"/>
      <c r="I1400" s="49"/>
    </row>
    <row r="1401" ht="15.75" customHeight="1" spans="1:9">
      <c r="A1401" s="49"/>
      <c r="B1401" s="45" t="s">
        <v>1399</v>
      </c>
      <c r="C1401" s="78" t="s">
        <v>2384</v>
      </c>
      <c r="D1401" s="78" t="s">
        <v>2385</v>
      </c>
      <c r="E1401" s="49"/>
      <c r="F1401" s="49"/>
      <c r="G1401" s="49"/>
      <c r="H1401" s="49"/>
      <c r="I1401" s="49"/>
    </row>
    <row r="1402" ht="15.75" customHeight="1" spans="1:9">
      <c r="A1402" s="49"/>
      <c r="B1402" s="45" t="s">
        <v>1399</v>
      </c>
      <c r="C1402" s="78" t="s">
        <v>2386</v>
      </c>
      <c r="D1402" s="78" t="s">
        <v>2387</v>
      </c>
      <c r="E1402" s="49"/>
      <c r="F1402" s="49"/>
      <c r="G1402" s="49"/>
      <c r="H1402" s="49"/>
      <c r="I1402" s="49"/>
    </row>
    <row r="1403" ht="15.75" customHeight="1" spans="1:9">
      <c r="A1403" s="49"/>
      <c r="B1403" s="45" t="s">
        <v>1399</v>
      </c>
      <c r="C1403" s="78" t="s">
        <v>2388</v>
      </c>
      <c r="D1403" s="78" t="s">
        <v>2389</v>
      </c>
      <c r="E1403" s="49"/>
      <c r="F1403" s="49"/>
      <c r="G1403" s="49"/>
      <c r="H1403" s="49"/>
      <c r="I1403" s="49"/>
    </row>
    <row r="1404" ht="15.75" customHeight="1" spans="1:9">
      <c r="A1404" s="49"/>
      <c r="B1404" s="45" t="s">
        <v>1399</v>
      </c>
      <c r="C1404" s="78" t="s">
        <v>2390</v>
      </c>
      <c r="D1404" s="78" t="s">
        <v>2391</v>
      </c>
      <c r="E1404" s="49"/>
      <c r="F1404" s="49"/>
      <c r="G1404" s="49"/>
      <c r="H1404" s="49"/>
      <c r="I1404" s="49"/>
    </row>
    <row r="1405" ht="15.75" customHeight="1" spans="1:9">
      <c r="A1405" s="49"/>
      <c r="B1405" s="45" t="s">
        <v>1399</v>
      </c>
      <c r="C1405" s="78" t="s">
        <v>2392</v>
      </c>
      <c r="D1405" s="78" t="s">
        <v>2393</v>
      </c>
      <c r="E1405" s="49"/>
      <c r="F1405" s="49"/>
      <c r="G1405" s="49"/>
      <c r="H1405" s="49"/>
      <c r="I1405" s="49"/>
    </row>
    <row r="1406" ht="15.75" customHeight="1" spans="1:9">
      <c r="A1406" s="49"/>
      <c r="B1406" s="45" t="s">
        <v>1399</v>
      </c>
      <c r="C1406" s="78" t="s">
        <v>2394</v>
      </c>
      <c r="D1406" s="78" t="s">
        <v>2395</v>
      </c>
      <c r="E1406" s="49"/>
      <c r="F1406" s="49"/>
      <c r="G1406" s="49"/>
      <c r="H1406" s="49"/>
      <c r="I1406" s="49"/>
    </row>
    <row r="1407" ht="15.75" customHeight="1" spans="1:9">
      <c r="A1407" s="49"/>
      <c r="B1407" s="45" t="s">
        <v>1399</v>
      </c>
      <c r="C1407" s="78" t="s">
        <v>2396</v>
      </c>
      <c r="D1407" s="78" t="s">
        <v>2397</v>
      </c>
      <c r="E1407" s="49"/>
      <c r="F1407" s="49"/>
      <c r="G1407" s="49"/>
      <c r="H1407" s="49"/>
      <c r="I1407" s="49"/>
    </row>
    <row r="1408" ht="15.75" customHeight="1" spans="1:9">
      <c r="A1408" s="49"/>
      <c r="B1408" s="45" t="s">
        <v>1399</v>
      </c>
      <c r="C1408" s="78" t="s">
        <v>2398</v>
      </c>
      <c r="D1408" s="78" t="s">
        <v>2399</v>
      </c>
      <c r="E1408" s="49"/>
      <c r="F1408" s="49"/>
      <c r="G1408" s="49"/>
      <c r="H1408" s="49"/>
      <c r="I1408" s="49"/>
    </row>
    <row r="1409" ht="15.75" customHeight="1" spans="1:9">
      <c r="A1409" s="49"/>
      <c r="B1409" s="45" t="s">
        <v>1399</v>
      </c>
      <c r="C1409" s="78" t="s">
        <v>2400</v>
      </c>
      <c r="D1409" s="78" t="s">
        <v>2401</v>
      </c>
      <c r="E1409" s="49"/>
      <c r="F1409" s="49"/>
      <c r="G1409" s="49"/>
      <c r="H1409" s="49"/>
      <c r="I1409" s="49"/>
    </row>
    <row r="1410" ht="15.75" customHeight="1" spans="1:9">
      <c r="A1410" s="49"/>
      <c r="B1410" s="45" t="s">
        <v>1399</v>
      </c>
      <c r="C1410" s="78" t="s">
        <v>2402</v>
      </c>
      <c r="D1410" s="78" t="s">
        <v>2403</v>
      </c>
      <c r="E1410" s="49"/>
      <c r="F1410" s="49"/>
      <c r="G1410" s="49"/>
      <c r="H1410" s="49"/>
      <c r="I1410" s="49"/>
    </row>
    <row r="1411" ht="15.75" customHeight="1" spans="1:9">
      <c r="A1411" s="49"/>
      <c r="B1411" s="45" t="s">
        <v>1399</v>
      </c>
      <c r="C1411" s="78" t="s">
        <v>2404</v>
      </c>
      <c r="D1411" s="78" t="s">
        <v>2405</v>
      </c>
      <c r="E1411" s="49"/>
      <c r="F1411" s="49"/>
      <c r="G1411" s="49"/>
      <c r="H1411" s="49"/>
      <c r="I1411" s="49"/>
    </row>
    <row r="1412" ht="15.75" customHeight="1" spans="1:9">
      <c r="A1412" s="49"/>
      <c r="B1412" s="45" t="s">
        <v>1399</v>
      </c>
      <c r="C1412" s="78" t="s">
        <v>2406</v>
      </c>
      <c r="D1412" s="78" t="s">
        <v>2407</v>
      </c>
      <c r="E1412" s="49"/>
      <c r="F1412" s="49"/>
      <c r="G1412" s="49"/>
      <c r="H1412" s="49"/>
      <c r="I1412" s="49"/>
    </row>
    <row r="1413" ht="15.75" customHeight="1" spans="1:9">
      <c r="A1413" s="49"/>
      <c r="B1413" s="45" t="s">
        <v>1399</v>
      </c>
      <c r="C1413" s="78" t="s">
        <v>2408</v>
      </c>
      <c r="D1413" s="78" t="s">
        <v>2409</v>
      </c>
      <c r="E1413" s="49"/>
      <c r="F1413" s="49"/>
      <c r="G1413" s="49"/>
      <c r="H1413" s="49"/>
      <c r="I1413" s="49"/>
    </row>
    <row r="1414" ht="15.75" customHeight="1" spans="1:9">
      <c r="A1414" s="49"/>
      <c r="B1414" s="45" t="s">
        <v>1399</v>
      </c>
      <c r="C1414" s="78" t="s">
        <v>2410</v>
      </c>
      <c r="D1414" s="78" t="s">
        <v>2411</v>
      </c>
      <c r="E1414" s="49"/>
      <c r="F1414" s="49"/>
      <c r="G1414" s="49"/>
      <c r="H1414" s="49"/>
      <c r="I1414" s="49"/>
    </row>
    <row r="1415" ht="15.75" customHeight="1" spans="1:9">
      <c r="A1415" s="49"/>
      <c r="B1415" s="45" t="s">
        <v>1399</v>
      </c>
      <c r="C1415" s="78" t="s">
        <v>2412</v>
      </c>
      <c r="D1415" s="78" t="s">
        <v>2413</v>
      </c>
      <c r="E1415" s="49"/>
      <c r="F1415" s="49"/>
      <c r="G1415" s="49"/>
      <c r="H1415" s="49"/>
      <c r="I1415" s="49"/>
    </row>
    <row r="1416" ht="15.75" customHeight="1" spans="1:9">
      <c r="A1416" s="49"/>
      <c r="B1416" s="45" t="s">
        <v>1399</v>
      </c>
      <c r="C1416" s="78" t="s">
        <v>2414</v>
      </c>
      <c r="D1416" s="78" t="s">
        <v>2415</v>
      </c>
      <c r="E1416" s="49"/>
      <c r="F1416" s="49"/>
      <c r="G1416" s="49"/>
      <c r="H1416" s="49"/>
      <c r="I1416" s="49"/>
    </row>
    <row r="1417" ht="15.75" customHeight="1" spans="1:9">
      <c r="A1417" s="49"/>
      <c r="B1417" s="45" t="s">
        <v>1399</v>
      </c>
      <c r="C1417" s="78" t="s">
        <v>2416</v>
      </c>
      <c r="D1417" s="78" t="s">
        <v>2417</v>
      </c>
      <c r="E1417" s="49"/>
      <c r="F1417" s="49"/>
      <c r="G1417" s="49"/>
      <c r="H1417" s="49"/>
      <c r="I1417" s="49"/>
    </row>
    <row r="1418" ht="15.75" customHeight="1" spans="1:9">
      <c r="A1418" s="49"/>
      <c r="B1418" s="45" t="s">
        <v>1399</v>
      </c>
      <c r="C1418" s="78" t="s">
        <v>2418</v>
      </c>
      <c r="D1418" s="78" t="s">
        <v>2419</v>
      </c>
      <c r="E1418" s="49"/>
      <c r="F1418" s="49"/>
      <c r="G1418" s="49"/>
      <c r="H1418" s="49"/>
      <c r="I1418" s="49"/>
    </row>
    <row r="1419" ht="15.75" customHeight="1" spans="1:9">
      <c r="A1419" s="49"/>
      <c r="B1419" s="45" t="s">
        <v>1399</v>
      </c>
      <c r="C1419" s="78" t="s">
        <v>2420</v>
      </c>
      <c r="D1419" s="78" t="s">
        <v>2421</v>
      </c>
      <c r="E1419" s="49"/>
      <c r="F1419" s="49"/>
      <c r="G1419" s="49"/>
      <c r="H1419" s="49"/>
      <c r="I1419" s="49"/>
    </row>
    <row r="1420" ht="15.75" customHeight="1" spans="1:9">
      <c r="A1420" s="49"/>
      <c r="B1420" s="45" t="s">
        <v>1399</v>
      </c>
      <c r="C1420" s="78" t="s">
        <v>2422</v>
      </c>
      <c r="D1420" s="78" t="s">
        <v>2423</v>
      </c>
      <c r="E1420" s="49"/>
      <c r="F1420" s="49"/>
      <c r="G1420" s="49"/>
      <c r="H1420" s="49"/>
      <c r="I1420" s="49"/>
    </row>
    <row r="1421" ht="15.75" customHeight="1" spans="1:9">
      <c r="A1421" s="49"/>
      <c r="B1421" s="45" t="s">
        <v>1399</v>
      </c>
      <c r="C1421" s="78" t="s">
        <v>2424</v>
      </c>
      <c r="D1421" s="78" t="s">
        <v>2425</v>
      </c>
      <c r="E1421" s="49"/>
      <c r="F1421" s="49"/>
      <c r="G1421" s="49"/>
      <c r="H1421" s="49"/>
      <c r="I1421" s="49"/>
    </row>
    <row r="1422" ht="15.75" customHeight="1" spans="1:9">
      <c r="A1422" s="49"/>
      <c r="B1422" s="45" t="s">
        <v>1399</v>
      </c>
      <c r="C1422" s="78" t="s">
        <v>2426</v>
      </c>
      <c r="D1422" s="78" t="s">
        <v>2427</v>
      </c>
      <c r="E1422" s="49"/>
      <c r="F1422" s="49"/>
      <c r="G1422" s="49"/>
      <c r="H1422" s="49"/>
      <c r="I1422" s="49"/>
    </row>
    <row r="1423" ht="15.75" customHeight="1" spans="1:9">
      <c r="A1423" s="49"/>
      <c r="B1423" s="45" t="s">
        <v>1399</v>
      </c>
      <c r="C1423" s="78" t="s">
        <v>2428</v>
      </c>
      <c r="D1423" s="78" t="s">
        <v>2429</v>
      </c>
      <c r="E1423" s="49"/>
      <c r="F1423" s="49"/>
      <c r="G1423" s="49"/>
      <c r="H1423" s="49"/>
      <c r="I1423" s="49"/>
    </row>
    <row r="1424" ht="15.75" customHeight="1" spans="1:9">
      <c r="A1424" s="49"/>
      <c r="B1424" s="45" t="s">
        <v>1399</v>
      </c>
      <c r="C1424" s="78" t="s">
        <v>2430</v>
      </c>
      <c r="D1424" s="78" t="s">
        <v>2431</v>
      </c>
      <c r="E1424" s="49"/>
      <c r="F1424" s="49"/>
      <c r="G1424" s="49"/>
      <c r="H1424" s="49"/>
      <c r="I1424" s="49"/>
    </row>
    <row r="1425" ht="15.75" customHeight="1" spans="1:9">
      <c r="A1425" s="49"/>
      <c r="B1425" s="45" t="s">
        <v>1399</v>
      </c>
      <c r="C1425" s="78" t="s">
        <v>2432</v>
      </c>
      <c r="D1425" s="78" t="s">
        <v>2433</v>
      </c>
      <c r="E1425" s="49"/>
      <c r="F1425" s="49"/>
      <c r="G1425" s="49"/>
      <c r="H1425" s="49"/>
      <c r="I1425" s="49"/>
    </row>
    <row r="1426" ht="15.75" customHeight="1" spans="1:9">
      <c r="A1426" s="49"/>
      <c r="B1426" s="45" t="s">
        <v>1399</v>
      </c>
      <c r="C1426" s="78" t="s">
        <v>2434</v>
      </c>
      <c r="D1426" s="78" t="s">
        <v>2435</v>
      </c>
      <c r="E1426" s="49"/>
      <c r="F1426" s="49"/>
      <c r="G1426" s="49"/>
      <c r="H1426" s="49"/>
      <c r="I1426" s="49"/>
    </row>
    <row r="1427" ht="15.75" customHeight="1" spans="1:9">
      <c r="A1427" s="49"/>
      <c r="B1427" s="45" t="s">
        <v>1399</v>
      </c>
      <c r="C1427" s="78" t="s">
        <v>2436</v>
      </c>
      <c r="D1427" s="78" t="s">
        <v>2437</v>
      </c>
      <c r="E1427" s="49"/>
      <c r="F1427" s="49"/>
      <c r="G1427" s="49"/>
      <c r="H1427" s="49"/>
      <c r="I1427" s="49"/>
    </row>
    <row r="1428" ht="15.75" customHeight="1" spans="1:9">
      <c r="A1428" s="49"/>
      <c r="B1428" s="45" t="s">
        <v>1399</v>
      </c>
      <c r="C1428" s="78" t="s">
        <v>2438</v>
      </c>
      <c r="D1428" s="78" t="s">
        <v>2439</v>
      </c>
      <c r="E1428" s="49"/>
      <c r="F1428" s="49"/>
      <c r="G1428" s="49"/>
      <c r="H1428" s="49"/>
      <c r="I1428" s="49"/>
    </row>
    <row r="1429" ht="15.75" customHeight="1" spans="1:9">
      <c r="A1429" s="49"/>
      <c r="B1429" s="45" t="s">
        <v>1399</v>
      </c>
      <c r="C1429" s="78" t="s">
        <v>2440</v>
      </c>
      <c r="D1429" s="78" t="s">
        <v>2441</v>
      </c>
      <c r="E1429" s="49"/>
      <c r="F1429" s="49"/>
      <c r="G1429" s="49"/>
      <c r="H1429" s="49"/>
      <c r="I1429" s="49"/>
    </row>
    <row r="1430" ht="15.75" customHeight="1" spans="1:9">
      <c r="A1430" s="49"/>
      <c r="B1430" s="45" t="s">
        <v>1399</v>
      </c>
      <c r="C1430" s="78" t="s">
        <v>2442</v>
      </c>
      <c r="D1430" s="78" t="s">
        <v>2443</v>
      </c>
      <c r="E1430" s="49"/>
      <c r="F1430" s="49"/>
      <c r="G1430" s="49"/>
      <c r="H1430" s="49"/>
      <c r="I1430" s="49"/>
    </row>
    <row r="1431" ht="15.75" customHeight="1" spans="1:9">
      <c r="A1431" s="49"/>
      <c r="B1431" s="45" t="s">
        <v>1399</v>
      </c>
      <c r="C1431" s="78" t="s">
        <v>2444</v>
      </c>
      <c r="D1431" s="78" t="s">
        <v>2445</v>
      </c>
      <c r="E1431" s="49"/>
      <c r="F1431" s="49"/>
      <c r="G1431" s="49"/>
      <c r="H1431" s="49"/>
      <c r="I1431" s="49"/>
    </row>
    <row r="1432" ht="15.75" customHeight="1" spans="1:9">
      <c r="A1432" s="49"/>
      <c r="B1432" s="45" t="s">
        <v>1399</v>
      </c>
      <c r="C1432" s="78" t="s">
        <v>2446</v>
      </c>
      <c r="D1432" s="78" t="s">
        <v>2447</v>
      </c>
      <c r="E1432" s="49"/>
      <c r="F1432" s="49"/>
      <c r="G1432" s="49"/>
      <c r="H1432" s="49"/>
      <c r="I1432" s="49"/>
    </row>
    <row r="1433" ht="15.75" customHeight="1" spans="1:9">
      <c r="A1433" s="49"/>
      <c r="B1433" s="45" t="s">
        <v>1399</v>
      </c>
      <c r="C1433" s="78" t="s">
        <v>2448</v>
      </c>
      <c r="D1433" s="78" t="s">
        <v>2449</v>
      </c>
      <c r="E1433" s="49"/>
      <c r="F1433" s="49"/>
      <c r="G1433" s="49"/>
      <c r="H1433" s="49"/>
      <c r="I1433" s="49"/>
    </row>
    <row r="1434" ht="15.75" customHeight="1" spans="1:9">
      <c r="A1434" s="49"/>
      <c r="B1434" s="45" t="s">
        <v>1399</v>
      </c>
      <c r="C1434" s="78" t="s">
        <v>2450</v>
      </c>
      <c r="D1434" s="78" t="s">
        <v>2451</v>
      </c>
      <c r="E1434" s="49"/>
      <c r="F1434" s="49"/>
      <c r="G1434" s="49"/>
      <c r="H1434" s="49"/>
      <c r="I1434" s="49"/>
    </row>
    <row r="1435" ht="15.75" customHeight="1" spans="1:9">
      <c r="A1435" s="49"/>
      <c r="B1435" s="45" t="s">
        <v>1399</v>
      </c>
      <c r="C1435" s="78" t="s">
        <v>2452</v>
      </c>
      <c r="D1435" s="78" t="s">
        <v>2453</v>
      </c>
      <c r="E1435" s="49"/>
      <c r="F1435" s="49"/>
      <c r="G1435" s="49"/>
      <c r="H1435" s="49"/>
      <c r="I1435" s="49"/>
    </row>
    <row r="1436" ht="15.75" customHeight="1" spans="1:9">
      <c r="A1436" s="49"/>
      <c r="B1436" s="45" t="s">
        <v>1399</v>
      </c>
      <c r="C1436" s="78" t="s">
        <v>2454</v>
      </c>
      <c r="D1436" s="78" t="s">
        <v>2455</v>
      </c>
      <c r="E1436" s="49"/>
      <c r="F1436" s="49"/>
      <c r="G1436" s="49"/>
      <c r="H1436" s="49"/>
      <c r="I1436" s="49"/>
    </row>
    <row r="1437" ht="15.75" customHeight="1" spans="1:9">
      <c r="A1437" s="49"/>
      <c r="B1437" s="45" t="s">
        <v>1399</v>
      </c>
      <c r="C1437" s="78" t="s">
        <v>2456</v>
      </c>
      <c r="D1437" s="78" t="s">
        <v>2457</v>
      </c>
      <c r="E1437" s="49"/>
      <c r="F1437" s="49"/>
      <c r="G1437" s="49"/>
      <c r="H1437" s="49"/>
      <c r="I1437" s="49"/>
    </row>
    <row r="1438" ht="15.75" customHeight="1" spans="1:9">
      <c r="A1438" s="49"/>
      <c r="B1438" s="45" t="s">
        <v>1399</v>
      </c>
      <c r="C1438" s="78" t="s">
        <v>2458</v>
      </c>
      <c r="D1438" s="78" t="s">
        <v>2459</v>
      </c>
      <c r="E1438" s="49"/>
      <c r="F1438" s="49"/>
      <c r="G1438" s="49"/>
      <c r="H1438" s="49"/>
      <c r="I1438" s="49"/>
    </row>
    <row r="1439" ht="15.75" customHeight="1" spans="1:9">
      <c r="A1439" s="49"/>
      <c r="B1439" s="45" t="s">
        <v>1399</v>
      </c>
      <c r="C1439" s="78" t="s">
        <v>2460</v>
      </c>
      <c r="D1439" s="78" t="s">
        <v>2461</v>
      </c>
      <c r="E1439" s="49"/>
      <c r="F1439" s="49"/>
      <c r="G1439" s="49"/>
      <c r="H1439" s="49"/>
      <c r="I1439" s="49"/>
    </row>
    <row r="1440" ht="15.75" customHeight="1" spans="1:9">
      <c r="A1440" s="49"/>
      <c r="B1440" s="45" t="s">
        <v>1399</v>
      </c>
      <c r="C1440" s="78" t="s">
        <v>2462</v>
      </c>
      <c r="D1440" s="78" t="s">
        <v>2463</v>
      </c>
      <c r="E1440" s="49"/>
      <c r="F1440" s="49"/>
      <c r="G1440" s="49"/>
      <c r="H1440" s="49"/>
      <c r="I1440" s="49"/>
    </row>
    <row r="1441" ht="15.75" customHeight="1" spans="1:9">
      <c r="A1441" s="49"/>
      <c r="B1441" s="45" t="s">
        <v>1399</v>
      </c>
      <c r="C1441" s="78" t="s">
        <v>2464</v>
      </c>
      <c r="D1441" s="78" t="s">
        <v>2465</v>
      </c>
      <c r="E1441" s="49"/>
      <c r="F1441" s="49"/>
      <c r="G1441" s="49"/>
      <c r="H1441" s="49"/>
      <c r="I1441" s="49"/>
    </row>
    <row r="1442" ht="15.75" customHeight="1" spans="1:9">
      <c r="A1442" s="49"/>
      <c r="B1442" s="45" t="s">
        <v>1399</v>
      </c>
      <c r="C1442" s="78" t="s">
        <v>2466</v>
      </c>
      <c r="D1442" s="78" t="s">
        <v>2467</v>
      </c>
      <c r="E1442" s="49"/>
      <c r="F1442" s="49"/>
      <c r="G1442" s="49"/>
      <c r="H1442" s="49"/>
      <c r="I1442" s="49"/>
    </row>
    <row r="1443" ht="15.75" customHeight="1" spans="1:9">
      <c r="A1443" s="49"/>
      <c r="B1443" s="45" t="s">
        <v>1399</v>
      </c>
      <c r="C1443" s="78" t="s">
        <v>2468</v>
      </c>
      <c r="D1443" s="78" t="s">
        <v>2469</v>
      </c>
      <c r="E1443" s="49"/>
      <c r="F1443" s="49"/>
      <c r="G1443" s="49"/>
      <c r="H1443" s="49"/>
      <c r="I1443" s="49"/>
    </row>
    <row r="1444" ht="15.75" customHeight="1" spans="1:9">
      <c r="A1444" s="49"/>
      <c r="B1444" s="45" t="s">
        <v>1399</v>
      </c>
      <c r="C1444" s="78" t="s">
        <v>2470</v>
      </c>
      <c r="D1444" s="78" t="s">
        <v>2471</v>
      </c>
      <c r="E1444" s="49"/>
      <c r="F1444" s="49"/>
      <c r="G1444" s="49"/>
      <c r="H1444" s="49"/>
      <c r="I1444" s="49"/>
    </row>
    <row r="1445" ht="15.75" customHeight="1" spans="1:9">
      <c r="A1445" s="49"/>
      <c r="B1445" s="45" t="s">
        <v>1399</v>
      </c>
      <c r="C1445" s="78" t="s">
        <v>2472</v>
      </c>
      <c r="D1445" s="78" t="s">
        <v>2473</v>
      </c>
      <c r="E1445" s="49"/>
      <c r="F1445" s="49"/>
      <c r="G1445" s="49"/>
      <c r="H1445" s="49"/>
      <c r="I1445" s="49"/>
    </row>
    <row r="1446" ht="15.75" customHeight="1" spans="1:9">
      <c r="A1446" s="49"/>
      <c r="B1446" s="45" t="s">
        <v>1399</v>
      </c>
      <c r="C1446" s="78" t="s">
        <v>2474</v>
      </c>
      <c r="D1446" s="78" t="s">
        <v>2475</v>
      </c>
      <c r="E1446" s="49"/>
      <c r="F1446" s="49"/>
      <c r="G1446" s="49"/>
      <c r="H1446" s="49"/>
      <c r="I1446" s="49"/>
    </row>
    <row r="1447" ht="15.75" customHeight="1" spans="1:9">
      <c r="A1447" s="49"/>
      <c r="B1447" s="45" t="s">
        <v>1399</v>
      </c>
      <c r="C1447" s="78" t="s">
        <v>2476</v>
      </c>
      <c r="D1447" s="78" t="s">
        <v>2477</v>
      </c>
      <c r="E1447" s="49"/>
      <c r="F1447" s="49"/>
      <c r="G1447" s="49"/>
      <c r="H1447" s="49"/>
      <c r="I1447" s="49"/>
    </row>
    <row r="1448" ht="15.75" customHeight="1" spans="1:9">
      <c r="A1448" s="49"/>
      <c r="B1448" s="45" t="s">
        <v>1399</v>
      </c>
      <c r="C1448" s="78" t="s">
        <v>2478</v>
      </c>
      <c r="D1448" s="78" t="s">
        <v>2479</v>
      </c>
      <c r="E1448" s="49"/>
      <c r="F1448" s="49"/>
      <c r="G1448" s="49"/>
      <c r="H1448" s="49"/>
      <c r="I1448" s="49"/>
    </row>
    <row r="1449" ht="15.75" customHeight="1" spans="1:9">
      <c r="A1449" s="49"/>
      <c r="B1449" s="45" t="s">
        <v>1399</v>
      </c>
      <c r="C1449" s="78" t="s">
        <v>2480</v>
      </c>
      <c r="D1449" s="78" t="s">
        <v>2481</v>
      </c>
      <c r="E1449" s="49"/>
      <c r="F1449" s="49"/>
      <c r="G1449" s="49"/>
      <c r="H1449" s="49"/>
      <c r="I1449" s="49"/>
    </row>
    <row r="1450" ht="15.75" customHeight="1" spans="1:9">
      <c r="A1450" s="49"/>
      <c r="B1450" s="45" t="s">
        <v>1399</v>
      </c>
      <c r="C1450" s="78" t="s">
        <v>2482</v>
      </c>
      <c r="D1450" s="78" t="s">
        <v>2483</v>
      </c>
      <c r="E1450" s="49"/>
      <c r="F1450" s="49"/>
      <c r="G1450" s="49"/>
      <c r="H1450" s="49"/>
      <c r="I1450" s="49"/>
    </row>
    <row r="1451" ht="15.75" customHeight="1" spans="1:9">
      <c r="A1451" s="49"/>
      <c r="B1451" s="45" t="s">
        <v>1399</v>
      </c>
      <c r="C1451" s="78" t="s">
        <v>2484</v>
      </c>
      <c r="D1451" s="78" t="s">
        <v>2485</v>
      </c>
      <c r="E1451" s="49"/>
      <c r="F1451" s="49"/>
      <c r="G1451" s="49"/>
      <c r="H1451" s="49"/>
      <c r="I1451" s="49"/>
    </row>
    <row r="1452" ht="15.75" customHeight="1" spans="1:9">
      <c r="A1452" s="49"/>
      <c r="B1452" s="45" t="s">
        <v>1399</v>
      </c>
      <c r="C1452" s="78" t="s">
        <v>2486</v>
      </c>
      <c r="D1452" s="78" t="s">
        <v>2487</v>
      </c>
      <c r="E1452" s="49"/>
      <c r="F1452" s="49"/>
      <c r="G1452" s="49"/>
      <c r="H1452" s="49"/>
      <c r="I1452" s="49"/>
    </row>
    <row r="1453" ht="15.75" customHeight="1" spans="1:9">
      <c r="A1453" s="49"/>
      <c r="B1453" s="45" t="s">
        <v>1399</v>
      </c>
      <c r="C1453" s="78" t="s">
        <v>2488</v>
      </c>
      <c r="D1453" s="78" t="s">
        <v>2489</v>
      </c>
      <c r="E1453" s="49"/>
      <c r="F1453" s="49"/>
      <c r="G1453" s="49"/>
      <c r="H1453" s="49"/>
      <c r="I1453" s="49"/>
    </row>
    <row r="1454" ht="15.75" customHeight="1" spans="1:9">
      <c r="A1454" s="49"/>
      <c r="B1454" s="45" t="s">
        <v>1399</v>
      </c>
      <c r="C1454" s="78" t="s">
        <v>2490</v>
      </c>
      <c r="D1454" s="78" t="s">
        <v>2491</v>
      </c>
      <c r="E1454" s="49"/>
      <c r="F1454" s="49"/>
      <c r="G1454" s="49"/>
      <c r="H1454" s="49"/>
      <c r="I1454" s="49"/>
    </row>
    <row r="1455" ht="15.75" customHeight="1" spans="1:9">
      <c r="A1455" s="49"/>
      <c r="B1455" s="45" t="s">
        <v>1399</v>
      </c>
      <c r="C1455" s="78" t="s">
        <v>2492</v>
      </c>
      <c r="D1455" s="78" t="s">
        <v>2493</v>
      </c>
      <c r="E1455" s="49"/>
      <c r="F1455" s="49"/>
      <c r="G1455" s="49"/>
      <c r="H1455" s="49"/>
      <c r="I1455" s="49"/>
    </row>
    <row r="1456" ht="15.75" customHeight="1" spans="1:9">
      <c r="A1456" s="49"/>
      <c r="B1456" s="45" t="s">
        <v>1399</v>
      </c>
      <c r="C1456" s="78" t="s">
        <v>2494</v>
      </c>
      <c r="D1456" s="78" t="s">
        <v>2495</v>
      </c>
      <c r="E1456" s="49"/>
      <c r="F1456" s="49"/>
      <c r="G1456" s="49"/>
      <c r="H1456" s="49"/>
      <c r="I1456" s="49"/>
    </row>
    <row r="1457" ht="15.75" customHeight="1" spans="1:9">
      <c r="A1457" s="49"/>
      <c r="B1457" s="45" t="s">
        <v>1399</v>
      </c>
      <c r="C1457" s="78" t="s">
        <v>2496</v>
      </c>
      <c r="D1457" s="78" t="s">
        <v>2497</v>
      </c>
      <c r="E1457" s="49"/>
      <c r="F1457" s="49"/>
      <c r="G1457" s="49"/>
      <c r="H1457" s="49"/>
      <c r="I1457" s="49"/>
    </row>
    <row r="1458" ht="15.75" customHeight="1" spans="1:9">
      <c r="A1458" s="49"/>
      <c r="B1458" s="45" t="s">
        <v>1399</v>
      </c>
      <c r="C1458" s="78" t="s">
        <v>2498</v>
      </c>
      <c r="D1458" s="78" t="s">
        <v>2499</v>
      </c>
      <c r="E1458" s="49"/>
      <c r="F1458" s="49"/>
      <c r="G1458" s="49"/>
      <c r="H1458" s="49"/>
      <c r="I1458" s="49"/>
    </row>
    <row r="1459" ht="15.75" customHeight="1" spans="1:9">
      <c r="A1459" s="49"/>
      <c r="B1459" s="45" t="s">
        <v>1399</v>
      </c>
      <c r="C1459" s="78" t="s">
        <v>2500</v>
      </c>
      <c r="D1459" s="78" t="s">
        <v>2501</v>
      </c>
      <c r="E1459" s="49"/>
      <c r="F1459" s="49"/>
      <c r="G1459" s="49"/>
      <c r="H1459" s="49"/>
      <c r="I1459" s="49"/>
    </row>
    <row r="1460" ht="15.75" customHeight="1" spans="1:9">
      <c r="A1460" s="49"/>
      <c r="B1460" s="45" t="s">
        <v>1399</v>
      </c>
      <c r="C1460" s="78" t="s">
        <v>2502</v>
      </c>
      <c r="D1460" s="78" t="s">
        <v>2503</v>
      </c>
      <c r="E1460" s="49"/>
      <c r="F1460" s="49"/>
      <c r="G1460" s="49"/>
      <c r="H1460" s="49"/>
      <c r="I1460" s="49"/>
    </row>
    <row r="1461" ht="15.75" customHeight="1" spans="1:9">
      <c r="A1461" s="49"/>
      <c r="B1461" s="45" t="s">
        <v>1399</v>
      </c>
      <c r="C1461" s="78" t="s">
        <v>2504</v>
      </c>
      <c r="D1461" s="78" t="s">
        <v>2505</v>
      </c>
      <c r="E1461" s="49"/>
      <c r="F1461" s="49"/>
      <c r="G1461" s="49"/>
      <c r="H1461" s="49"/>
      <c r="I1461" s="49"/>
    </row>
    <row r="1462" ht="15.75" customHeight="1" spans="1:9">
      <c r="A1462" s="49"/>
      <c r="B1462" s="45" t="s">
        <v>1399</v>
      </c>
      <c r="C1462" s="78" t="s">
        <v>2506</v>
      </c>
      <c r="D1462" s="78" t="s">
        <v>2507</v>
      </c>
      <c r="E1462" s="49"/>
      <c r="F1462" s="49"/>
      <c r="G1462" s="49"/>
      <c r="H1462" s="49"/>
      <c r="I1462" s="49"/>
    </row>
    <row r="1463" ht="15.75" customHeight="1" spans="1:9">
      <c r="A1463" s="49"/>
      <c r="B1463" s="45" t="s">
        <v>1399</v>
      </c>
      <c r="C1463" s="78" t="s">
        <v>2508</v>
      </c>
      <c r="D1463" s="78" t="s">
        <v>2509</v>
      </c>
      <c r="E1463" s="49"/>
      <c r="F1463" s="49"/>
      <c r="G1463" s="49"/>
      <c r="H1463" s="49"/>
      <c r="I1463" s="49"/>
    </row>
    <row r="1464" ht="15.75" customHeight="1" spans="1:9">
      <c r="A1464" s="49"/>
      <c r="B1464" s="45" t="s">
        <v>1399</v>
      </c>
      <c r="C1464" s="78" t="s">
        <v>2510</v>
      </c>
      <c r="D1464" s="78" t="s">
        <v>2511</v>
      </c>
      <c r="E1464" s="49"/>
      <c r="F1464" s="49"/>
      <c r="G1464" s="49"/>
      <c r="H1464" s="49"/>
      <c r="I1464" s="49"/>
    </row>
    <row r="1465" ht="15.75" customHeight="1" spans="1:9">
      <c r="A1465" s="49"/>
      <c r="B1465" s="45" t="s">
        <v>1399</v>
      </c>
      <c r="C1465" s="78" t="s">
        <v>2512</v>
      </c>
      <c r="D1465" s="78" t="s">
        <v>2513</v>
      </c>
      <c r="E1465" s="49"/>
      <c r="F1465" s="49"/>
      <c r="G1465" s="49"/>
      <c r="H1465" s="49"/>
      <c r="I1465" s="49"/>
    </row>
    <row r="1466" ht="15.75" customHeight="1" spans="1:9">
      <c r="A1466" s="49"/>
      <c r="B1466" s="45" t="s">
        <v>1399</v>
      </c>
      <c r="C1466" s="78" t="s">
        <v>2514</v>
      </c>
      <c r="D1466" s="78" t="s">
        <v>2515</v>
      </c>
      <c r="E1466" s="49"/>
      <c r="F1466" s="49"/>
      <c r="G1466" s="49"/>
      <c r="H1466" s="49"/>
      <c r="I1466" s="49"/>
    </row>
    <row r="1467" ht="15.75" customHeight="1" spans="1:9">
      <c r="A1467" s="49"/>
      <c r="B1467" s="45" t="s">
        <v>1399</v>
      </c>
      <c r="C1467" s="78" t="s">
        <v>2516</v>
      </c>
      <c r="D1467" s="78" t="s">
        <v>2517</v>
      </c>
      <c r="E1467" s="49"/>
      <c r="F1467" s="49"/>
      <c r="G1467" s="49"/>
      <c r="H1467" s="49"/>
      <c r="I1467" s="49"/>
    </row>
    <row r="1468" ht="15.75" customHeight="1" spans="1:9">
      <c r="A1468" s="49"/>
      <c r="B1468" s="45" t="s">
        <v>1399</v>
      </c>
      <c r="C1468" s="78" t="s">
        <v>2518</v>
      </c>
      <c r="D1468" s="78" t="s">
        <v>2519</v>
      </c>
      <c r="E1468" s="49"/>
      <c r="F1468" s="49"/>
      <c r="G1468" s="49"/>
      <c r="H1468" s="49"/>
      <c r="I1468" s="49"/>
    </row>
    <row r="1469" ht="15.75" customHeight="1" spans="1:9">
      <c r="A1469" s="49"/>
      <c r="B1469" s="45" t="s">
        <v>1399</v>
      </c>
      <c r="C1469" s="78" t="s">
        <v>2520</v>
      </c>
      <c r="D1469" s="78" t="s">
        <v>2521</v>
      </c>
      <c r="E1469" s="49"/>
      <c r="F1469" s="49"/>
      <c r="G1469" s="49"/>
      <c r="H1469" s="49"/>
      <c r="I1469" s="49"/>
    </row>
    <row r="1470" ht="15.75" customHeight="1" spans="1:9">
      <c r="A1470" s="49"/>
      <c r="B1470" s="45" t="s">
        <v>1399</v>
      </c>
      <c r="C1470" s="78" t="s">
        <v>2522</v>
      </c>
      <c r="D1470" s="78" t="s">
        <v>2523</v>
      </c>
      <c r="E1470" s="49"/>
      <c r="F1470" s="49"/>
      <c r="G1470" s="49"/>
      <c r="H1470" s="49"/>
      <c r="I1470" s="49"/>
    </row>
    <row r="1471" ht="15.75" customHeight="1" spans="1:9">
      <c r="A1471" s="49"/>
      <c r="B1471" s="45" t="s">
        <v>1399</v>
      </c>
      <c r="C1471" s="78" t="s">
        <v>2524</v>
      </c>
      <c r="D1471" s="78" t="s">
        <v>2525</v>
      </c>
      <c r="E1471" s="49"/>
      <c r="F1471" s="49"/>
      <c r="G1471" s="49"/>
      <c r="H1471" s="49"/>
      <c r="I1471" s="49"/>
    </row>
    <row r="1472" ht="15.75" customHeight="1" spans="1:9">
      <c r="A1472" s="49"/>
      <c r="B1472" s="45" t="s">
        <v>1399</v>
      </c>
      <c r="C1472" s="78" t="s">
        <v>2526</v>
      </c>
      <c r="D1472" s="78" t="s">
        <v>2527</v>
      </c>
      <c r="E1472" s="49"/>
      <c r="F1472" s="49"/>
      <c r="G1472" s="49"/>
      <c r="H1472" s="49"/>
      <c r="I1472" s="49"/>
    </row>
    <row r="1473" ht="15.75" customHeight="1" spans="1:9">
      <c r="A1473" s="49"/>
      <c r="B1473" s="45" t="s">
        <v>1399</v>
      </c>
      <c r="C1473" s="78" t="s">
        <v>2528</v>
      </c>
      <c r="D1473" s="78" t="s">
        <v>2529</v>
      </c>
      <c r="E1473" s="49"/>
      <c r="F1473" s="49"/>
      <c r="G1473" s="49"/>
      <c r="H1473" s="49"/>
      <c r="I1473" s="49"/>
    </row>
    <row r="1474" ht="15.75" customHeight="1" spans="1:9">
      <c r="A1474" s="49"/>
      <c r="B1474" s="45" t="s">
        <v>1399</v>
      </c>
      <c r="C1474" s="78" t="s">
        <v>2530</v>
      </c>
      <c r="D1474" s="78" t="s">
        <v>2531</v>
      </c>
      <c r="E1474" s="49"/>
      <c r="F1474" s="49"/>
      <c r="G1474" s="49"/>
      <c r="H1474" s="49"/>
      <c r="I1474" s="49"/>
    </row>
    <row r="1475" ht="15.75" customHeight="1" spans="1:9">
      <c r="A1475" s="49"/>
      <c r="B1475" s="45" t="s">
        <v>1399</v>
      </c>
      <c r="C1475" s="78" t="s">
        <v>2532</v>
      </c>
      <c r="D1475" s="78" t="s">
        <v>2533</v>
      </c>
      <c r="E1475" s="49"/>
      <c r="F1475" s="49"/>
      <c r="G1475" s="49"/>
      <c r="H1475" s="49"/>
      <c r="I1475" s="49"/>
    </row>
    <row r="1476" ht="15.75" customHeight="1" spans="1:9">
      <c r="A1476" s="49"/>
      <c r="B1476" s="45" t="s">
        <v>1399</v>
      </c>
      <c r="C1476" s="78" t="s">
        <v>2534</v>
      </c>
      <c r="D1476" s="78" t="s">
        <v>2535</v>
      </c>
      <c r="E1476" s="49"/>
      <c r="F1476" s="49"/>
      <c r="G1476" s="49"/>
      <c r="H1476" s="49"/>
      <c r="I1476" s="49"/>
    </row>
    <row r="1477" ht="15.75" customHeight="1" spans="1:9">
      <c r="A1477" s="49"/>
      <c r="B1477" s="45" t="s">
        <v>1399</v>
      </c>
      <c r="C1477" s="78" t="s">
        <v>2536</v>
      </c>
      <c r="D1477" s="78" t="s">
        <v>2537</v>
      </c>
      <c r="E1477" s="49"/>
      <c r="F1477" s="49"/>
      <c r="G1477" s="49"/>
      <c r="H1477" s="49"/>
      <c r="I1477" s="49"/>
    </row>
    <row r="1478" ht="15.75" customHeight="1" spans="1:9">
      <c r="A1478" s="49"/>
      <c r="B1478" s="45" t="s">
        <v>1399</v>
      </c>
      <c r="C1478" s="78" t="s">
        <v>2538</v>
      </c>
      <c r="D1478" s="78" t="s">
        <v>2539</v>
      </c>
      <c r="E1478" s="49"/>
      <c r="F1478" s="49"/>
      <c r="G1478" s="49"/>
      <c r="H1478" s="49"/>
      <c r="I1478" s="49"/>
    </row>
    <row r="1479" ht="15.75" customHeight="1" spans="1:9">
      <c r="A1479" s="49"/>
      <c r="B1479" s="45" t="s">
        <v>1399</v>
      </c>
      <c r="C1479" s="78" t="s">
        <v>2540</v>
      </c>
      <c r="D1479" s="78" t="s">
        <v>2541</v>
      </c>
      <c r="E1479" s="49"/>
      <c r="F1479" s="49"/>
      <c r="G1479" s="49"/>
      <c r="H1479" s="49"/>
      <c r="I1479" s="49"/>
    </row>
    <row r="1480" ht="15.75" customHeight="1" spans="1:9">
      <c r="A1480" s="49"/>
      <c r="B1480" s="45" t="s">
        <v>1399</v>
      </c>
      <c r="C1480" s="78" t="s">
        <v>2542</v>
      </c>
      <c r="D1480" s="78" t="s">
        <v>2543</v>
      </c>
      <c r="E1480" s="49"/>
      <c r="F1480" s="49"/>
      <c r="G1480" s="49"/>
      <c r="H1480" s="49"/>
      <c r="I1480" s="49"/>
    </row>
    <row r="1481" ht="15.75" customHeight="1" spans="1:9">
      <c r="A1481" s="49"/>
      <c r="B1481" s="45" t="s">
        <v>1399</v>
      </c>
      <c r="C1481" s="78" t="s">
        <v>2544</v>
      </c>
      <c r="D1481" s="78" t="s">
        <v>2545</v>
      </c>
      <c r="E1481" s="49"/>
      <c r="F1481" s="49"/>
      <c r="G1481" s="49"/>
      <c r="H1481" s="49"/>
      <c r="I1481" s="49"/>
    </row>
    <row r="1482" ht="15.75" customHeight="1" spans="1:9">
      <c r="A1482" s="49"/>
      <c r="B1482" s="45" t="s">
        <v>1399</v>
      </c>
      <c r="C1482" s="78" t="s">
        <v>2546</v>
      </c>
      <c r="D1482" s="78" t="s">
        <v>2547</v>
      </c>
      <c r="E1482" s="49"/>
      <c r="F1482" s="49"/>
      <c r="G1482" s="49"/>
      <c r="H1482" s="49"/>
      <c r="I1482" s="49"/>
    </row>
    <row r="1483" ht="15.75" customHeight="1" spans="1:9">
      <c r="A1483" s="49"/>
      <c r="B1483" s="45" t="s">
        <v>1399</v>
      </c>
      <c r="C1483" s="78" t="s">
        <v>2548</v>
      </c>
      <c r="D1483" s="78" t="s">
        <v>2549</v>
      </c>
      <c r="E1483" s="49"/>
      <c r="F1483" s="49"/>
      <c r="G1483" s="49"/>
      <c r="H1483" s="49"/>
      <c r="I1483" s="49"/>
    </row>
    <row r="1484" ht="15.75" customHeight="1" spans="1:9">
      <c r="A1484" s="49"/>
      <c r="B1484" s="45" t="s">
        <v>1399</v>
      </c>
      <c r="C1484" s="78" t="s">
        <v>2550</v>
      </c>
      <c r="D1484" s="78" t="s">
        <v>2551</v>
      </c>
      <c r="E1484" s="49"/>
      <c r="F1484" s="49"/>
      <c r="G1484" s="49"/>
      <c r="H1484" s="49"/>
      <c r="I1484" s="49"/>
    </row>
    <row r="1485" ht="15.75" customHeight="1" spans="1:9">
      <c r="A1485" s="49"/>
      <c r="B1485" s="45" t="s">
        <v>1399</v>
      </c>
      <c r="C1485" s="78" t="s">
        <v>2552</v>
      </c>
      <c r="D1485" s="78" t="s">
        <v>2553</v>
      </c>
      <c r="E1485" s="49"/>
      <c r="F1485" s="49"/>
      <c r="G1485" s="49"/>
      <c r="H1485" s="49"/>
      <c r="I1485" s="49"/>
    </row>
    <row r="1486" ht="15.75" customHeight="1" spans="1:9">
      <c r="A1486" s="49"/>
      <c r="B1486" s="45" t="s">
        <v>1399</v>
      </c>
      <c r="C1486" s="78" t="s">
        <v>2554</v>
      </c>
      <c r="D1486" s="78" t="s">
        <v>2555</v>
      </c>
      <c r="E1486" s="49"/>
      <c r="F1486" s="49"/>
      <c r="G1486" s="49"/>
      <c r="H1486" s="49"/>
      <c r="I1486" s="49"/>
    </row>
    <row r="1487" ht="15.75" customHeight="1" spans="1:9">
      <c r="A1487" s="49"/>
      <c r="B1487" s="45" t="s">
        <v>1399</v>
      </c>
      <c r="C1487" s="78" t="s">
        <v>2556</v>
      </c>
      <c r="D1487" s="78" t="s">
        <v>2557</v>
      </c>
      <c r="E1487" s="49"/>
      <c r="F1487" s="49"/>
      <c r="G1487" s="49"/>
      <c r="H1487" s="49"/>
      <c r="I1487" s="49"/>
    </row>
    <row r="1488" ht="15.75" customHeight="1" spans="1:9">
      <c r="A1488" s="49"/>
      <c r="B1488" s="45" t="s">
        <v>1399</v>
      </c>
      <c r="C1488" s="78" t="s">
        <v>2558</v>
      </c>
      <c r="D1488" s="78" t="s">
        <v>2559</v>
      </c>
      <c r="E1488" s="49"/>
      <c r="F1488" s="49"/>
      <c r="G1488" s="49"/>
      <c r="H1488" s="49"/>
      <c r="I1488" s="49"/>
    </row>
    <row r="1489" ht="15.75" customHeight="1" spans="1:9">
      <c r="A1489" s="49"/>
      <c r="B1489" s="45" t="s">
        <v>1399</v>
      </c>
      <c r="C1489" s="78" t="s">
        <v>2560</v>
      </c>
      <c r="D1489" s="78" t="s">
        <v>2561</v>
      </c>
      <c r="E1489" s="49"/>
      <c r="F1489" s="49"/>
      <c r="G1489" s="49"/>
      <c r="H1489" s="49"/>
      <c r="I1489" s="49"/>
    </row>
    <row r="1490" ht="15.75" customHeight="1" spans="1:9">
      <c r="A1490" s="49"/>
      <c r="B1490" s="45" t="s">
        <v>1399</v>
      </c>
      <c r="C1490" s="78" t="s">
        <v>2562</v>
      </c>
      <c r="D1490" s="78" t="s">
        <v>2563</v>
      </c>
      <c r="E1490" s="49"/>
      <c r="F1490" s="49"/>
      <c r="G1490" s="49"/>
      <c r="H1490" s="49"/>
      <c r="I1490" s="49"/>
    </row>
    <row r="1491" ht="15.75" customHeight="1" spans="1:9">
      <c r="A1491" s="49"/>
      <c r="B1491" s="45" t="s">
        <v>1399</v>
      </c>
      <c r="C1491" s="78" t="s">
        <v>2564</v>
      </c>
      <c r="D1491" s="78" t="s">
        <v>2565</v>
      </c>
      <c r="E1491" s="49"/>
      <c r="F1491" s="49"/>
      <c r="G1491" s="49"/>
      <c r="H1491" s="49"/>
      <c r="I1491" s="49"/>
    </row>
    <row r="1492" ht="15.75" customHeight="1" spans="1:9">
      <c r="A1492" s="49"/>
      <c r="B1492" s="45" t="s">
        <v>1399</v>
      </c>
      <c r="C1492" s="78" t="s">
        <v>2566</v>
      </c>
      <c r="D1492" s="78" t="s">
        <v>2567</v>
      </c>
      <c r="E1492" s="49"/>
      <c r="F1492" s="49"/>
      <c r="G1492" s="49"/>
      <c r="H1492" s="49"/>
      <c r="I1492" s="49"/>
    </row>
    <row r="1493" ht="15.75" customHeight="1" spans="1:9">
      <c r="A1493" s="49"/>
      <c r="B1493" s="45" t="s">
        <v>1399</v>
      </c>
      <c r="C1493" s="78" t="s">
        <v>2568</v>
      </c>
      <c r="D1493" s="78" t="s">
        <v>2569</v>
      </c>
      <c r="E1493" s="49"/>
      <c r="F1493" s="49"/>
      <c r="G1493" s="49"/>
      <c r="H1493" s="49"/>
      <c r="I1493" s="49"/>
    </row>
    <row r="1494" ht="15.75" customHeight="1" spans="1:9">
      <c r="A1494" s="49"/>
      <c r="B1494" s="45" t="s">
        <v>1399</v>
      </c>
      <c r="C1494" s="78" t="s">
        <v>2570</v>
      </c>
      <c r="D1494" s="78" t="s">
        <v>2571</v>
      </c>
      <c r="E1494" s="49"/>
      <c r="F1494" s="49"/>
      <c r="G1494" s="49"/>
      <c r="H1494" s="49"/>
      <c r="I1494" s="49"/>
    </row>
    <row r="1495" ht="15.75" customHeight="1" spans="1:9">
      <c r="A1495" s="49"/>
      <c r="B1495" s="45" t="s">
        <v>1399</v>
      </c>
      <c r="C1495" s="78" t="s">
        <v>2572</v>
      </c>
      <c r="D1495" s="78" t="s">
        <v>2573</v>
      </c>
      <c r="E1495" s="49"/>
      <c r="F1495" s="49"/>
      <c r="G1495" s="49"/>
      <c r="H1495" s="49"/>
      <c r="I1495" s="49"/>
    </row>
    <row r="1496" ht="15.75" customHeight="1" spans="1:9">
      <c r="A1496" s="49"/>
      <c r="B1496" s="45" t="s">
        <v>1399</v>
      </c>
      <c r="C1496" s="78" t="s">
        <v>2574</v>
      </c>
      <c r="D1496" s="78" t="s">
        <v>2575</v>
      </c>
      <c r="E1496" s="49"/>
      <c r="F1496" s="49"/>
      <c r="G1496" s="49"/>
      <c r="H1496" s="49"/>
      <c r="I1496" s="49"/>
    </row>
    <row r="1497" ht="15.75" customHeight="1" spans="1:9">
      <c r="A1497" s="49"/>
      <c r="B1497" s="45" t="s">
        <v>1399</v>
      </c>
      <c r="C1497" s="78" t="s">
        <v>2576</v>
      </c>
      <c r="D1497" s="78" t="s">
        <v>2577</v>
      </c>
      <c r="E1497" s="49"/>
      <c r="F1497" s="49"/>
      <c r="G1497" s="49"/>
      <c r="H1497" s="49"/>
      <c r="I1497" s="49"/>
    </row>
    <row r="1498" ht="15.75" customHeight="1" spans="1:9">
      <c r="A1498" s="49"/>
      <c r="B1498" s="45" t="s">
        <v>1399</v>
      </c>
      <c r="C1498" s="78" t="s">
        <v>2578</v>
      </c>
      <c r="D1498" s="78" t="s">
        <v>2579</v>
      </c>
      <c r="E1498" s="49"/>
      <c r="F1498" s="49"/>
      <c r="G1498" s="49"/>
      <c r="H1498" s="49"/>
      <c r="I1498" s="49"/>
    </row>
    <row r="1499" ht="15.75" customHeight="1" spans="1:9">
      <c r="A1499" s="49"/>
      <c r="B1499" s="45" t="s">
        <v>1399</v>
      </c>
      <c r="C1499" s="78" t="s">
        <v>2580</v>
      </c>
      <c r="D1499" s="78" t="s">
        <v>2581</v>
      </c>
      <c r="E1499" s="49"/>
      <c r="F1499" s="49"/>
      <c r="G1499" s="49"/>
      <c r="H1499" s="49"/>
      <c r="I1499" s="49"/>
    </row>
    <row r="1500" ht="15.75" customHeight="1" spans="1:9">
      <c r="A1500" s="49"/>
      <c r="B1500" s="45" t="s">
        <v>1399</v>
      </c>
      <c r="C1500" s="78" t="s">
        <v>2582</v>
      </c>
      <c r="D1500" s="78" t="s">
        <v>2583</v>
      </c>
      <c r="E1500" s="49"/>
      <c r="F1500" s="49"/>
      <c r="G1500" s="49"/>
      <c r="H1500" s="49"/>
      <c r="I1500" s="49"/>
    </row>
    <row r="1501" ht="15.75" customHeight="1" spans="1:9">
      <c r="A1501" s="49"/>
      <c r="B1501" s="45" t="s">
        <v>1399</v>
      </c>
      <c r="C1501" s="78" t="s">
        <v>2584</v>
      </c>
      <c r="D1501" s="78" t="s">
        <v>2585</v>
      </c>
      <c r="E1501" s="49"/>
      <c r="F1501" s="49"/>
      <c r="G1501" s="49"/>
      <c r="H1501" s="49"/>
      <c r="I1501" s="49"/>
    </row>
    <row r="1502" ht="15.75" customHeight="1" spans="1:9">
      <c r="A1502" s="49"/>
      <c r="B1502" s="45" t="s">
        <v>1399</v>
      </c>
      <c r="C1502" s="78" t="s">
        <v>2586</v>
      </c>
      <c r="D1502" s="78" t="s">
        <v>2587</v>
      </c>
      <c r="E1502" s="49"/>
      <c r="F1502" s="49"/>
      <c r="G1502" s="49"/>
      <c r="H1502" s="49"/>
      <c r="I1502" s="49"/>
    </row>
    <row r="1503" ht="15.75" customHeight="1" spans="1:9">
      <c r="A1503" s="49"/>
      <c r="B1503" s="45" t="s">
        <v>1399</v>
      </c>
      <c r="C1503" s="78" t="s">
        <v>2588</v>
      </c>
      <c r="D1503" s="78" t="s">
        <v>2589</v>
      </c>
      <c r="E1503" s="49"/>
      <c r="F1503" s="49"/>
      <c r="G1503" s="49"/>
      <c r="H1503" s="49"/>
      <c r="I1503" s="49"/>
    </row>
    <row r="1504" ht="15.75" customHeight="1" spans="1:9">
      <c r="A1504" s="49"/>
      <c r="B1504" s="45" t="s">
        <v>1399</v>
      </c>
      <c r="C1504" s="78" t="s">
        <v>2590</v>
      </c>
      <c r="D1504" s="78" t="s">
        <v>2591</v>
      </c>
      <c r="E1504" s="49"/>
      <c r="F1504" s="49"/>
      <c r="G1504" s="49"/>
      <c r="H1504" s="49"/>
      <c r="I1504" s="49"/>
    </row>
    <row r="1505" ht="15.75" customHeight="1" spans="1:9">
      <c r="A1505" s="49"/>
      <c r="B1505" s="45" t="s">
        <v>1399</v>
      </c>
      <c r="C1505" s="78" t="s">
        <v>2592</v>
      </c>
      <c r="D1505" s="78" t="s">
        <v>2593</v>
      </c>
      <c r="E1505" s="49"/>
      <c r="F1505" s="49"/>
      <c r="G1505" s="49"/>
      <c r="H1505" s="49"/>
      <c r="I1505" s="49"/>
    </row>
    <row r="1506" ht="15.75" customHeight="1" spans="1:9">
      <c r="A1506" s="49"/>
      <c r="B1506" s="45" t="s">
        <v>1399</v>
      </c>
      <c r="C1506" s="78" t="s">
        <v>2594</v>
      </c>
      <c r="D1506" s="78" t="s">
        <v>2595</v>
      </c>
      <c r="E1506" s="49"/>
      <c r="F1506" s="49"/>
      <c r="G1506" s="49"/>
      <c r="H1506" s="49"/>
      <c r="I1506" s="49"/>
    </row>
    <row r="1507" ht="15.75" customHeight="1" spans="1:9">
      <c r="A1507" s="49"/>
      <c r="B1507" s="45" t="s">
        <v>1399</v>
      </c>
      <c r="C1507" s="78" t="s">
        <v>2596</v>
      </c>
      <c r="D1507" s="78" t="s">
        <v>2597</v>
      </c>
      <c r="E1507" s="49"/>
      <c r="F1507" s="49"/>
      <c r="G1507" s="49"/>
      <c r="H1507" s="49"/>
      <c r="I1507" s="49"/>
    </row>
    <row r="1508" ht="15.75" customHeight="1" spans="1:9">
      <c r="A1508" s="49"/>
      <c r="B1508" s="45" t="s">
        <v>1399</v>
      </c>
      <c r="C1508" s="78" t="s">
        <v>2598</v>
      </c>
      <c r="D1508" s="78" t="s">
        <v>2599</v>
      </c>
      <c r="E1508" s="49"/>
      <c r="F1508" s="49"/>
      <c r="G1508" s="49"/>
      <c r="H1508" s="49"/>
      <c r="I1508" s="49"/>
    </row>
    <row r="1509" ht="15.75" customHeight="1" spans="1:9">
      <c r="A1509" s="49"/>
      <c r="B1509" s="45" t="s">
        <v>1399</v>
      </c>
      <c r="C1509" s="78" t="s">
        <v>2600</v>
      </c>
      <c r="D1509" s="78" t="s">
        <v>2601</v>
      </c>
      <c r="E1509" s="49"/>
      <c r="F1509" s="49"/>
      <c r="G1509" s="49"/>
      <c r="H1509" s="49"/>
      <c r="I1509" s="49"/>
    </row>
    <row r="1510" ht="15.75" customHeight="1" spans="1:9">
      <c r="A1510" s="49"/>
      <c r="B1510" s="45" t="s">
        <v>1399</v>
      </c>
      <c r="C1510" s="78" t="s">
        <v>2602</v>
      </c>
      <c r="D1510" s="78" t="s">
        <v>2603</v>
      </c>
      <c r="E1510" s="49"/>
      <c r="F1510" s="49"/>
      <c r="G1510" s="49"/>
      <c r="H1510" s="49"/>
      <c r="I1510" s="49"/>
    </row>
    <row r="1511" ht="15.75" customHeight="1" spans="1:9">
      <c r="A1511" s="49"/>
      <c r="B1511" s="45" t="s">
        <v>1399</v>
      </c>
      <c r="C1511" s="78" t="s">
        <v>2604</v>
      </c>
      <c r="D1511" s="78" t="s">
        <v>2605</v>
      </c>
      <c r="E1511" s="49"/>
      <c r="F1511" s="49"/>
      <c r="G1511" s="49"/>
      <c r="H1511" s="49"/>
      <c r="I1511" s="49"/>
    </row>
    <row r="1512" ht="15.75" customHeight="1" spans="1:9">
      <c r="A1512" s="49"/>
      <c r="B1512" s="45" t="s">
        <v>1399</v>
      </c>
      <c r="C1512" s="78" t="s">
        <v>2606</v>
      </c>
      <c r="D1512" s="78" t="s">
        <v>2607</v>
      </c>
      <c r="E1512" s="49"/>
      <c r="F1512" s="49"/>
      <c r="G1512" s="49"/>
      <c r="H1512" s="49"/>
      <c r="I1512" s="49"/>
    </row>
    <row r="1513" ht="15.75" customHeight="1" spans="1:9">
      <c r="A1513" s="49"/>
      <c r="B1513" s="45" t="s">
        <v>1399</v>
      </c>
      <c r="C1513" s="78" t="s">
        <v>2608</v>
      </c>
      <c r="D1513" s="78" t="s">
        <v>2609</v>
      </c>
      <c r="E1513" s="49"/>
      <c r="F1513" s="49"/>
      <c r="G1513" s="49"/>
      <c r="H1513" s="49"/>
      <c r="I1513" s="49"/>
    </row>
    <row r="1514" ht="15.75" customHeight="1" spans="1:9">
      <c r="A1514" s="49"/>
      <c r="B1514" s="45" t="s">
        <v>1399</v>
      </c>
      <c r="C1514" s="78" t="s">
        <v>2610</v>
      </c>
      <c r="D1514" s="78" t="s">
        <v>2611</v>
      </c>
      <c r="E1514" s="49"/>
      <c r="F1514" s="49"/>
      <c r="G1514" s="49"/>
      <c r="H1514" s="49"/>
      <c r="I1514" s="49"/>
    </row>
    <row r="1515" ht="15.75" customHeight="1" spans="1:9">
      <c r="A1515" s="49"/>
      <c r="B1515" s="45" t="s">
        <v>1399</v>
      </c>
      <c r="C1515" s="78" t="s">
        <v>2612</v>
      </c>
      <c r="D1515" s="78" t="s">
        <v>2613</v>
      </c>
      <c r="E1515" s="49"/>
      <c r="F1515" s="49"/>
      <c r="G1515" s="49"/>
      <c r="H1515" s="49"/>
      <c r="I1515" s="49"/>
    </row>
    <row r="1516" ht="15.75" customHeight="1" spans="1:9">
      <c r="A1516" s="49"/>
      <c r="B1516" s="45" t="s">
        <v>1399</v>
      </c>
      <c r="C1516" s="78" t="s">
        <v>2614</v>
      </c>
      <c r="D1516" s="78" t="s">
        <v>2615</v>
      </c>
      <c r="E1516" s="49"/>
      <c r="F1516" s="49"/>
      <c r="G1516" s="49"/>
      <c r="H1516" s="49"/>
      <c r="I1516" s="49"/>
    </row>
    <row r="1517" ht="15.75" customHeight="1" spans="1:9">
      <c r="A1517" s="49"/>
      <c r="B1517" s="45" t="s">
        <v>1399</v>
      </c>
      <c r="C1517" s="78" t="s">
        <v>2616</v>
      </c>
      <c r="D1517" s="78" t="s">
        <v>2617</v>
      </c>
      <c r="E1517" s="49"/>
      <c r="F1517" s="49"/>
      <c r="G1517" s="49"/>
      <c r="H1517" s="49"/>
      <c r="I1517" s="49"/>
    </row>
    <row r="1518" ht="15.75" customHeight="1" spans="1:9">
      <c r="A1518" s="49"/>
      <c r="B1518" s="45" t="s">
        <v>1399</v>
      </c>
      <c r="C1518" s="78" t="s">
        <v>2618</v>
      </c>
      <c r="D1518" s="78" t="s">
        <v>2619</v>
      </c>
      <c r="E1518" s="49"/>
      <c r="F1518" s="49"/>
      <c r="G1518" s="49"/>
      <c r="H1518" s="49"/>
      <c r="I1518" s="49"/>
    </row>
    <row r="1519" ht="15.75" customHeight="1" spans="1:9">
      <c r="A1519" s="49"/>
      <c r="B1519" s="45" t="s">
        <v>1399</v>
      </c>
      <c r="C1519" s="78" t="s">
        <v>2620</v>
      </c>
      <c r="D1519" s="78" t="s">
        <v>2621</v>
      </c>
      <c r="E1519" s="49"/>
      <c r="F1519" s="49"/>
      <c r="G1519" s="49"/>
      <c r="H1519" s="49"/>
      <c r="I1519" s="49"/>
    </row>
    <row r="1520" ht="15.75" customHeight="1" spans="1:9">
      <c r="A1520" s="49"/>
      <c r="B1520" s="45" t="s">
        <v>1399</v>
      </c>
      <c r="C1520" s="78" t="s">
        <v>2622</v>
      </c>
      <c r="D1520" s="78" t="s">
        <v>2623</v>
      </c>
      <c r="E1520" s="49"/>
      <c r="F1520" s="49"/>
      <c r="G1520" s="49"/>
      <c r="H1520" s="49"/>
      <c r="I1520" s="49"/>
    </row>
    <row r="1521" ht="15.75" customHeight="1" spans="1:9">
      <c r="A1521" s="49"/>
      <c r="B1521" s="45" t="s">
        <v>1399</v>
      </c>
      <c r="C1521" s="78" t="s">
        <v>2624</v>
      </c>
      <c r="D1521" s="78" t="s">
        <v>2625</v>
      </c>
      <c r="E1521" s="49"/>
      <c r="F1521" s="49"/>
      <c r="G1521" s="49"/>
      <c r="H1521" s="49"/>
      <c r="I1521" s="49"/>
    </row>
    <row r="1522" ht="15.75" customHeight="1" spans="1:9">
      <c r="A1522" s="49"/>
      <c r="B1522" s="45" t="s">
        <v>1399</v>
      </c>
      <c r="C1522" s="78" t="s">
        <v>2626</v>
      </c>
      <c r="D1522" s="78" t="s">
        <v>2627</v>
      </c>
      <c r="E1522" s="49"/>
      <c r="F1522" s="49"/>
      <c r="G1522" s="49"/>
      <c r="H1522" s="49"/>
      <c r="I1522" s="49"/>
    </row>
    <row r="1523" ht="15.75" customHeight="1" spans="1:9">
      <c r="A1523" s="49"/>
      <c r="B1523" s="45" t="s">
        <v>1399</v>
      </c>
      <c r="C1523" s="78" t="s">
        <v>2628</v>
      </c>
      <c r="D1523" s="78" t="s">
        <v>2629</v>
      </c>
      <c r="E1523" s="49"/>
      <c r="F1523" s="49"/>
      <c r="G1523" s="49"/>
      <c r="H1523" s="49"/>
      <c r="I1523" s="49"/>
    </row>
    <row r="1524" ht="15.75" customHeight="1" spans="1:9">
      <c r="A1524" s="49"/>
      <c r="B1524" s="45" t="s">
        <v>1399</v>
      </c>
      <c r="C1524" s="78" t="s">
        <v>2630</v>
      </c>
      <c r="D1524" s="78" t="s">
        <v>2631</v>
      </c>
      <c r="E1524" s="49"/>
      <c r="F1524" s="49"/>
      <c r="G1524" s="49"/>
      <c r="H1524" s="49"/>
      <c r="I1524" s="49"/>
    </row>
    <row r="1525" ht="15.75" customHeight="1" spans="1:9">
      <c r="A1525" s="49"/>
      <c r="B1525" s="45" t="s">
        <v>1399</v>
      </c>
      <c r="C1525" s="78" t="s">
        <v>2632</v>
      </c>
      <c r="D1525" s="78" t="s">
        <v>2633</v>
      </c>
      <c r="E1525" s="49"/>
      <c r="F1525" s="49"/>
      <c r="G1525" s="49"/>
      <c r="H1525" s="49"/>
      <c r="I1525" s="49"/>
    </row>
    <row r="1526" ht="15.75" customHeight="1" spans="1:9">
      <c r="A1526" s="49"/>
      <c r="B1526" s="45" t="s">
        <v>1399</v>
      </c>
      <c r="C1526" s="78" t="s">
        <v>2634</v>
      </c>
      <c r="D1526" s="78" t="s">
        <v>2635</v>
      </c>
      <c r="E1526" s="49"/>
      <c r="F1526" s="49"/>
      <c r="G1526" s="49"/>
      <c r="H1526" s="49"/>
      <c r="I1526" s="49"/>
    </row>
    <row r="1527" ht="15.75" customHeight="1" spans="1:9">
      <c r="A1527" s="49"/>
      <c r="B1527" s="45" t="s">
        <v>1399</v>
      </c>
      <c r="C1527" s="78" t="s">
        <v>2636</v>
      </c>
      <c r="D1527" s="78" t="s">
        <v>2637</v>
      </c>
      <c r="E1527" s="49"/>
      <c r="F1527" s="49"/>
      <c r="G1527" s="49"/>
      <c r="H1527" s="49"/>
      <c r="I1527" s="49"/>
    </row>
    <row r="1528" ht="15.75" customHeight="1" spans="1:9">
      <c r="A1528" s="49"/>
      <c r="B1528" s="45" t="s">
        <v>1399</v>
      </c>
      <c r="C1528" s="78" t="s">
        <v>2638</v>
      </c>
      <c r="D1528" s="78" t="s">
        <v>2639</v>
      </c>
      <c r="E1528" s="49"/>
      <c r="F1528" s="49"/>
      <c r="G1528" s="49"/>
      <c r="H1528" s="49"/>
      <c r="I1528" s="49"/>
    </row>
    <row r="1529" ht="15.75" customHeight="1" spans="1:9">
      <c r="A1529" s="49"/>
      <c r="B1529" s="45" t="s">
        <v>1399</v>
      </c>
      <c r="C1529" s="78" t="s">
        <v>2640</v>
      </c>
      <c r="D1529" s="78" t="s">
        <v>2641</v>
      </c>
      <c r="E1529" s="49"/>
      <c r="F1529" s="49"/>
      <c r="G1529" s="49"/>
      <c r="H1529" s="49"/>
      <c r="I1529" s="49"/>
    </row>
    <row r="1530" ht="15.75" customHeight="1" spans="1:9">
      <c r="A1530" s="49"/>
      <c r="B1530" s="45" t="s">
        <v>1399</v>
      </c>
      <c r="C1530" s="78" t="s">
        <v>2642</v>
      </c>
      <c r="D1530" s="78" t="s">
        <v>2643</v>
      </c>
      <c r="E1530" s="49"/>
      <c r="F1530" s="49"/>
      <c r="G1530" s="49"/>
      <c r="H1530" s="49"/>
      <c r="I1530" s="49"/>
    </row>
    <row r="1531" ht="15.75" customHeight="1" spans="1:9">
      <c r="A1531" s="49"/>
      <c r="B1531" s="45" t="s">
        <v>1399</v>
      </c>
      <c r="C1531" s="78" t="s">
        <v>2644</v>
      </c>
      <c r="D1531" s="78" t="s">
        <v>2645</v>
      </c>
      <c r="E1531" s="49"/>
      <c r="F1531" s="49"/>
      <c r="G1531" s="49"/>
      <c r="H1531" s="49"/>
      <c r="I1531" s="49"/>
    </row>
    <row r="1532" ht="15.75" customHeight="1" spans="1:9">
      <c r="A1532" s="49"/>
      <c r="B1532" s="45" t="s">
        <v>1399</v>
      </c>
      <c r="C1532" s="78" t="s">
        <v>2646</v>
      </c>
      <c r="D1532" s="78" t="s">
        <v>2647</v>
      </c>
      <c r="E1532" s="49"/>
      <c r="F1532" s="49"/>
      <c r="G1532" s="49"/>
      <c r="H1532" s="49"/>
      <c r="I1532" s="49"/>
    </row>
    <row r="1533" ht="15.75" customHeight="1" spans="1:9">
      <c r="A1533" s="49"/>
      <c r="B1533" s="45" t="s">
        <v>1399</v>
      </c>
      <c r="C1533" s="78" t="s">
        <v>2648</v>
      </c>
      <c r="D1533" s="78" t="s">
        <v>2649</v>
      </c>
      <c r="E1533" s="49"/>
      <c r="F1533" s="49"/>
      <c r="G1533" s="49"/>
      <c r="H1533" s="49"/>
      <c r="I1533" s="49"/>
    </row>
    <row r="1534" ht="15.75" customHeight="1" spans="1:9">
      <c r="A1534" s="49"/>
      <c r="B1534" s="45" t="s">
        <v>1399</v>
      </c>
      <c r="C1534" s="78" t="s">
        <v>2650</v>
      </c>
      <c r="D1534" s="78" t="s">
        <v>2651</v>
      </c>
      <c r="E1534" s="49"/>
      <c r="F1534" s="49"/>
      <c r="G1534" s="49"/>
      <c r="H1534" s="49"/>
      <c r="I1534" s="49"/>
    </row>
    <row r="1535" ht="15.75" customHeight="1" spans="1:9">
      <c r="A1535" s="49"/>
      <c r="B1535" s="45" t="s">
        <v>1399</v>
      </c>
      <c r="C1535" s="78" t="s">
        <v>2652</v>
      </c>
      <c r="D1535" s="78" t="s">
        <v>2653</v>
      </c>
      <c r="E1535" s="49"/>
      <c r="F1535" s="49"/>
      <c r="G1535" s="49"/>
      <c r="H1535" s="49"/>
      <c r="I1535" s="49"/>
    </row>
    <row r="1536" ht="15.75" customHeight="1" spans="1:9">
      <c r="A1536" s="49"/>
      <c r="B1536" s="45" t="s">
        <v>1399</v>
      </c>
      <c r="C1536" s="78" t="s">
        <v>2654</v>
      </c>
      <c r="D1536" s="78" t="s">
        <v>2655</v>
      </c>
      <c r="E1536" s="49"/>
      <c r="F1536" s="49"/>
      <c r="G1536" s="49"/>
      <c r="H1536" s="49"/>
      <c r="I1536" s="49"/>
    </row>
    <row r="1537" ht="15.75" customHeight="1" spans="1:9">
      <c r="A1537" s="49"/>
      <c r="B1537" s="45" t="s">
        <v>1399</v>
      </c>
      <c r="C1537" s="78" t="s">
        <v>2656</v>
      </c>
      <c r="D1537" s="78" t="s">
        <v>2657</v>
      </c>
      <c r="E1537" s="49"/>
      <c r="F1537" s="49"/>
      <c r="G1537" s="49"/>
      <c r="H1537" s="49"/>
      <c r="I1537" s="49"/>
    </row>
    <row r="1538" ht="15.75" customHeight="1" spans="1:9">
      <c r="A1538" s="49"/>
      <c r="B1538" s="45" t="s">
        <v>1399</v>
      </c>
      <c r="C1538" s="78" t="s">
        <v>2658</v>
      </c>
      <c r="D1538" s="78" t="s">
        <v>2659</v>
      </c>
      <c r="E1538" s="49"/>
      <c r="F1538" s="49"/>
      <c r="G1538" s="49"/>
      <c r="H1538" s="49"/>
      <c r="I1538" s="49"/>
    </row>
    <row r="1539" ht="15.75" customHeight="1" spans="1:9">
      <c r="A1539" s="49"/>
      <c r="B1539" s="45" t="s">
        <v>1399</v>
      </c>
      <c r="C1539" s="78" t="s">
        <v>2660</v>
      </c>
      <c r="D1539" s="78" t="s">
        <v>2661</v>
      </c>
      <c r="E1539" s="49"/>
      <c r="F1539" s="49"/>
      <c r="G1539" s="49"/>
      <c r="H1539" s="49"/>
      <c r="I1539" s="49"/>
    </row>
    <row r="1540" ht="15.75" customHeight="1" spans="1:9">
      <c r="A1540" s="49"/>
      <c r="B1540" s="45" t="s">
        <v>1399</v>
      </c>
      <c r="C1540" s="78" t="s">
        <v>2662</v>
      </c>
      <c r="D1540" s="78" t="s">
        <v>2663</v>
      </c>
      <c r="E1540" s="49"/>
      <c r="F1540" s="49"/>
      <c r="G1540" s="49"/>
      <c r="H1540" s="49"/>
      <c r="I1540" s="49"/>
    </row>
    <row r="1541" ht="15.75" customHeight="1" spans="1:9">
      <c r="A1541" s="49"/>
      <c r="B1541" s="45" t="s">
        <v>1399</v>
      </c>
      <c r="C1541" s="78" t="s">
        <v>2664</v>
      </c>
      <c r="D1541" s="78" t="s">
        <v>2665</v>
      </c>
      <c r="E1541" s="49"/>
      <c r="F1541" s="49"/>
      <c r="G1541" s="49"/>
      <c r="H1541" s="49"/>
      <c r="I1541" s="49"/>
    </row>
    <row r="1542" ht="15.75" customHeight="1" spans="1:9">
      <c r="A1542" s="49"/>
      <c r="B1542" s="45" t="s">
        <v>1399</v>
      </c>
      <c r="C1542" s="78" t="s">
        <v>2666</v>
      </c>
      <c r="D1542" s="78" t="s">
        <v>2667</v>
      </c>
      <c r="E1542" s="49"/>
      <c r="F1542" s="49"/>
      <c r="G1542" s="49"/>
      <c r="H1542" s="49"/>
      <c r="I1542" s="49"/>
    </row>
    <row r="1543" ht="15.75" customHeight="1" spans="1:9">
      <c r="A1543" s="49"/>
      <c r="B1543" s="45" t="s">
        <v>1399</v>
      </c>
      <c r="C1543" s="78" t="s">
        <v>2668</v>
      </c>
      <c r="D1543" s="78" t="s">
        <v>2669</v>
      </c>
      <c r="E1543" s="49"/>
      <c r="F1543" s="49"/>
      <c r="G1543" s="49"/>
      <c r="H1543" s="49"/>
      <c r="I1543" s="49"/>
    </row>
    <row r="1544" ht="15.75" customHeight="1" spans="1:9">
      <c r="A1544" s="49"/>
      <c r="B1544" s="45" t="s">
        <v>1399</v>
      </c>
      <c r="C1544" s="78" t="s">
        <v>2670</v>
      </c>
      <c r="D1544" s="78" t="s">
        <v>2671</v>
      </c>
      <c r="E1544" s="49"/>
      <c r="F1544" s="49"/>
      <c r="G1544" s="49"/>
      <c r="H1544" s="49"/>
      <c r="I1544" s="49"/>
    </row>
    <row r="1545" ht="15.75" customHeight="1" spans="1:9">
      <c r="A1545" s="49"/>
      <c r="B1545" s="45" t="s">
        <v>1399</v>
      </c>
      <c r="C1545" s="78" t="s">
        <v>2672</v>
      </c>
      <c r="D1545" s="78" t="s">
        <v>2673</v>
      </c>
      <c r="E1545" s="49"/>
      <c r="F1545" s="49"/>
      <c r="G1545" s="49"/>
      <c r="H1545" s="49"/>
      <c r="I1545" s="49"/>
    </row>
    <row r="1546" ht="15.75" customHeight="1" spans="1:9">
      <c r="A1546" s="49"/>
      <c r="B1546" s="45" t="s">
        <v>1399</v>
      </c>
      <c r="C1546" s="78" t="s">
        <v>2674</v>
      </c>
      <c r="D1546" s="78" t="s">
        <v>2675</v>
      </c>
      <c r="E1546" s="49"/>
      <c r="F1546" s="49"/>
      <c r="G1546" s="49"/>
      <c r="H1546" s="49"/>
      <c r="I1546" s="49"/>
    </row>
    <row r="1547" ht="15.75" customHeight="1" spans="1:9">
      <c r="A1547" s="49"/>
      <c r="B1547" s="45" t="s">
        <v>1399</v>
      </c>
      <c r="C1547" s="78" t="s">
        <v>2676</v>
      </c>
      <c r="D1547" s="78" t="s">
        <v>2677</v>
      </c>
      <c r="E1547" s="49"/>
      <c r="F1547" s="49"/>
      <c r="G1547" s="49"/>
      <c r="H1547" s="49"/>
      <c r="I1547" s="49"/>
    </row>
    <row r="1548" ht="15.75" customHeight="1" spans="1:9">
      <c r="A1548" s="49"/>
      <c r="B1548" s="45" t="s">
        <v>1399</v>
      </c>
      <c r="C1548" s="78" t="s">
        <v>2678</v>
      </c>
      <c r="D1548" s="78" t="s">
        <v>2679</v>
      </c>
      <c r="E1548" s="49"/>
      <c r="F1548" s="49"/>
      <c r="G1548" s="49"/>
      <c r="H1548" s="49"/>
      <c r="I1548" s="49"/>
    </row>
    <row r="1549" ht="15.75" customHeight="1" spans="1:9">
      <c r="A1549" s="49"/>
      <c r="B1549" s="45" t="s">
        <v>1399</v>
      </c>
      <c r="C1549" s="78" t="s">
        <v>2680</v>
      </c>
      <c r="D1549" s="78" t="s">
        <v>2681</v>
      </c>
      <c r="E1549" s="49"/>
      <c r="F1549" s="49"/>
      <c r="G1549" s="49"/>
      <c r="H1549" s="49"/>
      <c r="I1549" s="49"/>
    </row>
    <row r="1550" ht="15.75" customHeight="1" spans="1:9">
      <c r="A1550" s="49"/>
      <c r="B1550" s="45" t="s">
        <v>1399</v>
      </c>
      <c r="C1550" s="78" t="s">
        <v>2682</v>
      </c>
      <c r="D1550" s="78" t="s">
        <v>2683</v>
      </c>
      <c r="E1550" s="49"/>
      <c r="F1550" s="49"/>
      <c r="G1550" s="49"/>
      <c r="H1550" s="49"/>
      <c r="I1550" s="49"/>
    </row>
    <row r="1551" ht="15.75" customHeight="1" spans="1:9">
      <c r="A1551" s="49"/>
      <c r="B1551" s="45" t="s">
        <v>1399</v>
      </c>
      <c r="C1551" s="78" t="s">
        <v>2684</v>
      </c>
      <c r="D1551" s="78" t="s">
        <v>2685</v>
      </c>
      <c r="E1551" s="49"/>
      <c r="F1551" s="49"/>
      <c r="G1551" s="49"/>
      <c r="H1551" s="49"/>
      <c r="I1551" s="49"/>
    </row>
    <row r="1552" ht="15.75" customHeight="1" spans="1:9">
      <c r="A1552" s="49"/>
      <c r="B1552" s="45" t="s">
        <v>1399</v>
      </c>
      <c r="C1552" s="78" t="s">
        <v>2686</v>
      </c>
      <c r="D1552" s="78" t="s">
        <v>2687</v>
      </c>
      <c r="E1552" s="49"/>
      <c r="F1552" s="49"/>
      <c r="G1552" s="49"/>
      <c r="H1552" s="49"/>
      <c r="I1552" s="49"/>
    </row>
    <row r="1553" ht="15.75" customHeight="1" spans="1:9">
      <c r="A1553" s="49"/>
      <c r="B1553" s="45" t="s">
        <v>1399</v>
      </c>
      <c r="C1553" s="78" t="s">
        <v>2688</v>
      </c>
      <c r="D1553" s="78" t="s">
        <v>2689</v>
      </c>
      <c r="E1553" s="49"/>
      <c r="F1553" s="49"/>
      <c r="G1553" s="49"/>
      <c r="H1553" s="49"/>
      <c r="I1553" s="49"/>
    </row>
    <row r="1554" ht="15.75" customHeight="1" spans="1:9">
      <c r="A1554" s="49"/>
      <c r="B1554" s="45" t="s">
        <v>1399</v>
      </c>
      <c r="C1554" s="78" t="s">
        <v>2690</v>
      </c>
      <c r="D1554" s="78" t="s">
        <v>2691</v>
      </c>
      <c r="E1554" s="49"/>
      <c r="F1554" s="49"/>
      <c r="G1554" s="49"/>
      <c r="H1554" s="49"/>
      <c r="I1554" s="49"/>
    </row>
    <row r="1555" ht="15.75" customHeight="1" spans="1:9">
      <c r="A1555" s="49"/>
      <c r="B1555" s="45" t="s">
        <v>1399</v>
      </c>
      <c r="C1555" s="78" t="s">
        <v>2692</v>
      </c>
      <c r="D1555" s="78" t="s">
        <v>2693</v>
      </c>
      <c r="E1555" s="49"/>
      <c r="F1555" s="49"/>
      <c r="G1555" s="49"/>
      <c r="H1555" s="49"/>
      <c r="I1555" s="49"/>
    </row>
    <row r="1556" ht="15.75" customHeight="1" spans="1:9">
      <c r="A1556" s="49"/>
      <c r="B1556" s="45" t="s">
        <v>1399</v>
      </c>
      <c r="C1556" s="78" t="s">
        <v>2694</v>
      </c>
      <c r="D1556" s="78" t="s">
        <v>2695</v>
      </c>
      <c r="E1556" s="49"/>
      <c r="F1556" s="49"/>
      <c r="G1556" s="49"/>
      <c r="H1556" s="49"/>
      <c r="I1556" s="49"/>
    </row>
    <row r="1557" ht="15.75" customHeight="1" spans="1:9">
      <c r="A1557" s="49"/>
      <c r="B1557" s="45" t="s">
        <v>1399</v>
      </c>
      <c r="C1557" s="78" t="s">
        <v>2696</v>
      </c>
      <c r="D1557" s="78" t="s">
        <v>2697</v>
      </c>
      <c r="E1557" s="49"/>
      <c r="F1557" s="49"/>
      <c r="G1557" s="49"/>
      <c r="H1557" s="49"/>
      <c r="I1557" s="49"/>
    </row>
    <row r="1558" ht="15.75" customHeight="1" spans="1:9">
      <c r="A1558" s="49"/>
      <c r="B1558" s="45" t="s">
        <v>1399</v>
      </c>
      <c r="C1558" s="78" t="s">
        <v>2698</v>
      </c>
      <c r="D1558" s="78" t="s">
        <v>2699</v>
      </c>
      <c r="E1558" s="49"/>
      <c r="F1558" s="49"/>
      <c r="G1558" s="49"/>
      <c r="H1558" s="49"/>
      <c r="I1558" s="49"/>
    </row>
    <row r="1559" ht="15.75" customHeight="1" spans="1:9">
      <c r="A1559" s="49"/>
      <c r="B1559" s="45" t="s">
        <v>1399</v>
      </c>
      <c r="C1559" s="78" t="s">
        <v>2700</v>
      </c>
      <c r="D1559" s="78" t="s">
        <v>2701</v>
      </c>
      <c r="E1559" s="49"/>
      <c r="F1559" s="49"/>
      <c r="G1559" s="49"/>
      <c r="H1559" s="49"/>
      <c r="I1559" s="49"/>
    </row>
    <row r="1560" ht="15.75" customHeight="1" spans="1:9">
      <c r="A1560" s="49"/>
      <c r="B1560" s="45" t="s">
        <v>1399</v>
      </c>
      <c r="C1560" s="78" t="s">
        <v>2702</v>
      </c>
      <c r="D1560" s="78" t="s">
        <v>2703</v>
      </c>
      <c r="E1560" s="49"/>
      <c r="F1560" s="49"/>
      <c r="G1560" s="49"/>
      <c r="H1560" s="49"/>
      <c r="I1560" s="49"/>
    </row>
    <row r="1561" ht="15.75" customHeight="1" spans="1:9">
      <c r="A1561" s="49"/>
      <c r="B1561" s="45" t="s">
        <v>1399</v>
      </c>
      <c r="C1561" s="78" t="s">
        <v>2704</v>
      </c>
      <c r="D1561" s="78" t="s">
        <v>2705</v>
      </c>
      <c r="E1561" s="49"/>
      <c r="F1561" s="49"/>
      <c r="G1561" s="49"/>
      <c r="H1561" s="49"/>
      <c r="I1561" s="49"/>
    </row>
    <row r="1562" ht="15.75" customHeight="1" spans="1:9">
      <c r="A1562" s="49"/>
      <c r="B1562" s="45" t="s">
        <v>1399</v>
      </c>
      <c r="C1562" s="78" t="s">
        <v>2706</v>
      </c>
      <c r="D1562" s="78" t="s">
        <v>2707</v>
      </c>
      <c r="E1562" s="49"/>
      <c r="F1562" s="49"/>
      <c r="G1562" s="49"/>
      <c r="H1562" s="49"/>
      <c r="I1562" s="49"/>
    </row>
    <row r="1563" ht="15.75" customHeight="1" spans="1:9">
      <c r="A1563" s="49"/>
      <c r="B1563" s="45" t="s">
        <v>1399</v>
      </c>
      <c r="C1563" s="78" t="s">
        <v>2708</v>
      </c>
      <c r="D1563" s="78" t="s">
        <v>2709</v>
      </c>
      <c r="E1563" s="49"/>
      <c r="F1563" s="49"/>
      <c r="G1563" s="49"/>
      <c r="H1563" s="49"/>
      <c r="I1563" s="49"/>
    </row>
    <row r="1564" ht="15.75" customHeight="1" spans="1:9">
      <c r="A1564" s="49"/>
      <c r="B1564" s="45" t="s">
        <v>1399</v>
      </c>
      <c r="C1564" s="78" t="s">
        <v>2710</v>
      </c>
      <c r="D1564" s="78" t="s">
        <v>2711</v>
      </c>
      <c r="E1564" s="49"/>
      <c r="F1564" s="49"/>
      <c r="G1564" s="49"/>
      <c r="H1564" s="49"/>
      <c r="I1564" s="49"/>
    </row>
    <row r="1565" ht="15.75" customHeight="1" spans="1:9">
      <c r="A1565" s="49"/>
      <c r="B1565" s="45" t="s">
        <v>1399</v>
      </c>
      <c r="C1565" s="78" t="s">
        <v>2712</v>
      </c>
      <c r="D1565" s="78" t="s">
        <v>2713</v>
      </c>
      <c r="E1565" s="49"/>
      <c r="F1565" s="49"/>
      <c r="G1565" s="49"/>
      <c r="H1565" s="49"/>
      <c r="I1565" s="49"/>
    </row>
    <row r="1566" ht="15.75" customHeight="1" spans="1:9">
      <c r="A1566" s="49"/>
      <c r="B1566" s="45" t="s">
        <v>1399</v>
      </c>
      <c r="C1566" s="78" t="s">
        <v>2714</v>
      </c>
      <c r="D1566" s="78" t="s">
        <v>2715</v>
      </c>
      <c r="E1566" s="49"/>
      <c r="F1566" s="49"/>
      <c r="G1566" s="49"/>
      <c r="H1566" s="49"/>
      <c r="I1566" s="49"/>
    </row>
    <row r="1567" ht="15.75" customHeight="1" spans="1:9">
      <c r="A1567" s="49"/>
      <c r="B1567" s="45" t="s">
        <v>1399</v>
      </c>
      <c r="C1567" s="78" t="s">
        <v>2716</v>
      </c>
      <c r="D1567" s="78" t="s">
        <v>2717</v>
      </c>
      <c r="E1567" s="49"/>
      <c r="F1567" s="49"/>
      <c r="G1567" s="49"/>
      <c r="H1567" s="49"/>
      <c r="I1567" s="49"/>
    </row>
    <row r="1568" ht="15.75" customHeight="1" spans="1:9">
      <c r="A1568" s="49"/>
      <c r="B1568" s="45" t="s">
        <v>1399</v>
      </c>
      <c r="C1568" s="78" t="s">
        <v>2718</v>
      </c>
      <c r="D1568" s="78" t="s">
        <v>2719</v>
      </c>
      <c r="E1568" s="49"/>
      <c r="F1568" s="49"/>
      <c r="G1568" s="49"/>
      <c r="H1568" s="49"/>
      <c r="I1568" s="49"/>
    </row>
    <row r="1569" ht="15.75" customHeight="1" spans="1:9">
      <c r="A1569" s="49"/>
      <c r="B1569" s="45" t="s">
        <v>1399</v>
      </c>
      <c r="C1569" s="78" t="s">
        <v>2720</v>
      </c>
      <c r="D1569" s="78" t="s">
        <v>2721</v>
      </c>
      <c r="E1569" s="49"/>
      <c r="F1569" s="49"/>
      <c r="G1569" s="49"/>
      <c r="H1569" s="49"/>
      <c r="I1569" s="49"/>
    </row>
    <row r="1570" ht="15.75" customHeight="1" spans="1:9">
      <c r="A1570" s="49"/>
      <c r="B1570" s="45" t="s">
        <v>1399</v>
      </c>
      <c r="C1570" s="78" t="s">
        <v>2722</v>
      </c>
      <c r="D1570" s="78" t="s">
        <v>2723</v>
      </c>
      <c r="E1570" s="49"/>
      <c r="F1570" s="49"/>
      <c r="G1570" s="49"/>
      <c r="H1570" s="49"/>
      <c r="I1570" s="49"/>
    </row>
    <row r="1571" ht="15.75" customHeight="1" spans="1:9">
      <c r="A1571" s="49"/>
      <c r="B1571" s="45" t="s">
        <v>1399</v>
      </c>
      <c r="C1571" s="78" t="s">
        <v>2724</v>
      </c>
      <c r="D1571" s="78" t="s">
        <v>2725</v>
      </c>
      <c r="E1571" s="49"/>
      <c r="F1571" s="49"/>
      <c r="G1571" s="49"/>
      <c r="H1571" s="49"/>
      <c r="I1571" s="49"/>
    </row>
    <row r="1572" ht="15.75" customHeight="1" spans="1:9">
      <c r="A1572" s="49"/>
      <c r="B1572" s="45" t="s">
        <v>1399</v>
      </c>
      <c r="C1572" s="78" t="s">
        <v>2726</v>
      </c>
      <c r="D1572" s="78" t="s">
        <v>2727</v>
      </c>
      <c r="E1572" s="49"/>
      <c r="F1572" s="49"/>
      <c r="G1572" s="49"/>
      <c r="H1572" s="49"/>
      <c r="I1572" s="49"/>
    </row>
    <row r="1573" ht="15.75" customHeight="1" spans="1:9">
      <c r="A1573" s="49"/>
      <c r="B1573" s="45" t="s">
        <v>1399</v>
      </c>
      <c r="C1573" s="78" t="s">
        <v>2728</v>
      </c>
      <c r="D1573" s="78" t="s">
        <v>2729</v>
      </c>
      <c r="E1573" s="49"/>
      <c r="F1573" s="49"/>
      <c r="G1573" s="49"/>
      <c r="H1573" s="49"/>
      <c r="I1573" s="49"/>
    </row>
    <row r="1574" ht="15.75" customHeight="1" spans="1:9">
      <c r="A1574" s="49"/>
      <c r="B1574" s="45" t="s">
        <v>1399</v>
      </c>
      <c r="C1574" s="78" t="s">
        <v>2730</v>
      </c>
      <c r="D1574" s="78" t="s">
        <v>2731</v>
      </c>
      <c r="E1574" s="49"/>
      <c r="F1574" s="49"/>
      <c r="G1574" s="49"/>
      <c r="H1574" s="49"/>
      <c r="I1574" s="49"/>
    </row>
    <row r="1575" ht="15.75" customHeight="1" spans="1:9">
      <c r="A1575" s="49"/>
      <c r="B1575" s="45" t="s">
        <v>1399</v>
      </c>
      <c r="C1575" s="78" t="s">
        <v>2732</v>
      </c>
      <c r="D1575" s="78" t="s">
        <v>2733</v>
      </c>
      <c r="E1575" s="49"/>
      <c r="F1575" s="49"/>
      <c r="G1575" s="49"/>
      <c r="H1575" s="49"/>
      <c r="I1575" s="49"/>
    </row>
    <row r="1576" ht="15.75" customHeight="1" spans="1:9">
      <c r="A1576" s="49"/>
      <c r="B1576" s="45" t="s">
        <v>1399</v>
      </c>
      <c r="C1576" s="78" t="s">
        <v>2734</v>
      </c>
      <c r="D1576" s="78" t="s">
        <v>2735</v>
      </c>
      <c r="E1576" s="49"/>
      <c r="F1576" s="49"/>
      <c r="G1576" s="49"/>
      <c r="H1576" s="49"/>
      <c r="I1576" s="49"/>
    </row>
    <row r="1577" ht="15.75" customHeight="1" spans="1:9">
      <c r="A1577" s="49"/>
      <c r="B1577" s="45" t="s">
        <v>1399</v>
      </c>
      <c r="C1577" s="78" t="s">
        <v>2736</v>
      </c>
      <c r="D1577" s="78" t="s">
        <v>2737</v>
      </c>
      <c r="E1577" s="49"/>
      <c r="F1577" s="49"/>
      <c r="G1577" s="49"/>
      <c r="H1577" s="49"/>
      <c r="I1577" s="49"/>
    </row>
    <row r="1578" ht="15.75" customHeight="1" spans="1:9">
      <c r="A1578" s="49"/>
      <c r="B1578" s="45" t="s">
        <v>1399</v>
      </c>
      <c r="C1578" s="78" t="s">
        <v>2738</v>
      </c>
      <c r="D1578" s="78" t="s">
        <v>2739</v>
      </c>
      <c r="E1578" s="49"/>
      <c r="F1578" s="49"/>
      <c r="G1578" s="49"/>
      <c r="H1578" s="49"/>
      <c r="I1578" s="49"/>
    </row>
    <row r="1579" ht="15.75" customHeight="1" spans="1:9">
      <c r="A1579" s="49"/>
      <c r="B1579" s="45" t="s">
        <v>1399</v>
      </c>
      <c r="C1579" s="78" t="s">
        <v>2740</v>
      </c>
      <c r="D1579" s="78" t="s">
        <v>2741</v>
      </c>
      <c r="E1579" s="49"/>
      <c r="F1579" s="49"/>
      <c r="G1579" s="49"/>
      <c r="H1579" s="49"/>
      <c r="I1579" s="49"/>
    </row>
    <row r="1580" ht="15.75" customHeight="1" spans="1:9">
      <c r="A1580" s="49"/>
      <c r="B1580" s="45" t="s">
        <v>1399</v>
      </c>
      <c r="C1580" s="78" t="s">
        <v>2742</v>
      </c>
      <c r="D1580" s="78" t="s">
        <v>2743</v>
      </c>
      <c r="E1580" s="49"/>
      <c r="F1580" s="49"/>
      <c r="G1580" s="49"/>
      <c r="H1580" s="49"/>
      <c r="I1580" s="49"/>
    </row>
    <row r="1581" ht="15.75" customHeight="1" spans="1:9">
      <c r="A1581" s="49"/>
      <c r="B1581" s="45" t="s">
        <v>1399</v>
      </c>
      <c r="C1581" s="78" t="s">
        <v>2744</v>
      </c>
      <c r="D1581" s="78" t="s">
        <v>2745</v>
      </c>
      <c r="E1581" s="49"/>
      <c r="F1581" s="49"/>
      <c r="G1581" s="49"/>
      <c r="H1581" s="49"/>
      <c r="I1581" s="49"/>
    </row>
    <row r="1582" ht="15.75" customHeight="1" spans="1:9">
      <c r="A1582" s="49"/>
      <c r="B1582" s="45" t="s">
        <v>1399</v>
      </c>
      <c r="C1582" s="78" t="s">
        <v>2746</v>
      </c>
      <c r="D1582" s="78" t="s">
        <v>2747</v>
      </c>
      <c r="E1582" s="49"/>
      <c r="F1582" s="49"/>
      <c r="G1582" s="49"/>
      <c r="H1582" s="49"/>
      <c r="I1582" s="49"/>
    </row>
    <row r="1583" ht="15.75" customHeight="1" spans="1:9">
      <c r="A1583" s="49"/>
      <c r="B1583" s="45" t="s">
        <v>1399</v>
      </c>
      <c r="C1583" s="78" t="s">
        <v>2748</v>
      </c>
      <c r="D1583" s="78" t="s">
        <v>2749</v>
      </c>
      <c r="E1583" s="49"/>
      <c r="F1583" s="49"/>
      <c r="G1583" s="49"/>
      <c r="H1583" s="49"/>
      <c r="I1583" s="49"/>
    </row>
    <row r="1584" ht="15.75" customHeight="1" spans="1:9">
      <c r="A1584" s="49"/>
      <c r="B1584" s="45" t="s">
        <v>1399</v>
      </c>
      <c r="C1584" s="78" t="s">
        <v>2750</v>
      </c>
      <c r="D1584" s="78" t="s">
        <v>2751</v>
      </c>
      <c r="E1584" s="49"/>
      <c r="F1584" s="49"/>
      <c r="G1584" s="49"/>
      <c r="H1584" s="49"/>
      <c r="I1584" s="49"/>
    </row>
    <row r="1585" ht="15.75" customHeight="1" spans="1:9">
      <c r="A1585" s="49"/>
      <c r="B1585" s="45" t="s">
        <v>1399</v>
      </c>
      <c r="C1585" s="78" t="s">
        <v>2752</v>
      </c>
      <c r="D1585" s="78" t="s">
        <v>2753</v>
      </c>
      <c r="E1585" s="49"/>
      <c r="F1585" s="49"/>
      <c r="G1585" s="49"/>
      <c r="H1585" s="49"/>
      <c r="I1585" s="49"/>
    </row>
    <row r="1586" ht="15.75" customHeight="1" spans="1:9">
      <c r="A1586" s="49"/>
      <c r="B1586" s="45" t="s">
        <v>1399</v>
      </c>
      <c r="C1586" s="78" t="s">
        <v>2754</v>
      </c>
      <c r="D1586" s="78" t="s">
        <v>2755</v>
      </c>
      <c r="E1586" s="49"/>
      <c r="F1586" s="49"/>
      <c r="G1586" s="49"/>
      <c r="H1586" s="49"/>
      <c r="I1586" s="49"/>
    </row>
    <row r="1587" ht="15.75" customHeight="1" spans="1:9">
      <c r="A1587" s="49"/>
      <c r="B1587" s="45" t="s">
        <v>1399</v>
      </c>
      <c r="C1587" s="78" t="s">
        <v>2756</v>
      </c>
      <c r="D1587" s="78" t="s">
        <v>2757</v>
      </c>
      <c r="E1587" s="49"/>
      <c r="F1587" s="49"/>
      <c r="G1587" s="49"/>
      <c r="H1587" s="49"/>
      <c r="I1587" s="49"/>
    </row>
    <row r="1588" ht="15.75" customHeight="1" spans="1:9">
      <c r="A1588" s="49"/>
      <c r="B1588" s="45" t="s">
        <v>1399</v>
      </c>
      <c r="C1588" s="78" t="s">
        <v>2758</v>
      </c>
      <c r="D1588" s="78" t="s">
        <v>2759</v>
      </c>
      <c r="E1588" s="49"/>
      <c r="F1588" s="49"/>
      <c r="G1588" s="49"/>
      <c r="H1588" s="49"/>
      <c r="I1588" s="49"/>
    </row>
    <row r="1589" ht="15.75" customHeight="1" spans="1:9">
      <c r="A1589" s="49"/>
      <c r="B1589" s="45" t="s">
        <v>1399</v>
      </c>
      <c r="C1589" s="78" t="s">
        <v>2760</v>
      </c>
      <c r="D1589" s="78" t="s">
        <v>2761</v>
      </c>
      <c r="E1589" s="49"/>
      <c r="F1589" s="49"/>
      <c r="G1589" s="49"/>
      <c r="H1589" s="49"/>
      <c r="I1589" s="49"/>
    </row>
    <row r="1590" ht="15.75" customHeight="1" spans="1:9">
      <c r="A1590" s="49"/>
      <c r="B1590" s="45" t="s">
        <v>1399</v>
      </c>
      <c r="C1590" s="78" t="s">
        <v>2762</v>
      </c>
      <c r="D1590" s="78" t="s">
        <v>2763</v>
      </c>
      <c r="E1590" s="49"/>
      <c r="F1590" s="49"/>
      <c r="G1590" s="49"/>
      <c r="H1590" s="49"/>
      <c r="I1590" s="49"/>
    </row>
    <row r="1591" ht="15.75" customHeight="1" spans="1:9">
      <c r="A1591" s="49"/>
      <c r="B1591" s="45" t="s">
        <v>1399</v>
      </c>
      <c r="C1591" s="78" t="s">
        <v>2764</v>
      </c>
      <c r="D1591" s="78" t="s">
        <v>2765</v>
      </c>
      <c r="E1591" s="49"/>
      <c r="F1591" s="49"/>
      <c r="G1591" s="49"/>
      <c r="H1591" s="49"/>
      <c r="I1591" s="49"/>
    </row>
    <row r="1592" ht="15.75" customHeight="1" spans="1:9">
      <c r="A1592" s="49"/>
      <c r="B1592" s="45" t="s">
        <v>1399</v>
      </c>
      <c r="C1592" s="78" t="s">
        <v>2766</v>
      </c>
      <c r="D1592" s="78" t="s">
        <v>2767</v>
      </c>
      <c r="E1592" s="49"/>
      <c r="F1592" s="49"/>
      <c r="G1592" s="49"/>
      <c r="H1592" s="49"/>
      <c r="I1592" s="49"/>
    </row>
    <row r="1593" ht="15.75" customHeight="1" spans="1:9">
      <c r="A1593" s="49"/>
      <c r="B1593" s="45" t="s">
        <v>1399</v>
      </c>
      <c r="C1593" s="78" t="s">
        <v>2768</v>
      </c>
      <c r="D1593" s="78" t="s">
        <v>2769</v>
      </c>
      <c r="E1593" s="49"/>
      <c r="F1593" s="49"/>
      <c r="G1593" s="49"/>
      <c r="H1593" s="49"/>
      <c r="I1593" s="49"/>
    </row>
    <row r="1594" ht="15.75" customHeight="1" spans="1:9">
      <c r="A1594" s="49"/>
      <c r="B1594" s="45" t="s">
        <v>1399</v>
      </c>
      <c r="C1594" s="78" t="s">
        <v>2770</v>
      </c>
      <c r="D1594" s="78" t="s">
        <v>2771</v>
      </c>
      <c r="E1594" s="49"/>
      <c r="F1594" s="49"/>
      <c r="G1594" s="49"/>
      <c r="H1594" s="49"/>
      <c r="I1594" s="49"/>
    </row>
    <row r="1595" ht="15.75" customHeight="1" spans="1:9">
      <c r="A1595" s="49"/>
      <c r="B1595" s="45" t="s">
        <v>1399</v>
      </c>
      <c r="C1595" s="78" t="s">
        <v>2772</v>
      </c>
      <c r="D1595" s="78" t="s">
        <v>2773</v>
      </c>
      <c r="E1595" s="49"/>
      <c r="F1595" s="49"/>
      <c r="G1595" s="49"/>
      <c r="H1595" s="49"/>
      <c r="I1595" s="49"/>
    </row>
    <row r="1596" ht="15.75" customHeight="1" spans="1:9">
      <c r="A1596" s="49"/>
      <c r="B1596" s="45" t="s">
        <v>1399</v>
      </c>
      <c r="C1596" s="78" t="s">
        <v>2774</v>
      </c>
      <c r="D1596" s="78" t="s">
        <v>2775</v>
      </c>
      <c r="E1596" s="49"/>
      <c r="F1596" s="49"/>
      <c r="G1596" s="49"/>
      <c r="H1596" s="49"/>
      <c r="I1596" s="49"/>
    </row>
    <row r="1597" ht="15.75" customHeight="1" spans="1:9">
      <c r="A1597" s="49"/>
      <c r="B1597" s="45" t="s">
        <v>1399</v>
      </c>
      <c r="C1597" s="78" t="s">
        <v>2776</v>
      </c>
      <c r="D1597" s="78" t="s">
        <v>2777</v>
      </c>
      <c r="E1597" s="49"/>
      <c r="F1597" s="49"/>
      <c r="G1597" s="49"/>
      <c r="H1597" s="49"/>
      <c r="I1597" s="49"/>
    </row>
    <row r="1598" ht="15.75" customHeight="1" spans="1:9">
      <c r="A1598" s="49"/>
      <c r="B1598" s="45" t="s">
        <v>1399</v>
      </c>
      <c r="C1598" s="78" t="s">
        <v>2778</v>
      </c>
      <c r="D1598" s="78" t="s">
        <v>2779</v>
      </c>
      <c r="E1598" s="49"/>
      <c r="F1598" s="49"/>
      <c r="G1598" s="49"/>
      <c r="H1598" s="49"/>
      <c r="I1598" s="49"/>
    </row>
    <row r="1599" ht="15.75" customHeight="1" spans="1:9">
      <c r="A1599" s="49"/>
      <c r="B1599" s="45" t="s">
        <v>1399</v>
      </c>
      <c r="C1599" s="78" t="s">
        <v>2780</v>
      </c>
      <c r="D1599" s="78" t="s">
        <v>2781</v>
      </c>
      <c r="E1599" s="49"/>
      <c r="F1599" s="49"/>
      <c r="G1599" s="49"/>
      <c r="H1599" s="49"/>
      <c r="I1599" s="49"/>
    </row>
    <row r="1600" ht="15.75" customHeight="1" spans="1:9">
      <c r="A1600" s="49"/>
      <c r="B1600" s="45" t="s">
        <v>1399</v>
      </c>
      <c r="C1600" s="78" t="s">
        <v>2782</v>
      </c>
      <c r="D1600" s="78" t="s">
        <v>2783</v>
      </c>
      <c r="E1600" s="49"/>
      <c r="F1600" s="49"/>
      <c r="G1600" s="49"/>
      <c r="H1600" s="49"/>
      <c r="I1600" s="49"/>
    </row>
    <row r="1601" ht="15.75" customHeight="1" spans="1:9">
      <c r="A1601" s="49"/>
      <c r="B1601" s="45" t="s">
        <v>1399</v>
      </c>
      <c r="C1601" s="78" t="s">
        <v>2784</v>
      </c>
      <c r="D1601" s="78" t="s">
        <v>2785</v>
      </c>
      <c r="E1601" s="49"/>
      <c r="F1601" s="49"/>
      <c r="G1601" s="49"/>
      <c r="H1601" s="49"/>
      <c r="I1601" s="49"/>
    </row>
    <row r="1602" ht="15.75" customHeight="1" spans="1:9">
      <c r="A1602" s="49"/>
      <c r="B1602" s="45" t="s">
        <v>1399</v>
      </c>
      <c r="C1602" s="78" t="s">
        <v>2786</v>
      </c>
      <c r="D1602" s="78" t="s">
        <v>2787</v>
      </c>
      <c r="E1602" s="49"/>
      <c r="F1602" s="49"/>
      <c r="G1602" s="49"/>
      <c r="H1602" s="49"/>
      <c r="I1602" s="49"/>
    </row>
    <row r="1603" ht="15.75" customHeight="1" spans="1:9">
      <c r="A1603" s="49"/>
      <c r="B1603" s="45" t="s">
        <v>1399</v>
      </c>
      <c r="C1603" s="78" t="s">
        <v>2788</v>
      </c>
      <c r="D1603" s="78" t="s">
        <v>2789</v>
      </c>
      <c r="E1603" s="49"/>
      <c r="F1603" s="49"/>
      <c r="G1603" s="49"/>
      <c r="H1603" s="49"/>
      <c r="I1603" s="49"/>
    </row>
    <row r="1604" ht="15.75" customHeight="1" spans="1:9">
      <c r="A1604" s="49"/>
      <c r="B1604" s="45" t="s">
        <v>1399</v>
      </c>
      <c r="C1604" s="78" t="s">
        <v>2790</v>
      </c>
      <c r="D1604" s="78" t="s">
        <v>2791</v>
      </c>
      <c r="E1604" s="49"/>
      <c r="F1604" s="49"/>
      <c r="G1604" s="49"/>
      <c r="H1604" s="49"/>
      <c r="I1604" s="49"/>
    </row>
    <row r="1605" ht="15.75" customHeight="1" spans="1:9">
      <c r="A1605" s="49"/>
      <c r="B1605" s="45" t="s">
        <v>1399</v>
      </c>
      <c r="C1605" s="78" t="s">
        <v>2792</v>
      </c>
      <c r="D1605" s="78" t="s">
        <v>2793</v>
      </c>
      <c r="E1605" s="49"/>
      <c r="F1605" s="49"/>
      <c r="G1605" s="49"/>
      <c r="H1605" s="49"/>
      <c r="I1605" s="49"/>
    </row>
    <row r="1606" ht="15.75" customHeight="1" spans="1:9">
      <c r="A1606" s="49"/>
      <c r="B1606" s="45" t="s">
        <v>1399</v>
      </c>
      <c r="C1606" s="78" t="s">
        <v>2794</v>
      </c>
      <c r="D1606" s="78" t="s">
        <v>2795</v>
      </c>
      <c r="E1606" s="49"/>
      <c r="F1606" s="49"/>
      <c r="G1606" s="49"/>
      <c r="H1606" s="49"/>
      <c r="I1606" s="49"/>
    </row>
    <row r="1607" ht="15.75" customHeight="1" spans="1:9">
      <c r="A1607" s="49"/>
      <c r="B1607" s="45" t="s">
        <v>1399</v>
      </c>
      <c r="C1607" s="78" t="s">
        <v>2796</v>
      </c>
      <c r="D1607" s="78" t="s">
        <v>2797</v>
      </c>
      <c r="E1607" s="49"/>
      <c r="F1607" s="49"/>
      <c r="G1607" s="49"/>
      <c r="H1607" s="49"/>
      <c r="I1607" s="49"/>
    </row>
    <row r="1608" ht="15.75" customHeight="1" spans="1:9">
      <c r="A1608" s="49"/>
      <c r="B1608" s="45" t="s">
        <v>1399</v>
      </c>
      <c r="C1608" s="78" t="s">
        <v>2798</v>
      </c>
      <c r="D1608" s="78" t="s">
        <v>2799</v>
      </c>
      <c r="E1608" s="49"/>
      <c r="F1608" s="49"/>
      <c r="G1608" s="49"/>
      <c r="H1608" s="49"/>
      <c r="I1608" s="49"/>
    </row>
    <row r="1609" ht="15.75" customHeight="1" spans="1:9">
      <c r="A1609" s="49"/>
      <c r="B1609" s="45" t="s">
        <v>1399</v>
      </c>
      <c r="C1609" s="78" t="s">
        <v>2800</v>
      </c>
      <c r="D1609" s="78" t="s">
        <v>2801</v>
      </c>
      <c r="E1609" s="49"/>
      <c r="F1609" s="49"/>
      <c r="G1609" s="49"/>
      <c r="H1609" s="49"/>
      <c r="I1609" s="49"/>
    </row>
    <row r="1610" ht="15.75" customHeight="1" spans="1:9">
      <c r="A1610" s="49"/>
      <c r="B1610" s="45" t="s">
        <v>1399</v>
      </c>
      <c r="C1610" s="78" t="s">
        <v>2802</v>
      </c>
      <c r="D1610" s="78" t="s">
        <v>2803</v>
      </c>
      <c r="E1610" s="49"/>
      <c r="F1610" s="49"/>
      <c r="G1610" s="49"/>
      <c r="H1610" s="49"/>
      <c r="I1610" s="49"/>
    </row>
    <row r="1611" ht="15.75" customHeight="1" spans="1:9">
      <c r="A1611" s="49"/>
      <c r="B1611" s="45" t="s">
        <v>1399</v>
      </c>
      <c r="C1611" s="78" t="s">
        <v>2804</v>
      </c>
      <c r="D1611" s="78" t="s">
        <v>2805</v>
      </c>
      <c r="E1611" s="49"/>
      <c r="F1611" s="49"/>
      <c r="G1611" s="49"/>
      <c r="H1611" s="49"/>
      <c r="I1611" s="49"/>
    </row>
    <row r="1612" ht="15.75" customHeight="1" spans="1:9">
      <c r="A1612" s="49"/>
      <c r="B1612" s="45" t="s">
        <v>1399</v>
      </c>
      <c r="C1612" s="78" t="s">
        <v>2806</v>
      </c>
      <c r="D1612" s="78" t="s">
        <v>2807</v>
      </c>
      <c r="E1612" s="49"/>
      <c r="F1612" s="49"/>
      <c r="G1612" s="49"/>
      <c r="H1612" s="49"/>
      <c r="I1612" s="49"/>
    </row>
    <row r="1613" ht="15.75" customHeight="1" spans="1:9">
      <c r="A1613" s="49"/>
      <c r="B1613" s="45" t="s">
        <v>1399</v>
      </c>
      <c r="C1613" s="78" t="s">
        <v>2808</v>
      </c>
      <c r="D1613" s="78" t="s">
        <v>2809</v>
      </c>
      <c r="E1613" s="49"/>
      <c r="F1613" s="49"/>
      <c r="G1613" s="49"/>
      <c r="H1613" s="49"/>
      <c r="I1613" s="49"/>
    </row>
    <row r="1614" ht="15.75" customHeight="1" spans="1:9">
      <c r="A1614" s="49"/>
      <c r="B1614" s="45" t="s">
        <v>1399</v>
      </c>
      <c r="C1614" s="78" t="s">
        <v>2810</v>
      </c>
      <c r="D1614" s="78" t="s">
        <v>2811</v>
      </c>
      <c r="E1614" s="49"/>
      <c r="F1614" s="49"/>
      <c r="G1614" s="49"/>
      <c r="H1614" s="49"/>
      <c r="I1614" s="49"/>
    </row>
    <row r="1615" ht="15.75" customHeight="1" spans="1:9">
      <c r="A1615" s="49"/>
      <c r="B1615" s="45" t="s">
        <v>1399</v>
      </c>
      <c r="C1615" s="78" t="s">
        <v>2812</v>
      </c>
      <c r="D1615" s="78" t="s">
        <v>2813</v>
      </c>
      <c r="E1615" s="49"/>
      <c r="F1615" s="49"/>
      <c r="G1615" s="49"/>
      <c r="H1615" s="49"/>
      <c r="I1615" s="49"/>
    </row>
    <row r="1616" ht="15.75" customHeight="1" spans="1:9">
      <c r="A1616" s="49"/>
      <c r="B1616" s="45" t="s">
        <v>1399</v>
      </c>
      <c r="C1616" s="78" t="s">
        <v>2814</v>
      </c>
      <c r="D1616" s="78" t="s">
        <v>2815</v>
      </c>
      <c r="E1616" s="49"/>
      <c r="F1616" s="49"/>
      <c r="G1616" s="49"/>
      <c r="H1616" s="49"/>
      <c r="I1616" s="49"/>
    </row>
    <row r="1617" ht="15.75" customHeight="1" spans="1:9">
      <c r="A1617" s="49"/>
      <c r="B1617" s="45" t="s">
        <v>1399</v>
      </c>
      <c r="C1617" s="78" t="s">
        <v>2816</v>
      </c>
      <c r="D1617" s="78" t="s">
        <v>2817</v>
      </c>
      <c r="E1617" s="49"/>
      <c r="F1617" s="49"/>
      <c r="G1617" s="49"/>
      <c r="H1617" s="49"/>
      <c r="I1617" s="49"/>
    </row>
    <row r="1618" ht="15.75" customHeight="1" spans="1:9">
      <c r="A1618" s="49"/>
      <c r="B1618" s="45" t="s">
        <v>1399</v>
      </c>
      <c r="C1618" s="78" t="s">
        <v>2818</v>
      </c>
      <c r="D1618" s="78" t="s">
        <v>2819</v>
      </c>
      <c r="E1618" s="49"/>
      <c r="F1618" s="49"/>
      <c r="G1618" s="49"/>
      <c r="H1618" s="49"/>
      <c r="I1618" s="49"/>
    </row>
    <row r="1619" ht="15.75" customHeight="1" spans="1:9">
      <c r="A1619" s="49"/>
      <c r="B1619" s="45" t="s">
        <v>1399</v>
      </c>
      <c r="C1619" s="78" t="s">
        <v>2820</v>
      </c>
      <c r="D1619" s="78" t="s">
        <v>2821</v>
      </c>
      <c r="E1619" s="49"/>
      <c r="F1619" s="49"/>
      <c r="G1619" s="49"/>
      <c r="H1619" s="49"/>
      <c r="I1619" s="49"/>
    </row>
    <row r="1620" ht="15.75" customHeight="1" spans="1:9">
      <c r="A1620" s="49"/>
      <c r="B1620" s="45" t="s">
        <v>1399</v>
      </c>
      <c r="C1620" s="78" t="s">
        <v>2822</v>
      </c>
      <c r="D1620" s="78" t="s">
        <v>2823</v>
      </c>
      <c r="E1620" s="49"/>
      <c r="F1620" s="49"/>
      <c r="G1620" s="49"/>
      <c r="H1620" s="49"/>
      <c r="I1620" s="49"/>
    </row>
    <row r="1621" ht="15.75" customHeight="1" spans="1:9">
      <c r="A1621" s="49"/>
      <c r="B1621" s="45" t="s">
        <v>1399</v>
      </c>
      <c r="C1621" s="78" t="s">
        <v>2824</v>
      </c>
      <c r="D1621" s="78" t="s">
        <v>2825</v>
      </c>
      <c r="E1621" s="49"/>
      <c r="F1621" s="49"/>
      <c r="G1621" s="49"/>
      <c r="H1621" s="49"/>
      <c r="I1621" s="49"/>
    </row>
    <row r="1622" ht="15.75" customHeight="1" spans="1:9">
      <c r="A1622" s="49"/>
      <c r="B1622" s="45" t="s">
        <v>1399</v>
      </c>
      <c r="C1622" s="78" t="s">
        <v>2826</v>
      </c>
      <c r="D1622" s="78" t="s">
        <v>2827</v>
      </c>
      <c r="E1622" s="49"/>
      <c r="F1622" s="49"/>
      <c r="G1622" s="49"/>
      <c r="H1622" s="49"/>
      <c r="I1622" s="49"/>
    </row>
    <row r="1623" ht="15.75" customHeight="1" spans="1:9">
      <c r="A1623" s="49"/>
      <c r="B1623" s="45" t="s">
        <v>1399</v>
      </c>
      <c r="C1623" s="78" t="s">
        <v>2828</v>
      </c>
      <c r="D1623" s="78" t="s">
        <v>2829</v>
      </c>
      <c r="E1623" s="49"/>
      <c r="F1623" s="49"/>
      <c r="G1623" s="49"/>
      <c r="H1623" s="49"/>
      <c r="I1623" s="49"/>
    </row>
    <row r="1624" ht="15.75" customHeight="1" spans="1:9">
      <c r="A1624" s="49"/>
      <c r="B1624" s="45" t="s">
        <v>1399</v>
      </c>
      <c r="C1624" s="78" t="s">
        <v>2830</v>
      </c>
      <c r="D1624" s="78" t="s">
        <v>2831</v>
      </c>
      <c r="E1624" s="49"/>
      <c r="F1624" s="49"/>
      <c r="G1624" s="49"/>
      <c r="H1624" s="49"/>
      <c r="I1624" s="49"/>
    </row>
    <row r="1625" ht="15.75" customHeight="1" spans="1:9">
      <c r="A1625" s="49"/>
      <c r="B1625" s="45" t="s">
        <v>1399</v>
      </c>
      <c r="C1625" s="78" t="s">
        <v>2832</v>
      </c>
      <c r="D1625" s="78" t="s">
        <v>2833</v>
      </c>
      <c r="E1625" s="49"/>
      <c r="F1625" s="49"/>
      <c r="G1625" s="49"/>
      <c r="H1625" s="49"/>
      <c r="I1625" s="49"/>
    </row>
    <row r="1626" ht="15.75" customHeight="1" spans="1:9">
      <c r="A1626" s="49"/>
      <c r="B1626" s="45" t="s">
        <v>1399</v>
      </c>
      <c r="C1626" s="78" t="s">
        <v>2834</v>
      </c>
      <c r="D1626" s="78" t="s">
        <v>2835</v>
      </c>
      <c r="E1626" s="49"/>
      <c r="F1626" s="49"/>
      <c r="G1626" s="49"/>
      <c r="H1626" s="49"/>
      <c r="I1626" s="49"/>
    </row>
    <row r="1627" ht="15.75" customHeight="1" spans="1:9">
      <c r="A1627" s="49"/>
      <c r="B1627" s="45" t="s">
        <v>1399</v>
      </c>
      <c r="C1627" s="78" t="s">
        <v>2836</v>
      </c>
      <c r="D1627" s="78" t="s">
        <v>2837</v>
      </c>
      <c r="E1627" s="49"/>
      <c r="F1627" s="49"/>
      <c r="G1627" s="49"/>
      <c r="H1627" s="49"/>
      <c r="I1627" s="49"/>
    </row>
    <row r="1628" ht="15.75" customHeight="1" spans="1:9">
      <c r="A1628" s="49"/>
      <c r="B1628" s="45" t="s">
        <v>1399</v>
      </c>
      <c r="C1628" s="78" t="s">
        <v>2838</v>
      </c>
      <c r="D1628" s="78" t="s">
        <v>2839</v>
      </c>
      <c r="E1628" s="49"/>
      <c r="F1628" s="49"/>
      <c r="G1628" s="49"/>
      <c r="H1628" s="49"/>
      <c r="I1628" s="49"/>
    </row>
    <row r="1629" ht="15.75" customHeight="1" spans="1:9">
      <c r="A1629" s="49"/>
      <c r="B1629" s="45" t="s">
        <v>1399</v>
      </c>
      <c r="C1629" s="78" t="s">
        <v>2840</v>
      </c>
      <c r="D1629" s="78" t="s">
        <v>2841</v>
      </c>
      <c r="E1629" s="49"/>
      <c r="F1629" s="49"/>
      <c r="G1629" s="49"/>
      <c r="H1629" s="49"/>
      <c r="I1629" s="49"/>
    </row>
    <row r="1630" ht="15.75" customHeight="1" spans="1:9">
      <c r="A1630" s="49"/>
      <c r="B1630" s="45" t="s">
        <v>1399</v>
      </c>
      <c r="C1630" s="78" t="s">
        <v>2842</v>
      </c>
      <c r="D1630" s="78" t="s">
        <v>2843</v>
      </c>
      <c r="E1630" s="49"/>
      <c r="F1630" s="49"/>
      <c r="G1630" s="49"/>
      <c r="H1630" s="49"/>
      <c r="I1630" s="49"/>
    </row>
    <row r="1631" ht="15.75" customHeight="1" spans="1:9">
      <c r="A1631" s="49"/>
      <c r="B1631" s="45" t="s">
        <v>1399</v>
      </c>
      <c r="C1631" s="78" t="s">
        <v>2844</v>
      </c>
      <c r="D1631" s="78" t="s">
        <v>2845</v>
      </c>
      <c r="E1631" s="49"/>
      <c r="F1631" s="49"/>
      <c r="G1631" s="49"/>
      <c r="H1631" s="49"/>
      <c r="I1631" s="49"/>
    </row>
    <row r="1632" ht="15.75" customHeight="1" spans="1:9">
      <c r="A1632" s="49"/>
      <c r="B1632" s="45" t="s">
        <v>1399</v>
      </c>
      <c r="C1632" s="78" t="s">
        <v>2846</v>
      </c>
      <c r="D1632" s="78" t="s">
        <v>2847</v>
      </c>
      <c r="E1632" s="49"/>
      <c r="F1632" s="49"/>
      <c r="G1632" s="49"/>
      <c r="H1632" s="49"/>
      <c r="I1632" s="49"/>
    </row>
    <row r="1633" ht="15.75" customHeight="1" spans="1:9">
      <c r="A1633" s="49"/>
      <c r="B1633" s="45" t="s">
        <v>1399</v>
      </c>
      <c r="C1633" s="78" t="s">
        <v>2848</v>
      </c>
      <c r="D1633" s="78" t="s">
        <v>2849</v>
      </c>
      <c r="E1633" s="49"/>
      <c r="F1633" s="49"/>
      <c r="G1633" s="49"/>
      <c r="H1633" s="49"/>
      <c r="I1633" s="49"/>
    </row>
    <row r="1634" ht="15.75" customHeight="1" spans="1:9">
      <c r="A1634" s="49"/>
      <c r="B1634" s="45" t="s">
        <v>1399</v>
      </c>
      <c r="C1634" s="78" t="s">
        <v>2850</v>
      </c>
      <c r="D1634" s="78" t="s">
        <v>2851</v>
      </c>
      <c r="E1634" s="49"/>
      <c r="F1634" s="49"/>
      <c r="G1634" s="49"/>
      <c r="H1634" s="49"/>
      <c r="I1634" s="49"/>
    </row>
    <row r="1635" ht="15.75" customHeight="1" spans="1:9">
      <c r="A1635" s="49"/>
      <c r="B1635" s="45" t="s">
        <v>1399</v>
      </c>
      <c r="C1635" s="78" t="s">
        <v>2852</v>
      </c>
      <c r="D1635" s="78" t="s">
        <v>2853</v>
      </c>
      <c r="E1635" s="49"/>
      <c r="F1635" s="49"/>
      <c r="G1635" s="49"/>
      <c r="H1635" s="49"/>
      <c r="I1635" s="49"/>
    </row>
    <row r="1636" ht="15.75" customHeight="1" spans="1:9">
      <c r="A1636" s="49"/>
      <c r="B1636" s="45" t="s">
        <v>1399</v>
      </c>
      <c r="C1636" s="78" t="s">
        <v>2854</v>
      </c>
      <c r="D1636" s="78" t="s">
        <v>2855</v>
      </c>
      <c r="E1636" s="49"/>
      <c r="F1636" s="49"/>
      <c r="G1636" s="49"/>
      <c r="H1636" s="49"/>
      <c r="I1636" s="49"/>
    </row>
    <row r="1637" ht="15.75" customHeight="1" spans="1:9">
      <c r="A1637" s="49"/>
      <c r="B1637" s="45" t="s">
        <v>1399</v>
      </c>
      <c r="C1637" s="78" t="s">
        <v>2856</v>
      </c>
      <c r="D1637" s="78" t="s">
        <v>2857</v>
      </c>
      <c r="E1637" s="49"/>
      <c r="F1637" s="49"/>
      <c r="G1637" s="49"/>
      <c r="H1637" s="49"/>
      <c r="I1637" s="49"/>
    </row>
    <row r="1638" ht="15.75" customHeight="1" spans="1:9">
      <c r="A1638" s="49"/>
      <c r="B1638" s="45" t="s">
        <v>1399</v>
      </c>
      <c r="C1638" s="78" t="s">
        <v>2858</v>
      </c>
      <c r="D1638" s="78" t="s">
        <v>2859</v>
      </c>
      <c r="E1638" s="49"/>
      <c r="F1638" s="49"/>
      <c r="G1638" s="49"/>
      <c r="H1638" s="49"/>
      <c r="I1638" s="49"/>
    </row>
    <row r="1639" ht="15.75" customHeight="1" spans="1:9">
      <c r="A1639" s="49"/>
      <c r="B1639" s="45" t="s">
        <v>1399</v>
      </c>
      <c r="C1639" s="78" t="s">
        <v>2860</v>
      </c>
      <c r="D1639" s="78" t="s">
        <v>2861</v>
      </c>
      <c r="E1639" s="49"/>
      <c r="F1639" s="49"/>
      <c r="G1639" s="49"/>
      <c r="H1639" s="49"/>
      <c r="I1639" s="49"/>
    </row>
    <row r="1640" ht="15.75" customHeight="1" spans="1:9">
      <c r="A1640" s="49"/>
      <c r="B1640" s="45" t="s">
        <v>1399</v>
      </c>
      <c r="C1640" s="78" t="s">
        <v>2862</v>
      </c>
      <c r="D1640" s="78" t="s">
        <v>2863</v>
      </c>
      <c r="E1640" s="49"/>
      <c r="F1640" s="49"/>
      <c r="G1640" s="49"/>
      <c r="H1640" s="49"/>
      <c r="I1640" s="49"/>
    </row>
    <row r="1641" ht="15.75" customHeight="1" spans="1:9">
      <c r="A1641" s="49"/>
      <c r="B1641" s="45" t="s">
        <v>1399</v>
      </c>
      <c r="C1641" s="78" t="s">
        <v>2864</v>
      </c>
      <c r="D1641" s="78" t="s">
        <v>2865</v>
      </c>
      <c r="E1641" s="49"/>
      <c r="F1641" s="49"/>
      <c r="G1641" s="49"/>
      <c r="H1641" s="49"/>
      <c r="I1641" s="49"/>
    </row>
    <row r="1642" ht="15.75" customHeight="1" spans="1:9">
      <c r="A1642" s="49"/>
      <c r="B1642" s="45" t="s">
        <v>1399</v>
      </c>
      <c r="C1642" s="78" t="s">
        <v>2866</v>
      </c>
      <c r="D1642" s="78" t="s">
        <v>2867</v>
      </c>
      <c r="E1642" s="49"/>
      <c r="F1642" s="49"/>
      <c r="G1642" s="49"/>
      <c r="H1642" s="49"/>
      <c r="I1642" s="49"/>
    </row>
    <row r="1643" ht="15.75" customHeight="1" spans="1:9">
      <c r="A1643" s="49"/>
      <c r="B1643" s="45" t="s">
        <v>1399</v>
      </c>
      <c r="C1643" s="78" t="s">
        <v>2868</v>
      </c>
      <c r="D1643" s="78" t="s">
        <v>2869</v>
      </c>
      <c r="E1643" s="49"/>
      <c r="F1643" s="49"/>
      <c r="G1643" s="49"/>
      <c r="H1643" s="49"/>
      <c r="I1643" s="49"/>
    </row>
    <row r="1644" ht="15.75" customHeight="1" spans="1:9">
      <c r="A1644" s="49"/>
      <c r="B1644" s="45" t="s">
        <v>1399</v>
      </c>
      <c r="C1644" s="78" t="s">
        <v>2870</v>
      </c>
      <c r="D1644" s="78" t="s">
        <v>2871</v>
      </c>
      <c r="E1644" s="49"/>
      <c r="F1644" s="49"/>
      <c r="G1644" s="49"/>
      <c r="H1644" s="49"/>
      <c r="I1644" s="49"/>
    </row>
    <row r="1645" ht="15.75" customHeight="1" spans="1:9">
      <c r="A1645" s="49"/>
      <c r="B1645" s="45" t="s">
        <v>1399</v>
      </c>
      <c r="C1645" s="78" t="s">
        <v>2872</v>
      </c>
      <c r="D1645" s="78" t="s">
        <v>2873</v>
      </c>
      <c r="E1645" s="49"/>
      <c r="F1645" s="49"/>
      <c r="G1645" s="49"/>
      <c r="H1645" s="49"/>
      <c r="I1645" s="49"/>
    </row>
    <row r="1646" ht="15.75" customHeight="1" spans="1:9">
      <c r="A1646" s="49"/>
      <c r="B1646" s="45" t="s">
        <v>1399</v>
      </c>
      <c r="C1646" s="78" t="s">
        <v>2874</v>
      </c>
      <c r="D1646" s="78" t="s">
        <v>2875</v>
      </c>
      <c r="E1646" s="49"/>
      <c r="F1646" s="49"/>
      <c r="G1646" s="49"/>
      <c r="H1646" s="49"/>
      <c r="I1646" s="49"/>
    </row>
    <row r="1647" ht="15.75" customHeight="1" spans="1:9">
      <c r="A1647" s="49"/>
      <c r="B1647" s="45" t="s">
        <v>1399</v>
      </c>
      <c r="C1647" s="78" t="s">
        <v>2876</v>
      </c>
      <c r="D1647" s="78" t="s">
        <v>2877</v>
      </c>
      <c r="E1647" s="49"/>
      <c r="F1647" s="49"/>
      <c r="G1647" s="49"/>
      <c r="H1647" s="49"/>
      <c r="I1647" s="49"/>
    </row>
    <row r="1648" ht="15.75" customHeight="1" spans="1:9">
      <c r="A1648" s="49"/>
      <c r="B1648" s="45" t="s">
        <v>1399</v>
      </c>
      <c r="C1648" s="78" t="s">
        <v>2878</v>
      </c>
      <c r="D1648" s="78" t="s">
        <v>2879</v>
      </c>
      <c r="E1648" s="49"/>
      <c r="F1648" s="49"/>
      <c r="G1648" s="49"/>
      <c r="H1648" s="49"/>
      <c r="I1648" s="49"/>
    </row>
    <row r="1649" ht="15.75" customHeight="1" spans="1:9">
      <c r="A1649" s="49"/>
      <c r="B1649" s="45" t="s">
        <v>1399</v>
      </c>
      <c r="C1649" s="78" t="s">
        <v>2880</v>
      </c>
      <c r="D1649" s="78" t="s">
        <v>2881</v>
      </c>
      <c r="E1649" s="49"/>
      <c r="F1649" s="49"/>
      <c r="G1649" s="49"/>
      <c r="H1649" s="49"/>
      <c r="I1649" s="49"/>
    </row>
    <row r="1650" ht="15.75" customHeight="1" spans="1:9">
      <c r="A1650" s="49"/>
      <c r="B1650" s="45" t="s">
        <v>1399</v>
      </c>
      <c r="C1650" s="78" t="s">
        <v>2882</v>
      </c>
      <c r="D1650" s="78" t="s">
        <v>2883</v>
      </c>
      <c r="E1650" s="49"/>
      <c r="F1650" s="49"/>
      <c r="G1650" s="49"/>
      <c r="H1650" s="49"/>
      <c r="I1650" s="49"/>
    </row>
    <row r="1651" ht="15.75" customHeight="1" spans="1:9">
      <c r="A1651" s="49"/>
      <c r="B1651" s="45" t="s">
        <v>1399</v>
      </c>
      <c r="C1651" s="78" t="s">
        <v>2884</v>
      </c>
      <c r="D1651" s="78" t="s">
        <v>2885</v>
      </c>
      <c r="E1651" s="49"/>
      <c r="F1651" s="49"/>
      <c r="G1651" s="49"/>
      <c r="H1651" s="49"/>
      <c r="I1651" s="49"/>
    </row>
    <row r="1652" ht="15.75" customHeight="1" spans="1:9">
      <c r="A1652" s="49"/>
      <c r="B1652" s="45" t="s">
        <v>1399</v>
      </c>
      <c r="C1652" s="78" t="s">
        <v>2886</v>
      </c>
      <c r="D1652" s="78" t="s">
        <v>2887</v>
      </c>
      <c r="E1652" s="49"/>
      <c r="F1652" s="49"/>
      <c r="G1652" s="49"/>
      <c r="H1652" s="49"/>
      <c r="I1652" s="49"/>
    </row>
    <row r="1653" ht="15.75" customHeight="1" spans="1:9">
      <c r="A1653" s="49"/>
      <c r="B1653" s="45" t="s">
        <v>1399</v>
      </c>
      <c r="C1653" s="78" t="s">
        <v>2888</v>
      </c>
      <c r="D1653" s="78" t="s">
        <v>2889</v>
      </c>
      <c r="E1653" s="49"/>
      <c r="F1653" s="49"/>
      <c r="G1653" s="49"/>
      <c r="H1653" s="49"/>
      <c r="I1653" s="49"/>
    </row>
    <row r="1654" ht="15.75" customHeight="1" spans="1:9">
      <c r="A1654" s="49"/>
      <c r="B1654" s="45" t="s">
        <v>1399</v>
      </c>
      <c r="C1654" s="78" t="s">
        <v>2890</v>
      </c>
      <c r="D1654" s="78" t="s">
        <v>2891</v>
      </c>
      <c r="E1654" s="49"/>
      <c r="F1654" s="49"/>
      <c r="G1654" s="49"/>
      <c r="H1654" s="49"/>
      <c r="I1654" s="49"/>
    </row>
    <row r="1655" ht="15.75" customHeight="1" spans="1:9">
      <c r="A1655" s="49"/>
      <c r="B1655" s="45" t="s">
        <v>1399</v>
      </c>
      <c r="C1655" s="78" t="s">
        <v>2892</v>
      </c>
      <c r="D1655" s="78" t="s">
        <v>2893</v>
      </c>
      <c r="E1655" s="49"/>
      <c r="F1655" s="49"/>
      <c r="G1655" s="49"/>
      <c r="H1655" s="49"/>
      <c r="I1655" s="49"/>
    </row>
    <row r="1656" ht="15.75" customHeight="1" spans="1:9">
      <c r="A1656" s="49"/>
      <c r="B1656" s="45" t="s">
        <v>1399</v>
      </c>
      <c r="C1656" s="78" t="s">
        <v>2894</v>
      </c>
      <c r="D1656" s="78" t="s">
        <v>2895</v>
      </c>
      <c r="E1656" s="49"/>
      <c r="F1656" s="49"/>
      <c r="G1656" s="49"/>
      <c r="H1656" s="49"/>
      <c r="I1656" s="49"/>
    </row>
    <row r="1657" ht="15.75" customHeight="1" spans="1:9">
      <c r="A1657" s="49"/>
      <c r="B1657" s="45" t="s">
        <v>1399</v>
      </c>
      <c r="C1657" s="78" t="s">
        <v>2896</v>
      </c>
      <c r="D1657" s="78" t="s">
        <v>2897</v>
      </c>
      <c r="E1657" s="49"/>
      <c r="F1657" s="49"/>
      <c r="G1657" s="49"/>
      <c r="H1657" s="49"/>
      <c r="I1657" s="49"/>
    </row>
    <row r="1658" ht="15.75" customHeight="1" spans="1:9">
      <c r="A1658" s="49"/>
      <c r="B1658" s="45" t="s">
        <v>1399</v>
      </c>
      <c r="C1658" s="78" t="s">
        <v>2898</v>
      </c>
      <c r="D1658" s="78" t="s">
        <v>2899</v>
      </c>
      <c r="E1658" s="49"/>
      <c r="F1658" s="49"/>
      <c r="G1658" s="49"/>
      <c r="H1658" s="49"/>
      <c r="I1658" s="49"/>
    </row>
    <row r="1659" ht="15.75" customHeight="1" spans="1:9">
      <c r="A1659" s="49"/>
      <c r="B1659" s="45" t="s">
        <v>1399</v>
      </c>
      <c r="C1659" s="78" t="s">
        <v>2900</v>
      </c>
      <c r="D1659" s="78" t="s">
        <v>2901</v>
      </c>
      <c r="E1659" s="49"/>
      <c r="F1659" s="49"/>
      <c r="G1659" s="49"/>
      <c r="H1659" s="49"/>
      <c r="I1659" s="49"/>
    </row>
    <row r="1660" ht="15.75" customHeight="1" spans="1:9">
      <c r="A1660" s="49"/>
      <c r="B1660" s="45" t="s">
        <v>1399</v>
      </c>
      <c r="C1660" s="78" t="s">
        <v>2902</v>
      </c>
      <c r="D1660" s="78" t="s">
        <v>2903</v>
      </c>
      <c r="E1660" s="49"/>
      <c r="F1660" s="49"/>
      <c r="G1660" s="49"/>
      <c r="H1660" s="49"/>
      <c r="I1660" s="49"/>
    </row>
    <row r="1661" ht="15.75" customHeight="1" spans="1:9">
      <c r="A1661" s="49"/>
      <c r="B1661" s="45" t="s">
        <v>1399</v>
      </c>
      <c r="C1661" s="78" t="s">
        <v>2904</v>
      </c>
      <c r="D1661" s="78" t="s">
        <v>2905</v>
      </c>
      <c r="E1661" s="49"/>
      <c r="F1661" s="49"/>
      <c r="G1661" s="49"/>
      <c r="H1661" s="49"/>
      <c r="I1661" s="49"/>
    </row>
    <row r="1662" ht="15.75" customHeight="1" spans="1:9">
      <c r="A1662" s="49"/>
      <c r="B1662" s="45" t="s">
        <v>1399</v>
      </c>
      <c r="C1662" s="78" t="s">
        <v>2906</v>
      </c>
      <c r="D1662" s="78" t="s">
        <v>2907</v>
      </c>
      <c r="E1662" s="49"/>
      <c r="F1662" s="49"/>
      <c r="G1662" s="49"/>
      <c r="H1662" s="49"/>
      <c r="I1662" s="49"/>
    </row>
    <row r="1663" ht="15.75" customHeight="1" spans="1:9">
      <c r="A1663" s="49"/>
      <c r="B1663" s="45" t="s">
        <v>1399</v>
      </c>
      <c r="C1663" s="78" t="s">
        <v>2908</v>
      </c>
      <c r="D1663" s="78" t="s">
        <v>2909</v>
      </c>
      <c r="E1663" s="49"/>
      <c r="F1663" s="49"/>
      <c r="G1663" s="49"/>
      <c r="H1663" s="49"/>
      <c r="I1663" s="49"/>
    </row>
    <row r="1664" ht="15.75" customHeight="1" spans="1:9">
      <c r="A1664" s="49"/>
      <c r="B1664" s="45" t="s">
        <v>1399</v>
      </c>
      <c r="C1664" s="78" t="s">
        <v>2910</v>
      </c>
      <c r="D1664" s="78" t="s">
        <v>2911</v>
      </c>
      <c r="E1664" s="49"/>
      <c r="F1664" s="49"/>
      <c r="G1664" s="49"/>
      <c r="H1664" s="49"/>
      <c r="I1664" s="49"/>
    </row>
    <row r="1665" ht="15.75" customHeight="1" spans="1:9">
      <c r="A1665" s="49"/>
      <c r="B1665" s="45" t="s">
        <v>1399</v>
      </c>
      <c r="C1665" s="78" t="s">
        <v>2912</v>
      </c>
      <c r="D1665" s="78" t="s">
        <v>2913</v>
      </c>
      <c r="E1665" s="49"/>
      <c r="F1665" s="49"/>
      <c r="G1665" s="49"/>
      <c r="H1665" s="49"/>
      <c r="I1665" s="49"/>
    </row>
    <row r="1666" ht="15.75" customHeight="1" spans="1:9">
      <c r="A1666" s="49"/>
      <c r="B1666" s="45" t="s">
        <v>1399</v>
      </c>
      <c r="C1666" s="78" t="s">
        <v>2914</v>
      </c>
      <c r="D1666" s="78" t="s">
        <v>2915</v>
      </c>
      <c r="E1666" s="49"/>
      <c r="F1666" s="49"/>
      <c r="G1666" s="49"/>
      <c r="H1666" s="49"/>
      <c r="I1666" s="49"/>
    </row>
    <row r="1667" ht="15.75" customHeight="1" spans="1:9">
      <c r="A1667" s="49"/>
      <c r="B1667" s="45" t="s">
        <v>1399</v>
      </c>
      <c r="C1667" s="78" t="s">
        <v>2916</v>
      </c>
      <c r="D1667" s="78" t="s">
        <v>2917</v>
      </c>
      <c r="E1667" s="49"/>
      <c r="F1667" s="49"/>
      <c r="G1667" s="49"/>
      <c r="H1667" s="49"/>
      <c r="I1667" s="49"/>
    </row>
    <row r="1668" ht="15.75" customHeight="1" spans="1:9">
      <c r="A1668" s="49"/>
      <c r="B1668" s="45" t="s">
        <v>1399</v>
      </c>
      <c r="C1668" s="78" t="s">
        <v>2918</v>
      </c>
      <c r="D1668" s="78" t="s">
        <v>2919</v>
      </c>
      <c r="E1668" s="49"/>
      <c r="F1668" s="49"/>
      <c r="G1668" s="49"/>
      <c r="H1668" s="49"/>
      <c r="I1668" s="49"/>
    </row>
    <row r="1669" ht="15.75" customHeight="1" spans="1:9">
      <c r="A1669" s="49"/>
      <c r="B1669" s="45" t="s">
        <v>1399</v>
      </c>
      <c r="C1669" s="78" t="s">
        <v>2920</v>
      </c>
      <c r="D1669" s="78" t="s">
        <v>2921</v>
      </c>
      <c r="E1669" s="49"/>
      <c r="F1669" s="49"/>
      <c r="G1669" s="49"/>
      <c r="H1669" s="49"/>
      <c r="I1669" s="49"/>
    </row>
    <row r="1670" ht="15.75" customHeight="1" spans="1:9">
      <c r="A1670" s="49"/>
      <c r="B1670" s="45" t="s">
        <v>1399</v>
      </c>
      <c r="C1670" s="78" t="s">
        <v>2922</v>
      </c>
      <c r="D1670" s="78" t="s">
        <v>2923</v>
      </c>
      <c r="E1670" s="49"/>
      <c r="F1670" s="49"/>
      <c r="G1670" s="49"/>
      <c r="H1670" s="49"/>
      <c r="I1670" s="49"/>
    </row>
    <row r="1671" ht="15.75" customHeight="1" spans="1:9">
      <c r="A1671" s="49"/>
      <c r="B1671" s="45" t="s">
        <v>1399</v>
      </c>
      <c r="C1671" s="78" t="s">
        <v>2924</v>
      </c>
      <c r="D1671" s="78" t="s">
        <v>2925</v>
      </c>
      <c r="E1671" s="49"/>
      <c r="F1671" s="49"/>
      <c r="G1671" s="49"/>
      <c r="H1671" s="49"/>
      <c r="I1671" s="49"/>
    </row>
    <row r="1672" ht="15.75" customHeight="1" spans="1:9">
      <c r="A1672" s="49"/>
      <c r="B1672" s="45" t="s">
        <v>1399</v>
      </c>
      <c r="C1672" s="78" t="s">
        <v>2926</v>
      </c>
      <c r="D1672" s="78" t="s">
        <v>2927</v>
      </c>
      <c r="E1672" s="49"/>
      <c r="F1672" s="49"/>
      <c r="G1672" s="49"/>
      <c r="H1672" s="49"/>
      <c r="I1672" s="49"/>
    </row>
    <row r="1673" ht="15.75" customHeight="1" spans="1:9">
      <c r="A1673" s="49"/>
      <c r="B1673" s="45" t="s">
        <v>1399</v>
      </c>
      <c r="C1673" s="78" t="s">
        <v>2928</v>
      </c>
      <c r="D1673" s="78" t="s">
        <v>2929</v>
      </c>
      <c r="E1673" s="49"/>
      <c r="F1673" s="49"/>
      <c r="G1673" s="49"/>
      <c r="H1673" s="49"/>
      <c r="I1673" s="49"/>
    </row>
    <row r="1674" ht="15.75" customHeight="1" spans="1:9">
      <c r="A1674" s="49"/>
      <c r="B1674" s="45" t="s">
        <v>1399</v>
      </c>
      <c r="C1674" s="78" t="s">
        <v>2930</v>
      </c>
      <c r="D1674" s="78" t="s">
        <v>2931</v>
      </c>
      <c r="E1674" s="49"/>
      <c r="F1674" s="49"/>
      <c r="G1674" s="49"/>
      <c r="H1674" s="49"/>
      <c r="I1674" s="49"/>
    </row>
    <row r="1675" ht="15.75" customHeight="1" spans="1:9">
      <c r="A1675" s="49"/>
      <c r="B1675" s="45" t="s">
        <v>1399</v>
      </c>
      <c r="C1675" s="78" t="s">
        <v>2932</v>
      </c>
      <c r="D1675" s="78" t="s">
        <v>2933</v>
      </c>
      <c r="E1675" s="49"/>
      <c r="F1675" s="49"/>
      <c r="G1675" s="49"/>
      <c r="H1675" s="49"/>
      <c r="I1675" s="49"/>
    </row>
    <row r="1676" ht="15.75" customHeight="1" spans="1:9">
      <c r="A1676" s="49"/>
      <c r="B1676" s="45" t="s">
        <v>1399</v>
      </c>
      <c r="C1676" s="78" t="s">
        <v>2934</v>
      </c>
      <c r="D1676" s="78" t="s">
        <v>2935</v>
      </c>
      <c r="E1676" s="49"/>
      <c r="F1676" s="49"/>
      <c r="G1676" s="49"/>
      <c r="H1676" s="49"/>
      <c r="I1676" s="49"/>
    </row>
    <row r="1677" ht="15.75" customHeight="1" spans="1:9">
      <c r="A1677" s="49"/>
      <c r="B1677" s="45" t="s">
        <v>1399</v>
      </c>
      <c r="C1677" s="78" t="s">
        <v>2936</v>
      </c>
      <c r="D1677" s="78" t="s">
        <v>2937</v>
      </c>
      <c r="E1677" s="49"/>
      <c r="F1677" s="49"/>
      <c r="G1677" s="49"/>
      <c r="H1677" s="49"/>
      <c r="I1677" s="49"/>
    </row>
    <row r="1678" ht="15.75" customHeight="1" spans="1:9">
      <c r="A1678" s="49"/>
      <c r="B1678" s="45" t="s">
        <v>1399</v>
      </c>
      <c r="C1678" s="78" t="s">
        <v>2938</v>
      </c>
      <c r="D1678" s="78" t="s">
        <v>2939</v>
      </c>
      <c r="E1678" s="49"/>
      <c r="F1678" s="49"/>
      <c r="G1678" s="49"/>
      <c r="H1678" s="49"/>
      <c r="I1678" s="49"/>
    </row>
    <row r="1679" ht="15.75" customHeight="1" spans="1:9">
      <c r="A1679" s="49"/>
      <c r="B1679" s="45" t="s">
        <v>1399</v>
      </c>
      <c r="C1679" s="78" t="s">
        <v>2940</v>
      </c>
      <c r="D1679" s="78" t="s">
        <v>2941</v>
      </c>
      <c r="E1679" s="49"/>
      <c r="F1679" s="49"/>
      <c r="G1679" s="49"/>
      <c r="H1679" s="49"/>
      <c r="I1679" s="49"/>
    </row>
    <row r="1680" ht="15.75" customHeight="1" spans="1:9">
      <c r="A1680" s="49"/>
      <c r="B1680" s="45" t="s">
        <v>1399</v>
      </c>
      <c r="C1680" s="78" t="s">
        <v>2942</v>
      </c>
      <c r="D1680" s="78" t="s">
        <v>2943</v>
      </c>
      <c r="E1680" s="49"/>
      <c r="F1680" s="49"/>
      <c r="G1680" s="49"/>
      <c r="H1680" s="49"/>
      <c r="I1680" s="49"/>
    </row>
    <row r="1681" ht="15.75" customHeight="1" spans="1:9">
      <c r="A1681" s="49"/>
      <c r="B1681" s="45" t="s">
        <v>1399</v>
      </c>
      <c r="C1681" s="78" t="s">
        <v>2944</v>
      </c>
      <c r="D1681" s="78" t="s">
        <v>2945</v>
      </c>
      <c r="E1681" s="49"/>
      <c r="F1681" s="49"/>
      <c r="G1681" s="49"/>
      <c r="H1681" s="49"/>
      <c r="I1681" s="49"/>
    </row>
    <row r="1682" ht="15.75" customHeight="1" spans="1:9">
      <c r="A1682" s="49"/>
      <c r="B1682" s="45" t="s">
        <v>1399</v>
      </c>
      <c r="C1682" s="78" t="s">
        <v>2946</v>
      </c>
      <c r="D1682" s="78" t="s">
        <v>2947</v>
      </c>
      <c r="E1682" s="49"/>
      <c r="F1682" s="49"/>
      <c r="G1682" s="49"/>
      <c r="H1682" s="49"/>
      <c r="I1682" s="49"/>
    </row>
    <row r="1683" ht="15.75" customHeight="1" spans="1:9">
      <c r="A1683" s="49"/>
      <c r="B1683" s="45" t="s">
        <v>1399</v>
      </c>
      <c r="C1683" s="78" t="s">
        <v>2948</v>
      </c>
      <c r="D1683" s="78" t="s">
        <v>2949</v>
      </c>
      <c r="E1683" s="49"/>
      <c r="F1683" s="49"/>
      <c r="G1683" s="49"/>
      <c r="H1683" s="49"/>
      <c r="I1683" s="49"/>
    </row>
    <row r="1684" ht="15.75" customHeight="1" spans="1:9">
      <c r="A1684" s="49"/>
      <c r="B1684" s="45" t="s">
        <v>1399</v>
      </c>
      <c r="C1684" s="78" t="s">
        <v>2950</v>
      </c>
      <c r="D1684" s="78" t="s">
        <v>2951</v>
      </c>
      <c r="E1684" s="49"/>
      <c r="F1684" s="49"/>
      <c r="G1684" s="49"/>
      <c r="H1684" s="49"/>
      <c r="I1684" s="49"/>
    </row>
    <row r="1685" ht="15.75" customHeight="1" spans="1:9">
      <c r="A1685" s="49"/>
      <c r="B1685" s="45" t="s">
        <v>1399</v>
      </c>
      <c r="C1685" s="78" t="s">
        <v>2952</v>
      </c>
      <c r="D1685" s="78" t="s">
        <v>2953</v>
      </c>
      <c r="E1685" s="49"/>
      <c r="F1685" s="49"/>
      <c r="G1685" s="49"/>
      <c r="H1685" s="49"/>
      <c r="I1685" s="49"/>
    </row>
    <row r="1686" ht="15.75" customHeight="1" spans="1:9">
      <c r="A1686" s="49"/>
      <c r="B1686" s="45" t="s">
        <v>1399</v>
      </c>
      <c r="C1686" s="78" t="s">
        <v>2954</v>
      </c>
      <c r="D1686" s="78" t="s">
        <v>2955</v>
      </c>
      <c r="E1686" s="49"/>
      <c r="F1686" s="49"/>
      <c r="G1686" s="49"/>
      <c r="H1686" s="49"/>
      <c r="I1686" s="49"/>
    </row>
    <row r="1687" ht="15.75" customHeight="1" spans="1:9">
      <c r="A1687" s="49"/>
      <c r="B1687" s="45" t="s">
        <v>1399</v>
      </c>
      <c r="C1687" s="78" t="s">
        <v>2956</v>
      </c>
      <c r="D1687" s="78" t="s">
        <v>2957</v>
      </c>
      <c r="E1687" s="49"/>
      <c r="F1687" s="49"/>
      <c r="G1687" s="49"/>
      <c r="H1687" s="49"/>
      <c r="I1687" s="49"/>
    </row>
    <row r="1688" ht="15.75" customHeight="1" spans="1:9">
      <c r="A1688" s="49"/>
      <c r="B1688" s="45" t="s">
        <v>1399</v>
      </c>
      <c r="C1688" s="78" t="s">
        <v>2958</v>
      </c>
      <c r="D1688" s="78" t="s">
        <v>2959</v>
      </c>
      <c r="E1688" s="49"/>
      <c r="F1688" s="49"/>
      <c r="G1688" s="49"/>
      <c r="H1688" s="49"/>
      <c r="I1688" s="49"/>
    </row>
    <row r="1689" ht="15.75" customHeight="1" spans="1:9">
      <c r="A1689" s="49"/>
      <c r="B1689" s="45" t="s">
        <v>1399</v>
      </c>
      <c r="C1689" s="78" t="s">
        <v>2960</v>
      </c>
      <c r="D1689" s="78" t="s">
        <v>2961</v>
      </c>
      <c r="E1689" s="49"/>
      <c r="F1689" s="49"/>
      <c r="G1689" s="49"/>
      <c r="H1689" s="49"/>
      <c r="I1689" s="49"/>
    </row>
    <row r="1690" ht="15.75" customHeight="1" spans="1:9">
      <c r="A1690" s="49"/>
      <c r="B1690" s="45" t="s">
        <v>1399</v>
      </c>
      <c r="C1690" s="78" t="s">
        <v>2962</v>
      </c>
      <c r="D1690" s="78" t="s">
        <v>2963</v>
      </c>
      <c r="E1690" s="49"/>
      <c r="F1690" s="49"/>
      <c r="G1690" s="49"/>
      <c r="H1690" s="49"/>
      <c r="I1690" s="49"/>
    </row>
    <row r="1691" ht="15.75" customHeight="1" spans="1:9">
      <c r="A1691" s="49"/>
      <c r="B1691" s="45" t="s">
        <v>1399</v>
      </c>
      <c r="C1691" s="78" t="s">
        <v>2964</v>
      </c>
      <c r="D1691" s="78" t="s">
        <v>2965</v>
      </c>
      <c r="E1691" s="49"/>
      <c r="F1691" s="49"/>
      <c r="G1691" s="49"/>
      <c r="H1691" s="49"/>
      <c r="I1691" s="49"/>
    </row>
    <row r="1692" ht="15.75" customHeight="1" spans="1:9">
      <c r="A1692" s="49"/>
      <c r="B1692" s="45" t="s">
        <v>1399</v>
      </c>
      <c r="C1692" s="78" t="s">
        <v>2966</v>
      </c>
      <c r="D1692" s="78" t="s">
        <v>2967</v>
      </c>
      <c r="E1692" s="49"/>
      <c r="F1692" s="49"/>
      <c r="G1692" s="49"/>
      <c r="H1692" s="49"/>
      <c r="I1692" s="49"/>
    </row>
    <row r="1693" ht="15.75" customHeight="1" spans="1:9">
      <c r="A1693" s="49"/>
      <c r="B1693" s="45" t="s">
        <v>1399</v>
      </c>
      <c r="C1693" s="78" t="s">
        <v>2968</v>
      </c>
      <c r="D1693" s="78" t="s">
        <v>2969</v>
      </c>
      <c r="E1693" s="49"/>
      <c r="F1693" s="49"/>
      <c r="G1693" s="49"/>
      <c r="H1693" s="49"/>
      <c r="I1693" s="49"/>
    </row>
    <row r="1694" ht="15.75" customHeight="1" spans="1:9">
      <c r="A1694" s="49"/>
      <c r="B1694" s="45" t="s">
        <v>1399</v>
      </c>
      <c r="C1694" s="78" t="s">
        <v>2970</v>
      </c>
      <c r="D1694" s="78" t="s">
        <v>2971</v>
      </c>
      <c r="E1694" s="49"/>
      <c r="F1694" s="49"/>
      <c r="G1694" s="49"/>
      <c r="H1694" s="49"/>
      <c r="I1694" s="49"/>
    </row>
    <row r="1695" ht="15.75" customHeight="1" spans="1:9">
      <c r="A1695" s="49"/>
      <c r="B1695" s="45" t="s">
        <v>1399</v>
      </c>
      <c r="C1695" s="78" t="s">
        <v>2972</v>
      </c>
      <c r="D1695" s="78" t="s">
        <v>2973</v>
      </c>
      <c r="E1695" s="49"/>
      <c r="F1695" s="49"/>
      <c r="G1695" s="49"/>
      <c r="H1695" s="49"/>
      <c r="I1695" s="49"/>
    </row>
    <row r="1696" ht="15.75" customHeight="1" spans="1:9">
      <c r="A1696" s="49"/>
      <c r="B1696" s="45" t="s">
        <v>1399</v>
      </c>
      <c r="C1696" s="78" t="s">
        <v>2974</v>
      </c>
      <c r="D1696" s="78" t="s">
        <v>2975</v>
      </c>
      <c r="E1696" s="49"/>
      <c r="F1696" s="49"/>
      <c r="G1696" s="49"/>
      <c r="H1696" s="49"/>
      <c r="I1696" s="49"/>
    </row>
    <row r="1697" ht="15.75" customHeight="1" spans="1:9">
      <c r="A1697" s="49"/>
      <c r="B1697" s="45" t="s">
        <v>1399</v>
      </c>
      <c r="C1697" s="78" t="s">
        <v>2976</v>
      </c>
      <c r="D1697" s="78" t="s">
        <v>2977</v>
      </c>
      <c r="E1697" s="49"/>
      <c r="F1697" s="49"/>
      <c r="G1697" s="49"/>
      <c r="H1697" s="49"/>
      <c r="I1697" s="49"/>
    </row>
    <row r="1698" ht="15.75" customHeight="1" spans="1:9">
      <c r="A1698" s="49"/>
      <c r="B1698" s="45" t="s">
        <v>1399</v>
      </c>
      <c r="C1698" s="78" t="s">
        <v>2978</v>
      </c>
      <c r="D1698" s="78" t="s">
        <v>2979</v>
      </c>
      <c r="E1698" s="49"/>
      <c r="F1698" s="49"/>
      <c r="G1698" s="49"/>
      <c r="H1698" s="49"/>
      <c r="I1698" s="49"/>
    </row>
    <row r="1699" ht="15.75" customHeight="1" spans="1:9">
      <c r="A1699" s="49"/>
      <c r="B1699" s="45" t="s">
        <v>1399</v>
      </c>
      <c r="C1699" s="78" t="s">
        <v>2980</v>
      </c>
      <c r="D1699" s="78" t="s">
        <v>2981</v>
      </c>
      <c r="E1699" s="49"/>
      <c r="F1699" s="49"/>
      <c r="G1699" s="49"/>
      <c r="H1699" s="49"/>
      <c r="I1699" s="49"/>
    </row>
    <row r="1700" ht="15.75" customHeight="1" spans="1:9">
      <c r="A1700" s="49"/>
      <c r="B1700" s="45" t="s">
        <v>1399</v>
      </c>
      <c r="C1700" s="78" t="s">
        <v>2982</v>
      </c>
      <c r="D1700" s="78" t="s">
        <v>2983</v>
      </c>
      <c r="E1700" s="49"/>
      <c r="F1700" s="49"/>
      <c r="G1700" s="49"/>
      <c r="H1700" s="49"/>
      <c r="I1700" s="49"/>
    </row>
    <row r="1701" ht="15.75" customHeight="1" spans="1:9">
      <c r="A1701" s="49"/>
      <c r="B1701" s="45" t="s">
        <v>1399</v>
      </c>
      <c r="C1701" s="78" t="s">
        <v>2984</v>
      </c>
      <c r="D1701" s="78" t="s">
        <v>2985</v>
      </c>
      <c r="E1701" s="49"/>
      <c r="F1701" s="49"/>
      <c r="G1701" s="49"/>
      <c r="H1701" s="49"/>
      <c r="I1701" s="49"/>
    </row>
    <row r="1702" ht="15.75" customHeight="1" spans="1:9">
      <c r="A1702" s="49"/>
      <c r="B1702" s="45" t="s">
        <v>1399</v>
      </c>
      <c r="C1702" s="78" t="s">
        <v>2986</v>
      </c>
      <c r="D1702" s="78" t="s">
        <v>2987</v>
      </c>
      <c r="E1702" s="49"/>
      <c r="F1702" s="49"/>
      <c r="G1702" s="49"/>
      <c r="H1702" s="49"/>
      <c r="I1702" s="49"/>
    </row>
    <row r="1703" ht="15.75" customHeight="1" spans="1:9">
      <c r="A1703" s="49"/>
      <c r="B1703" s="45" t="s">
        <v>1399</v>
      </c>
      <c r="C1703" s="78" t="s">
        <v>2988</v>
      </c>
      <c r="D1703" s="78" t="s">
        <v>2989</v>
      </c>
      <c r="E1703" s="49"/>
      <c r="F1703" s="49"/>
      <c r="G1703" s="49"/>
      <c r="H1703" s="49"/>
      <c r="I1703" s="49"/>
    </row>
    <row r="1704" ht="15.75" customHeight="1" spans="1:9">
      <c r="A1704" s="49"/>
      <c r="B1704" s="45" t="s">
        <v>1399</v>
      </c>
      <c r="C1704" s="78" t="s">
        <v>2990</v>
      </c>
      <c r="D1704" s="78" t="s">
        <v>2991</v>
      </c>
      <c r="E1704" s="49"/>
      <c r="F1704" s="49"/>
      <c r="G1704" s="49"/>
      <c r="H1704" s="49"/>
      <c r="I1704" s="49"/>
    </row>
    <row r="1705" ht="15.75" customHeight="1" spans="1:9">
      <c r="A1705" s="49"/>
      <c r="B1705" s="45" t="s">
        <v>1399</v>
      </c>
      <c r="C1705" s="78" t="s">
        <v>2992</v>
      </c>
      <c r="D1705" s="78" t="s">
        <v>2993</v>
      </c>
      <c r="E1705" s="49"/>
      <c r="F1705" s="49"/>
      <c r="G1705" s="49"/>
      <c r="H1705" s="49"/>
      <c r="I1705" s="49"/>
    </row>
    <row r="1706" ht="15.75" customHeight="1" spans="1:9">
      <c r="A1706" s="49"/>
      <c r="B1706" s="45" t="s">
        <v>1399</v>
      </c>
      <c r="C1706" s="78" t="s">
        <v>2994</v>
      </c>
      <c r="D1706" s="78" t="s">
        <v>2995</v>
      </c>
      <c r="E1706" s="49"/>
      <c r="F1706" s="49"/>
      <c r="G1706" s="49"/>
      <c r="H1706" s="49"/>
      <c r="I1706" s="49"/>
    </row>
    <row r="1707" ht="15.75" customHeight="1" spans="1:9">
      <c r="A1707" s="49"/>
      <c r="B1707" s="45" t="s">
        <v>1399</v>
      </c>
      <c r="C1707" s="78" t="s">
        <v>2996</v>
      </c>
      <c r="D1707" s="78" t="s">
        <v>2997</v>
      </c>
      <c r="E1707" s="49"/>
      <c r="F1707" s="49"/>
      <c r="G1707" s="49"/>
      <c r="H1707" s="49"/>
      <c r="I1707" s="49"/>
    </row>
    <row r="1708" ht="15.75" customHeight="1" spans="1:9">
      <c r="A1708" s="49"/>
      <c r="B1708" s="45" t="s">
        <v>1399</v>
      </c>
      <c r="C1708" s="78" t="s">
        <v>2998</v>
      </c>
      <c r="D1708" s="78" t="s">
        <v>2999</v>
      </c>
      <c r="E1708" s="49"/>
      <c r="F1708" s="49"/>
      <c r="G1708" s="49"/>
      <c r="H1708" s="49"/>
      <c r="I1708" s="49"/>
    </row>
    <row r="1709" ht="15.75" customHeight="1" spans="1:9">
      <c r="A1709" s="49"/>
      <c r="B1709" s="45" t="s">
        <v>1399</v>
      </c>
      <c r="C1709" s="78" t="s">
        <v>3000</v>
      </c>
      <c r="D1709" s="78" t="s">
        <v>3001</v>
      </c>
      <c r="E1709" s="49"/>
      <c r="F1709" s="49"/>
      <c r="G1709" s="49"/>
      <c r="H1709" s="49"/>
      <c r="I1709" s="49"/>
    </row>
    <row r="1710" ht="15.75" customHeight="1" spans="1:9">
      <c r="A1710" s="49"/>
      <c r="B1710" s="45" t="s">
        <v>1399</v>
      </c>
      <c r="C1710" s="78" t="s">
        <v>3002</v>
      </c>
      <c r="D1710" s="78" t="s">
        <v>3003</v>
      </c>
      <c r="E1710" s="49"/>
      <c r="F1710" s="49"/>
      <c r="G1710" s="49"/>
      <c r="H1710" s="49"/>
      <c r="I1710" s="49"/>
    </row>
    <row r="1711" ht="15.75" customHeight="1" spans="1:9">
      <c r="A1711" s="49"/>
      <c r="B1711" s="45" t="s">
        <v>1399</v>
      </c>
      <c r="C1711" s="78" t="s">
        <v>3004</v>
      </c>
      <c r="D1711" s="78" t="s">
        <v>3005</v>
      </c>
      <c r="E1711" s="49"/>
      <c r="F1711" s="49"/>
      <c r="G1711" s="49"/>
      <c r="H1711" s="49"/>
      <c r="I1711" s="49"/>
    </row>
    <row r="1712" ht="15.75" customHeight="1" spans="1:9">
      <c r="A1712" s="49"/>
      <c r="B1712" s="45" t="s">
        <v>1399</v>
      </c>
      <c r="C1712" s="78" t="s">
        <v>3006</v>
      </c>
      <c r="D1712" s="78" t="s">
        <v>3007</v>
      </c>
      <c r="E1712" s="49"/>
      <c r="F1712" s="49"/>
      <c r="G1712" s="49"/>
      <c r="H1712" s="49"/>
      <c r="I1712" s="49"/>
    </row>
    <row r="1713" ht="15.75" customHeight="1" spans="1:9">
      <c r="A1713" s="49"/>
      <c r="B1713" s="45" t="s">
        <v>1399</v>
      </c>
      <c r="C1713" s="78" t="s">
        <v>3008</v>
      </c>
      <c r="D1713" s="78" t="s">
        <v>3009</v>
      </c>
      <c r="E1713" s="49"/>
      <c r="F1713" s="49"/>
      <c r="G1713" s="49"/>
      <c r="H1713" s="49"/>
      <c r="I1713" s="49"/>
    </row>
    <row r="1714" ht="15.75" customHeight="1" spans="1:9">
      <c r="A1714" s="49"/>
      <c r="B1714" s="45" t="s">
        <v>1399</v>
      </c>
      <c r="C1714" s="78" t="s">
        <v>3010</v>
      </c>
      <c r="D1714" s="78" t="s">
        <v>3011</v>
      </c>
      <c r="E1714" s="49"/>
      <c r="F1714" s="49"/>
      <c r="G1714" s="49"/>
      <c r="H1714" s="49"/>
      <c r="I1714" s="49"/>
    </row>
    <row r="1715" ht="15.75" customHeight="1" spans="1:9">
      <c r="A1715" s="49"/>
      <c r="B1715" s="45" t="s">
        <v>1399</v>
      </c>
      <c r="C1715" s="78" t="s">
        <v>3012</v>
      </c>
      <c r="D1715" s="78" t="s">
        <v>3013</v>
      </c>
      <c r="E1715" s="49"/>
      <c r="F1715" s="49"/>
      <c r="G1715" s="49"/>
      <c r="H1715" s="49"/>
      <c r="I1715" s="49"/>
    </row>
    <row r="1716" ht="15.75" customHeight="1" spans="1:9">
      <c r="A1716" s="49"/>
      <c r="B1716" s="45" t="s">
        <v>1399</v>
      </c>
      <c r="C1716" s="78" t="s">
        <v>3014</v>
      </c>
      <c r="D1716" s="78" t="s">
        <v>3015</v>
      </c>
      <c r="E1716" s="49"/>
      <c r="F1716" s="49"/>
      <c r="G1716" s="49"/>
      <c r="H1716" s="49"/>
      <c r="I1716" s="49"/>
    </row>
    <row r="1717" ht="15.75" customHeight="1" spans="1:9">
      <c r="A1717" s="49"/>
      <c r="B1717" s="45" t="s">
        <v>1399</v>
      </c>
      <c r="C1717" s="78" t="s">
        <v>3016</v>
      </c>
      <c r="D1717" s="78" t="s">
        <v>3017</v>
      </c>
      <c r="E1717" s="49"/>
      <c r="F1717" s="49"/>
      <c r="G1717" s="49"/>
      <c r="H1717" s="49"/>
      <c r="I1717" s="49"/>
    </row>
    <row r="1718" ht="15.75" customHeight="1" spans="1:9">
      <c r="A1718" s="49"/>
      <c r="B1718" s="45" t="s">
        <v>1399</v>
      </c>
      <c r="C1718" s="78" t="s">
        <v>3018</v>
      </c>
      <c r="D1718" s="78" t="s">
        <v>3019</v>
      </c>
      <c r="E1718" s="49"/>
      <c r="F1718" s="49"/>
      <c r="G1718" s="49"/>
      <c r="H1718" s="49"/>
      <c r="I1718" s="49"/>
    </row>
    <row r="1719" ht="15.75" customHeight="1" spans="1:9">
      <c r="A1719" s="49"/>
      <c r="B1719" s="45" t="s">
        <v>1399</v>
      </c>
      <c r="C1719" s="78" t="s">
        <v>3020</v>
      </c>
      <c r="D1719" s="78" t="s">
        <v>3021</v>
      </c>
      <c r="E1719" s="49"/>
      <c r="F1719" s="49"/>
      <c r="G1719" s="49"/>
      <c r="H1719" s="49"/>
      <c r="I1719" s="49"/>
    </row>
    <row r="1720" ht="15.75" customHeight="1" spans="1:9">
      <c r="A1720" s="49"/>
      <c r="B1720" s="45" t="s">
        <v>1399</v>
      </c>
      <c r="C1720" s="78" t="s">
        <v>3022</v>
      </c>
      <c r="D1720" s="78" t="s">
        <v>3023</v>
      </c>
      <c r="E1720" s="49"/>
      <c r="F1720" s="49"/>
      <c r="G1720" s="49"/>
      <c r="H1720" s="49"/>
      <c r="I1720" s="49"/>
    </row>
    <row r="1721" ht="15.75" customHeight="1" spans="1:9">
      <c r="A1721" s="49"/>
      <c r="B1721" s="45" t="s">
        <v>1399</v>
      </c>
      <c r="C1721" s="78" t="s">
        <v>3024</v>
      </c>
      <c r="D1721" s="78" t="s">
        <v>3025</v>
      </c>
      <c r="E1721" s="49"/>
      <c r="F1721" s="49"/>
      <c r="G1721" s="49"/>
      <c r="H1721" s="49"/>
      <c r="I1721" s="49"/>
    </row>
    <row r="1722" ht="15.75" customHeight="1" spans="1:9">
      <c r="A1722" s="49"/>
      <c r="B1722" s="45" t="s">
        <v>1399</v>
      </c>
      <c r="C1722" s="78" t="s">
        <v>3026</v>
      </c>
      <c r="D1722" s="78" t="s">
        <v>3027</v>
      </c>
      <c r="E1722" s="49"/>
      <c r="F1722" s="49"/>
      <c r="G1722" s="49"/>
      <c r="H1722" s="49"/>
      <c r="I1722" s="49"/>
    </row>
    <row r="1723" ht="15.75" customHeight="1" spans="1:9">
      <c r="A1723" s="49"/>
      <c r="B1723" s="45" t="s">
        <v>1399</v>
      </c>
      <c r="C1723" s="78" t="s">
        <v>3028</v>
      </c>
      <c r="D1723" s="78" t="s">
        <v>3029</v>
      </c>
      <c r="E1723" s="49"/>
      <c r="F1723" s="49"/>
      <c r="G1723" s="49"/>
      <c r="H1723" s="49"/>
      <c r="I1723" s="49"/>
    </row>
    <row r="1724" ht="15.75" customHeight="1" spans="1:9">
      <c r="A1724" s="49"/>
      <c r="B1724" s="45" t="s">
        <v>1399</v>
      </c>
      <c r="C1724" s="78" t="s">
        <v>3030</v>
      </c>
      <c r="D1724" s="78" t="s">
        <v>3031</v>
      </c>
      <c r="E1724" s="49"/>
      <c r="F1724" s="49"/>
      <c r="G1724" s="49"/>
      <c r="H1724" s="49"/>
      <c r="I1724" s="49"/>
    </row>
    <row r="1725" ht="15.75" customHeight="1" spans="1:9">
      <c r="A1725" s="49"/>
      <c r="B1725" s="45" t="s">
        <v>1399</v>
      </c>
      <c r="C1725" s="78" t="s">
        <v>3032</v>
      </c>
      <c r="D1725" s="78" t="s">
        <v>3033</v>
      </c>
      <c r="E1725" s="49"/>
      <c r="F1725" s="49"/>
      <c r="G1725" s="49"/>
      <c r="H1725" s="49"/>
      <c r="I1725" s="49"/>
    </row>
    <row r="1726" ht="15.75" customHeight="1" spans="1:9">
      <c r="A1726" s="49"/>
      <c r="B1726" s="45" t="s">
        <v>1399</v>
      </c>
      <c r="C1726" s="78" t="s">
        <v>3034</v>
      </c>
      <c r="D1726" s="78" t="s">
        <v>3035</v>
      </c>
      <c r="E1726" s="49"/>
      <c r="F1726" s="49"/>
      <c r="G1726" s="49"/>
      <c r="H1726" s="49"/>
      <c r="I1726" s="49"/>
    </row>
    <row r="1727" ht="15.75" customHeight="1" spans="1:9">
      <c r="A1727" s="49"/>
      <c r="B1727" s="45" t="s">
        <v>1399</v>
      </c>
      <c r="C1727" s="78" t="s">
        <v>3036</v>
      </c>
      <c r="D1727" s="78" t="s">
        <v>3037</v>
      </c>
      <c r="E1727" s="49"/>
      <c r="F1727" s="49"/>
      <c r="G1727" s="49"/>
      <c r="H1727" s="49"/>
      <c r="I1727" s="49"/>
    </row>
    <row r="1728" ht="15.75" customHeight="1" spans="1:9">
      <c r="A1728" s="49"/>
      <c r="B1728" s="45" t="s">
        <v>1399</v>
      </c>
      <c r="C1728" s="78" t="s">
        <v>3038</v>
      </c>
      <c r="D1728" s="78" t="s">
        <v>3039</v>
      </c>
      <c r="E1728" s="49"/>
      <c r="F1728" s="49"/>
      <c r="G1728" s="49"/>
      <c r="H1728" s="49"/>
      <c r="I1728" s="49"/>
    </row>
    <row r="1729" ht="15.75" customHeight="1" spans="1:9">
      <c r="A1729" s="49"/>
      <c r="B1729" s="45" t="s">
        <v>1399</v>
      </c>
      <c r="C1729" s="78" t="s">
        <v>3040</v>
      </c>
      <c r="D1729" s="78" t="s">
        <v>3041</v>
      </c>
      <c r="E1729" s="49"/>
      <c r="F1729" s="49"/>
      <c r="G1729" s="49"/>
      <c r="H1729" s="49"/>
      <c r="I1729" s="49"/>
    </row>
    <row r="1730" ht="15.75" customHeight="1" spans="1:9">
      <c r="A1730" s="49"/>
      <c r="B1730" s="45" t="s">
        <v>1399</v>
      </c>
      <c r="C1730" s="78" t="s">
        <v>3042</v>
      </c>
      <c r="D1730" s="78" t="s">
        <v>3043</v>
      </c>
      <c r="E1730" s="49"/>
      <c r="F1730" s="49"/>
      <c r="G1730" s="49"/>
      <c r="H1730" s="49"/>
      <c r="I1730" s="49"/>
    </row>
    <row r="1731" ht="15.75" customHeight="1" spans="1:9">
      <c r="A1731" s="49"/>
      <c r="B1731" s="45" t="s">
        <v>1399</v>
      </c>
      <c r="C1731" s="78" t="s">
        <v>3044</v>
      </c>
      <c r="D1731" s="78" t="s">
        <v>3045</v>
      </c>
      <c r="E1731" s="49"/>
      <c r="F1731" s="49"/>
      <c r="G1731" s="49"/>
      <c r="H1731" s="49"/>
      <c r="I1731" s="49"/>
    </row>
    <row r="1732" ht="15.75" customHeight="1" spans="1:9">
      <c r="A1732" s="49"/>
      <c r="B1732" s="45" t="s">
        <v>1399</v>
      </c>
      <c r="C1732" s="78" t="s">
        <v>3046</v>
      </c>
      <c r="D1732" s="78" t="s">
        <v>3047</v>
      </c>
      <c r="E1732" s="49"/>
      <c r="F1732" s="49"/>
      <c r="G1732" s="49"/>
      <c r="H1732" s="49"/>
      <c r="I1732" s="49"/>
    </row>
    <row r="1733" ht="15.75" customHeight="1" spans="1:9">
      <c r="A1733" s="49"/>
      <c r="B1733" s="45" t="s">
        <v>1399</v>
      </c>
      <c r="C1733" s="78" t="s">
        <v>3048</v>
      </c>
      <c r="D1733" s="78" t="s">
        <v>3049</v>
      </c>
      <c r="E1733" s="49"/>
      <c r="F1733" s="49"/>
      <c r="G1733" s="49"/>
      <c r="H1733" s="49"/>
      <c r="I1733" s="49"/>
    </row>
    <row r="1734" ht="15.75" customHeight="1" spans="1:9">
      <c r="A1734" s="49"/>
      <c r="B1734" s="45" t="s">
        <v>1399</v>
      </c>
      <c r="C1734" s="78" t="s">
        <v>3050</v>
      </c>
      <c r="D1734" s="78" t="s">
        <v>3051</v>
      </c>
      <c r="E1734" s="49"/>
      <c r="F1734" s="49"/>
      <c r="G1734" s="49"/>
      <c r="H1734" s="49"/>
      <c r="I1734" s="49"/>
    </row>
    <row r="1735" ht="15.75" customHeight="1" spans="1:9">
      <c r="A1735" s="49"/>
      <c r="B1735" s="45" t="s">
        <v>1399</v>
      </c>
      <c r="C1735" s="78" t="s">
        <v>3052</v>
      </c>
      <c r="D1735" s="78" t="s">
        <v>3053</v>
      </c>
      <c r="E1735" s="49"/>
      <c r="F1735" s="49"/>
      <c r="G1735" s="49"/>
      <c r="H1735" s="49"/>
      <c r="I1735" s="49"/>
    </row>
    <row r="1736" ht="15.75" customHeight="1" spans="1:9">
      <c r="A1736" s="49"/>
      <c r="B1736" s="45" t="s">
        <v>1399</v>
      </c>
      <c r="C1736" s="78" t="s">
        <v>3054</v>
      </c>
      <c r="D1736" s="78" t="s">
        <v>3055</v>
      </c>
      <c r="E1736" s="49"/>
      <c r="F1736" s="49"/>
      <c r="G1736" s="49"/>
      <c r="H1736" s="49"/>
      <c r="I1736" s="49"/>
    </row>
    <row r="1737" ht="15.75" customHeight="1" spans="1:9">
      <c r="A1737" s="49"/>
      <c r="B1737" s="45" t="s">
        <v>1399</v>
      </c>
      <c r="C1737" s="78" t="s">
        <v>3056</v>
      </c>
      <c r="D1737" s="78" t="s">
        <v>3057</v>
      </c>
      <c r="E1737" s="49"/>
      <c r="F1737" s="49"/>
      <c r="G1737" s="49"/>
      <c r="H1737" s="49"/>
      <c r="I1737" s="49"/>
    </row>
    <row r="1738" ht="15.75" customHeight="1" spans="1:9">
      <c r="A1738" s="49"/>
      <c r="B1738" s="45" t="s">
        <v>1399</v>
      </c>
      <c r="C1738" s="78" t="s">
        <v>3058</v>
      </c>
      <c r="D1738" s="78" t="s">
        <v>3059</v>
      </c>
      <c r="E1738" s="49"/>
      <c r="F1738" s="49"/>
      <c r="G1738" s="49"/>
      <c r="H1738" s="49"/>
      <c r="I1738" s="49"/>
    </row>
    <row r="1739" ht="15.75" customHeight="1" spans="1:9">
      <c r="A1739" s="49"/>
      <c r="B1739" s="45" t="s">
        <v>1399</v>
      </c>
      <c r="C1739" s="78" t="s">
        <v>3060</v>
      </c>
      <c r="D1739" s="78" t="s">
        <v>3061</v>
      </c>
      <c r="E1739" s="49"/>
      <c r="F1739" s="49"/>
      <c r="G1739" s="49"/>
      <c r="H1739" s="49"/>
      <c r="I1739" s="49"/>
    </row>
    <row r="1740" ht="15.75" customHeight="1" spans="1:9">
      <c r="A1740" s="49"/>
      <c r="B1740" s="45" t="s">
        <v>1399</v>
      </c>
      <c r="C1740" s="78" t="s">
        <v>3062</v>
      </c>
      <c r="D1740" s="78" t="s">
        <v>3063</v>
      </c>
      <c r="E1740" s="49"/>
      <c r="F1740" s="49"/>
      <c r="G1740" s="49"/>
      <c r="H1740" s="49"/>
      <c r="I1740" s="49"/>
    </row>
    <row r="1741" ht="15.75" customHeight="1" spans="1:9">
      <c r="A1741" s="49"/>
      <c r="B1741" s="45" t="s">
        <v>1399</v>
      </c>
      <c r="C1741" s="78" t="s">
        <v>3064</v>
      </c>
      <c r="D1741" s="78" t="s">
        <v>3065</v>
      </c>
      <c r="E1741" s="49"/>
      <c r="F1741" s="49"/>
      <c r="G1741" s="49"/>
      <c r="H1741" s="49"/>
      <c r="I1741" s="49"/>
    </row>
    <row r="1742" ht="15.75" customHeight="1" spans="1:9">
      <c r="A1742" s="49"/>
      <c r="B1742" s="45" t="s">
        <v>1399</v>
      </c>
      <c r="C1742" s="78" t="s">
        <v>3066</v>
      </c>
      <c r="D1742" s="78" t="s">
        <v>3067</v>
      </c>
      <c r="E1742" s="49"/>
      <c r="F1742" s="49"/>
      <c r="G1742" s="49"/>
      <c r="H1742" s="49"/>
      <c r="I1742" s="49"/>
    </row>
    <row r="1743" ht="15.75" customHeight="1" spans="1:9">
      <c r="A1743" s="49"/>
      <c r="B1743" s="45" t="s">
        <v>1399</v>
      </c>
      <c r="C1743" s="78" t="s">
        <v>3068</v>
      </c>
      <c r="D1743" s="78" t="s">
        <v>3069</v>
      </c>
      <c r="E1743" s="49"/>
      <c r="F1743" s="49"/>
      <c r="G1743" s="49"/>
      <c r="H1743" s="49"/>
      <c r="I1743" s="49"/>
    </row>
    <row r="1744" ht="15.75" customHeight="1" spans="1:9">
      <c r="A1744" s="49"/>
      <c r="B1744" s="45" t="s">
        <v>1399</v>
      </c>
      <c r="C1744" s="78" t="s">
        <v>3070</v>
      </c>
      <c r="D1744" s="78" t="s">
        <v>3071</v>
      </c>
      <c r="E1744" s="49"/>
      <c r="F1744" s="49"/>
      <c r="G1744" s="49"/>
      <c r="H1744" s="49"/>
      <c r="I1744" s="49"/>
    </row>
    <row r="1745" ht="15.75" customHeight="1" spans="1:9">
      <c r="A1745" s="49"/>
      <c r="B1745" s="45" t="s">
        <v>1399</v>
      </c>
      <c r="C1745" s="78" t="s">
        <v>3072</v>
      </c>
      <c r="D1745" s="78" t="s">
        <v>3073</v>
      </c>
      <c r="E1745" s="49"/>
      <c r="F1745" s="49"/>
      <c r="G1745" s="49"/>
      <c r="H1745" s="49"/>
      <c r="I1745" s="49"/>
    </row>
    <row r="1746" ht="15.75" customHeight="1" spans="1:9">
      <c r="A1746" s="49"/>
      <c r="B1746" s="45" t="s">
        <v>1399</v>
      </c>
      <c r="C1746" s="78" t="s">
        <v>3074</v>
      </c>
      <c r="D1746" s="78" t="s">
        <v>3075</v>
      </c>
      <c r="E1746" s="49"/>
      <c r="F1746" s="49"/>
      <c r="G1746" s="49"/>
      <c r="H1746" s="49"/>
      <c r="I1746" s="49"/>
    </row>
    <row r="1747" ht="15.75" customHeight="1" spans="1:9">
      <c r="A1747" s="49"/>
      <c r="B1747" s="45" t="s">
        <v>1399</v>
      </c>
      <c r="C1747" s="78" t="s">
        <v>3076</v>
      </c>
      <c r="D1747" s="78" t="s">
        <v>3077</v>
      </c>
      <c r="E1747" s="49"/>
      <c r="F1747" s="49"/>
      <c r="G1747" s="49"/>
      <c r="H1747" s="49"/>
      <c r="I1747" s="49"/>
    </row>
    <row r="1748" ht="15.75" customHeight="1" spans="1:9">
      <c r="A1748" s="49"/>
      <c r="B1748" s="45" t="s">
        <v>1399</v>
      </c>
      <c r="C1748" s="78" t="s">
        <v>3078</v>
      </c>
      <c r="D1748" s="78" t="s">
        <v>3079</v>
      </c>
      <c r="E1748" s="49"/>
      <c r="F1748" s="49"/>
      <c r="G1748" s="49"/>
      <c r="H1748" s="49"/>
      <c r="I1748" s="49"/>
    </row>
    <row r="1749" ht="15.75" customHeight="1" spans="1:9">
      <c r="A1749" s="49"/>
      <c r="B1749" s="45" t="s">
        <v>1399</v>
      </c>
      <c r="C1749" s="78" t="s">
        <v>3080</v>
      </c>
      <c r="D1749" s="78" t="s">
        <v>3081</v>
      </c>
      <c r="E1749" s="49"/>
      <c r="F1749" s="49"/>
      <c r="G1749" s="49"/>
      <c r="H1749" s="49"/>
      <c r="I1749" s="49"/>
    </row>
    <row r="1750" ht="15.75" customHeight="1" spans="1:9">
      <c r="A1750" s="49"/>
      <c r="B1750" s="45" t="s">
        <v>1399</v>
      </c>
      <c r="C1750" s="78" t="s">
        <v>3082</v>
      </c>
      <c r="D1750" s="78" t="s">
        <v>3083</v>
      </c>
      <c r="E1750" s="49"/>
      <c r="F1750" s="49"/>
      <c r="G1750" s="49"/>
      <c r="H1750" s="49"/>
      <c r="I1750" s="49"/>
    </row>
    <row r="1751" ht="15.75" customHeight="1" spans="1:9">
      <c r="A1751" s="49"/>
      <c r="B1751" s="45" t="s">
        <v>1399</v>
      </c>
      <c r="C1751" s="78" t="s">
        <v>3084</v>
      </c>
      <c r="D1751" s="78" t="s">
        <v>3085</v>
      </c>
      <c r="E1751" s="49"/>
      <c r="F1751" s="49"/>
      <c r="G1751" s="49"/>
      <c r="H1751" s="49"/>
      <c r="I1751" s="49"/>
    </row>
    <row r="1752" ht="15.75" customHeight="1" spans="1:9">
      <c r="A1752" s="49"/>
      <c r="B1752" s="45" t="s">
        <v>1399</v>
      </c>
      <c r="C1752" s="78" t="s">
        <v>3086</v>
      </c>
      <c r="D1752" s="78" t="s">
        <v>3087</v>
      </c>
      <c r="E1752" s="49"/>
      <c r="F1752" s="49"/>
      <c r="G1752" s="49"/>
      <c r="H1752" s="49"/>
      <c r="I1752" s="49"/>
    </row>
    <row r="1753" ht="15.75" customHeight="1" spans="1:9">
      <c r="A1753" s="49"/>
      <c r="B1753" s="45" t="s">
        <v>1399</v>
      </c>
      <c r="C1753" s="78" t="s">
        <v>3088</v>
      </c>
      <c r="D1753" s="78" t="s">
        <v>3089</v>
      </c>
      <c r="E1753" s="49"/>
      <c r="F1753" s="49"/>
      <c r="G1753" s="49"/>
      <c r="H1753" s="49"/>
      <c r="I1753" s="49"/>
    </row>
    <row r="1754" ht="15.75" customHeight="1" spans="1:9">
      <c r="A1754" s="49"/>
      <c r="B1754" s="45" t="s">
        <v>1399</v>
      </c>
      <c r="C1754" s="78" t="s">
        <v>3090</v>
      </c>
      <c r="D1754" s="78" t="s">
        <v>3091</v>
      </c>
      <c r="E1754" s="49"/>
      <c r="F1754" s="49"/>
      <c r="G1754" s="49"/>
      <c r="H1754" s="49"/>
      <c r="I1754" s="49"/>
    </row>
    <row r="1755" ht="15.75" customHeight="1" spans="1:9">
      <c r="A1755" s="49"/>
      <c r="B1755" s="45" t="s">
        <v>1399</v>
      </c>
      <c r="C1755" s="78" t="s">
        <v>3092</v>
      </c>
      <c r="D1755" s="78" t="s">
        <v>3093</v>
      </c>
      <c r="E1755" s="49"/>
      <c r="F1755" s="49"/>
      <c r="G1755" s="49"/>
      <c r="H1755" s="49"/>
      <c r="I1755" s="49"/>
    </row>
    <row r="1756" ht="15.75" customHeight="1" spans="1:9">
      <c r="A1756" s="49"/>
      <c r="B1756" s="45" t="s">
        <v>1399</v>
      </c>
      <c r="C1756" s="78" t="s">
        <v>3094</v>
      </c>
      <c r="D1756" s="78" t="s">
        <v>3095</v>
      </c>
      <c r="E1756" s="49"/>
      <c r="F1756" s="49"/>
      <c r="G1756" s="49"/>
      <c r="H1756" s="49"/>
      <c r="I1756" s="49"/>
    </row>
    <row r="1757" ht="15.75" customHeight="1" spans="1:9">
      <c r="A1757" s="49"/>
      <c r="B1757" s="45" t="s">
        <v>1399</v>
      </c>
      <c r="C1757" s="78" t="s">
        <v>3096</v>
      </c>
      <c r="D1757" s="78" t="s">
        <v>3097</v>
      </c>
      <c r="E1757" s="49"/>
      <c r="F1757" s="49"/>
      <c r="G1757" s="49"/>
      <c r="H1757" s="49"/>
      <c r="I1757" s="49"/>
    </row>
    <row r="1758" ht="15.75" customHeight="1" spans="1:9">
      <c r="A1758" s="49"/>
      <c r="B1758" s="45" t="s">
        <v>1399</v>
      </c>
      <c r="C1758" s="78" t="s">
        <v>3098</v>
      </c>
      <c r="D1758" s="78" t="s">
        <v>3099</v>
      </c>
      <c r="E1758" s="49"/>
      <c r="F1758" s="49"/>
      <c r="G1758" s="49"/>
      <c r="H1758" s="49"/>
      <c r="I1758" s="49"/>
    </row>
    <row r="1759" ht="15.75" customHeight="1" spans="1:9">
      <c r="A1759" s="49"/>
      <c r="B1759" s="45" t="s">
        <v>1399</v>
      </c>
      <c r="C1759" s="78" t="s">
        <v>3100</v>
      </c>
      <c r="D1759" s="78" t="s">
        <v>3101</v>
      </c>
      <c r="E1759" s="49"/>
      <c r="F1759" s="49"/>
      <c r="G1759" s="49"/>
      <c r="H1759" s="49"/>
      <c r="I1759" s="49"/>
    </row>
    <row r="1760" ht="15.75" customHeight="1" spans="1:9">
      <c r="A1760" s="49"/>
      <c r="B1760" s="45" t="s">
        <v>1399</v>
      </c>
      <c r="C1760" s="78" t="s">
        <v>3102</v>
      </c>
      <c r="D1760" s="78" t="s">
        <v>3103</v>
      </c>
      <c r="E1760" s="49"/>
      <c r="F1760" s="49"/>
      <c r="G1760" s="49"/>
      <c r="H1760" s="49"/>
      <c r="I1760" s="49"/>
    </row>
    <row r="1761" ht="15.75" customHeight="1" spans="1:9">
      <c r="A1761" s="49"/>
      <c r="B1761" s="45" t="s">
        <v>1399</v>
      </c>
      <c r="C1761" s="78" t="s">
        <v>3104</v>
      </c>
      <c r="D1761" s="78" t="s">
        <v>3105</v>
      </c>
      <c r="E1761" s="49"/>
      <c r="F1761" s="49"/>
      <c r="G1761" s="49"/>
      <c r="H1761" s="49"/>
      <c r="I1761" s="49"/>
    </row>
    <row r="1762" ht="15.75" customHeight="1" spans="1:9">
      <c r="A1762" s="49"/>
      <c r="B1762" s="45" t="s">
        <v>1399</v>
      </c>
      <c r="C1762" s="78" t="s">
        <v>3106</v>
      </c>
      <c r="D1762" s="78" t="s">
        <v>3107</v>
      </c>
      <c r="E1762" s="49"/>
      <c r="F1762" s="49"/>
      <c r="G1762" s="49"/>
      <c r="H1762" s="49"/>
      <c r="I1762" s="49"/>
    </row>
    <row r="1763" ht="15.75" customHeight="1" spans="1:9">
      <c r="A1763" s="49"/>
      <c r="B1763" s="45" t="s">
        <v>1399</v>
      </c>
      <c r="C1763" s="78" t="s">
        <v>3108</v>
      </c>
      <c r="D1763" s="78" t="s">
        <v>3109</v>
      </c>
      <c r="E1763" s="49"/>
      <c r="F1763" s="49"/>
      <c r="G1763" s="49"/>
      <c r="H1763" s="49"/>
      <c r="I1763" s="49"/>
    </row>
    <row r="1764" ht="15.75" customHeight="1" spans="1:9">
      <c r="A1764" s="49"/>
      <c r="B1764" s="45" t="s">
        <v>1399</v>
      </c>
      <c r="C1764" s="78" t="s">
        <v>3110</v>
      </c>
      <c r="D1764" s="78" t="s">
        <v>3111</v>
      </c>
      <c r="E1764" s="49"/>
      <c r="F1764" s="49"/>
      <c r="G1764" s="49"/>
      <c r="H1764" s="49"/>
      <c r="I1764" s="49"/>
    </row>
    <row r="1765" ht="15.75" customHeight="1" spans="1:9">
      <c r="A1765" s="49"/>
      <c r="B1765" s="45" t="s">
        <v>1399</v>
      </c>
      <c r="C1765" s="78" t="s">
        <v>3112</v>
      </c>
      <c r="D1765" s="78" t="s">
        <v>3113</v>
      </c>
      <c r="E1765" s="49"/>
      <c r="F1765" s="49"/>
      <c r="G1765" s="49"/>
      <c r="H1765" s="49"/>
      <c r="I1765" s="49"/>
    </row>
    <row r="1766" ht="15.75" customHeight="1" spans="1:9">
      <c r="A1766" s="49"/>
      <c r="B1766" s="45" t="s">
        <v>1399</v>
      </c>
      <c r="C1766" s="78" t="s">
        <v>3114</v>
      </c>
      <c r="D1766" s="78" t="s">
        <v>3115</v>
      </c>
      <c r="E1766" s="49"/>
      <c r="F1766" s="49"/>
      <c r="G1766" s="49"/>
      <c r="H1766" s="49"/>
      <c r="I1766" s="49"/>
    </row>
    <row r="1767" ht="15.75" customHeight="1" spans="1:9">
      <c r="A1767" s="49"/>
      <c r="B1767" s="45" t="s">
        <v>1399</v>
      </c>
      <c r="C1767" s="78" t="s">
        <v>3116</v>
      </c>
      <c r="D1767" s="78" t="s">
        <v>3117</v>
      </c>
      <c r="E1767" s="49"/>
      <c r="F1767" s="49"/>
      <c r="G1767" s="49"/>
      <c r="H1767" s="49"/>
      <c r="I1767" s="49"/>
    </row>
    <row r="1768" ht="15.75" customHeight="1" spans="1:9">
      <c r="A1768" s="49"/>
      <c r="B1768" s="45" t="s">
        <v>1399</v>
      </c>
      <c r="C1768" s="78" t="s">
        <v>3118</v>
      </c>
      <c r="D1768" s="78" t="s">
        <v>3119</v>
      </c>
      <c r="E1768" s="49"/>
      <c r="F1768" s="49"/>
      <c r="G1768" s="49"/>
      <c r="H1768" s="49"/>
      <c r="I1768" s="49"/>
    </row>
    <row r="1769" ht="15.75" customHeight="1" spans="1:9">
      <c r="A1769" s="49"/>
      <c r="B1769" s="45" t="s">
        <v>1399</v>
      </c>
      <c r="C1769" s="78" t="s">
        <v>3120</v>
      </c>
      <c r="D1769" s="78" t="s">
        <v>3121</v>
      </c>
      <c r="E1769" s="49"/>
      <c r="F1769" s="49"/>
      <c r="G1769" s="49"/>
      <c r="H1769" s="49"/>
      <c r="I1769" s="49"/>
    </row>
    <row r="1770" ht="15.75" customHeight="1" spans="1:9">
      <c r="A1770" s="49"/>
      <c r="B1770" s="45" t="s">
        <v>1399</v>
      </c>
      <c r="C1770" s="78" t="s">
        <v>3122</v>
      </c>
      <c r="D1770" s="78" t="s">
        <v>3123</v>
      </c>
      <c r="E1770" s="49"/>
      <c r="F1770" s="49"/>
      <c r="G1770" s="49"/>
      <c r="H1770" s="49"/>
      <c r="I1770" s="49"/>
    </row>
    <row r="1771" ht="15.75" customHeight="1" spans="1:9">
      <c r="A1771" s="49"/>
      <c r="B1771" s="45" t="s">
        <v>1399</v>
      </c>
      <c r="C1771" s="78" t="s">
        <v>3124</v>
      </c>
      <c r="D1771" s="78" t="s">
        <v>3125</v>
      </c>
      <c r="E1771" s="49"/>
      <c r="F1771" s="49"/>
      <c r="G1771" s="49"/>
      <c r="H1771" s="49"/>
      <c r="I1771" s="49"/>
    </row>
    <row r="1772" ht="15.75" customHeight="1" spans="1:9">
      <c r="A1772" s="49"/>
      <c r="B1772" s="45" t="s">
        <v>1399</v>
      </c>
      <c r="C1772" s="78" t="s">
        <v>3126</v>
      </c>
      <c r="D1772" s="78" t="s">
        <v>3127</v>
      </c>
      <c r="E1772" s="49"/>
      <c r="F1772" s="49"/>
      <c r="G1772" s="49"/>
      <c r="H1772" s="49"/>
      <c r="I1772" s="49"/>
    </row>
    <row r="1773" ht="15.75" customHeight="1" spans="1:9">
      <c r="A1773" s="49"/>
      <c r="B1773" s="45" t="s">
        <v>1399</v>
      </c>
      <c r="C1773" s="78" t="s">
        <v>3128</v>
      </c>
      <c r="D1773" s="78" t="s">
        <v>3129</v>
      </c>
      <c r="E1773" s="49"/>
      <c r="F1773" s="49"/>
      <c r="G1773" s="49"/>
      <c r="H1773" s="49"/>
      <c r="I1773" s="49"/>
    </row>
    <row r="1774" ht="15.75" customHeight="1" spans="1:9">
      <c r="A1774" s="49"/>
      <c r="B1774" s="45" t="s">
        <v>1399</v>
      </c>
      <c r="C1774" s="78" t="s">
        <v>3130</v>
      </c>
      <c r="D1774" s="78" t="s">
        <v>3131</v>
      </c>
      <c r="E1774" s="49"/>
      <c r="F1774" s="49"/>
      <c r="G1774" s="49"/>
      <c r="H1774" s="49"/>
      <c r="I1774" s="49"/>
    </row>
    <row r="1775" ht="15.75" customHeight="1" spans="1:9">
      <c r="A1775" s="49"/>
      <c r="B1775" s="45" t="s">
        <v>1399</v>
      </c>
      <c r="C1775" s="78" t="s">
        <v>3132</v>
      </c>
      <c r="D1775" s="78" t="s">
        <v>3133</v>
      </c>
      <c r="E1775" s="49"/>
      <c r="F1775" s="49"/>
      <c r="G1775" s="49"/>
      <c r="H1775" s="49"/>
      <c r="I1775" s="49"/>
    </row>
    <row r="1776" ht="15.75" customHeight="1" spans="1:9">
      <c r="A1776" s="49"/>
      <c r="B1776" s="45" t="s">
        <v>1399</v>
      </c>
      <c r="C1776" s="78" t="s">
        <v>3134</v>
      </c>
      <c r="D1776" s="78" t="s">
        <v>3135</v>
      </c>
      <c r="E1776" s="49"/>
      <c r="F1776" s="49"/>
      <c r="G1776" s="49"/>
      <c r="H1776" s="49"/>
      <c r="I1776" s="49"/>
    </row>
    <row r="1777" ht="15.75" customHeight="1" spans="1:9">
      <c r="A1777" s="49"/>
      <c r="B1777" s="45" t="s">
        <v>1399</v>
      </c>
      <c r="C1777" s="78" t="s">
        <v>3136</v>
      </c>
      <c r="D1777" s="78" t="s">
        <v>3137</v>
      </c>
      <c r="E1777" s="49"/>
      <c r="F1777" s="49"/>
      <c r="G1777" s="49"/>
      <c r="H1777" s="49"/>
      <c r="I1777" s="49"/>
    </row>
    <row r="1778" ht="15.75" customHeight="1" spans="1:9">
      <c r="A1778" s="49"/>
      <c r="B1778" s="45" t="s">
        <v>1399</v>
      </c>
      <c r="C1778" s="78" t="s">
        <v>3138</v>
      </c>
      <c r="D1778" s="78" t="s">
        <v>3139</v>
      </c>
      <c r="E1778" s="49"/>
      <c r="F1778" s="49"/>
      <c r="G1778" s="49"/>
      <c r="H1778" s="49"/>
      <c r="I1778" s="49"/>
    </row>
    <row r="1779" ht="15.75" customHeight="1" spans="1:9">
      <c r="A1779" s="49"/>
      <c r="B1779" s="45" t="s">
        <v>1399</v>
      </c>
      <c r="C1779" s="78" t="s">
        <v>3140</v>
      </c>
      <c r="D1779" s="78" t="s">
        <v>3141</v>
      </c>
      <c r="E1779" s="49"/>
      <c r="F1779" s="49"/>
      <c r="G1779" s="49"/>
      <c r="H1779" s="49"/>
      <c r="I1779" s="49"/>
    </row>
    <row r="1780" ht="15.75" customHeight="1" spans="1:9">
      <c r="A1780" s="49"/>
      <c r="B1780" s="45" t="s">
        <v>1399</v>
      </c>
      <c r="C1780" s="78" t="s">
        <v>3142</v>
      </c>
      <c r="D1780" s="78" t="s">
        <v>3143</v>
      </c>
      <c r="E1780" s="49"/>
      <c r="F1780" s="49"/>
      <c r="G1780" s="49"/>
      <c r="H1780" s="49"/>
      <c r="I1780" s="49"/>
    </row>
    <row r="1781" ht="15.75" customHeight="1" spans="1:9">
      <c r="A1781" s="49"/>
      <c r="B1781" s="45" t="s">
        <v>1399</v>
      </c>
      <c r="C1781" s="78" t="s">
        <v>3144</v>
      </c>
      <c r="D1781" s="78" t="s">
        <v>3145</v>
      </c>
      <c r="E1781" s="49"/>
      <c r="F1781" s="49"/>
      <c r="G1781" s="49"/>
      <c r="H1781" s="49"/>
      <c r="I1781" s="49"/>
    </row>
    <row r="1782" ht="15.75" customHeight="1" spans="1:9">
      <c r="A1782" s="49"/>
      <c r="B1782" s="45" t="s">
        <v>1399</v>
      </c>
      <c r="C1782" s="78" t="s">
        <v>3146</v>
      </c>
      <c r="D1782" s="78" t="s">
        <v>3147</v>
      </c>
      <c r="E1782" s="49"/>
      <c r="F1782" s="49"/>
      <c r="G1782" s="49"/>
      <c r="H1782" s="49"/>
      <c r="I1782" s="49"/>
    </row>
    <row r="1783" ht="15.75" customHeight="1" spans="1:9">
      <c r="A1783" s="49"/>
      <c r="B1783" s="45" t="s">
        <v>1399</v>
      </c>
      <c r="C1783" s="78" t="s">
        <v>3148</v>
      </c>
      <c r="D1783" s="78" t="s">
        <v>3149</v>
      </c>
      <c r="E1783" s="49"/>
      <c r="F1783" s="49"/>
      <c r="G1783" s="49"/>
      <c r="H1783" s="49"/>
      <c r="I1783" s="49"/>
    </row>
    <row r="1784" ht="15.75" customHeight="1" spans="1:9">
      <c r="A1784" s="49"/>
      <c r="B1784" s="45" t="s">
        <v>1399</v>
      </c>
      <c r="C1784" s="78" t="s">
        <v>3150</v>
      </c>
      <c r="D1784" s="78" t="s">
        <v>3151</v>
      </c>
      <c r="E1784" s="49"/>
      <c r="F1784" s="49"/>
      <c r="G1784" s="49"/>
      <c r="H1784" s="49"/>
      <c r="I1784" s="49"/>
    </row>
    <row r="1785" ht="15.75" customHeight="1" spans="1:9">
      <c r="A1785" s="49"/>
      <c r="B1785" s="45" t="s">
        <v>1399</v>
      </c>
      <c r="C1785" s="78" t="s">
        <v>3152</v>
      </c>
      <c r="D1785" s="78" t="s">
        <v>3153</v>
      </c>
      <c r="E1785" s="49"/>
      <c r="F1785" s="49"/>
      <c r="G1785" s="49"/>
      <c r="H1785" s="49"/>
      <c r="I1785" s="49"/>
    </row>
    <row r="1786" ht="15.75" customHeight="1" spans="1:9">
      <c r="A1786" s="49"/>
      <c r="B1786" s="45" t="s">
        <v>1399</v>
      </c>
      <c r="C1786" s="78" t="s">
        <v>3154</v>
      </c>
      <c r="D1786" s="78" t="s">
        <v>3155</v>
      </c>
      <c r="E1786" s="49"/>
      <c r="F1786" s="49"/>
      <c r="G1786" s="49"/>
      <c r="H1786" s="49"/>
      <c r="I1786" s="49"/>
    </row>
    <row r="1787" ht="15.75" customHeight="1" spans="1:9">
      <c r="A1787" s="49"/>
      <c r="B1787" s="45" t="s">
        <v>1399</v>
      </c>
      <c r="C1787" s="78" t="s">
        <v>3156</v>
      </c>
      <c r="D1787" s="78" t="s">
        <v>3157</v>
      </c>
      <c r="E1787" s="49"/>
      <c r="F1787" s="49"/>
      <c r="G1787" s="49"/>
      <c r="H1787" s="49"/>
      <c r="I1787" s="49"/>
    </row>
    <row r="1788" ht="15.75" customHeight="1" spans="1:9">
      <c r="A1788" s="49"/>
      <c r="B1788" s="45" t="s">
        <v>1399</v>
      </c>
      <c r="C1788" s="78" t="s">
        <v>3158</v>
      </c>
      <c r="D1788" s="78" t="s">
        <v>3159</v>
      </c>
      <c r="E1788" s="49"/>
      <c r="F1788" s="49"/>
      <c r="G1788" s="49"/>
      <c r="H1788" s="49"/>
      <c r="I1788" s="49"/>
    </row>
    <row r="1789" ht="15.75" customHeight="1" spans="1:9">
      <c r="A1789" s="49"/>
      <c r="B1789" s="45" t="s">
        <v>1399</v>
      </c>
      <c r="C1789" s="78" t="s">
        <v>3160</v>
      </c>
      <c r="D1789" s="78" t="s">
        <v>3161</v>
      </c>
      <c r="E1789" s="49"/>
      <c r="F1789" s="49"/>
      <c r="G1789" s="49"/>
      <c r="H1789" s="49"/>
      <c r="I1789" s="49"/>
    </row>
    <row r="1790" ht="15.75" customHeight="1" spans="1:9">
      <c r="A1790" s="49"/>
      <c r="B1790" s="45" t="s">
        <v>1399</v>
      </c>
      <c r="C1790" s="78" t="s">
        <v>3162</v>
      </c>
      <c r="D1790" s="78" t="s">
        <v>3163</v>
      </c>
      <c r="E1790" s="49"/>
      <c r="F1790" s="49"/>
      <c r="G1790" s="49"/>
      <c r="H1790" s="49"/>
      <c r="I1790" s="49"/>
    </row>
    <row r="1791" ht="15.75" customHeight="1" spans="1:9">
      <c r="A1791" s="49"/>
      <c r="B1791" s="45" t="s">
        <v>1399</v>
      </c>
      <c r="C1791" s="78" t="s">
        <v>3164</v>
      </c>
      <c r="D1791" s="78" t="s">
        <v>3165</v>
      </c>
      <c r="E1791" s="49"/>
      <c r="F1791" s="49"/>
      <c r="G1791" s="49"/>
      <c r="H1791" s="49"/>
      <c r="I1791" s="49"/>
    </row>
    <row r="1792" ht="15.75" customHeight="1" spans="1:9">
      <c r="A1792" s="49"/>
      <c r="B1792" s="45" t="s">
        <v>1399</v>
      </c>
      <c r="C1792" s="78" t="s">
        <v>3166</v>
      </c>
      <c r="D1792" s="78" t="s">
        <v>3167</v>
      </c>
      <c r="E1792" s="49"/>
      <c r="F1792" s="49"/>
      <c r="G1792" s="49"/>
      <c r="H1792" s="49"/>
      <c r="I1792" s="49"/>
    </row>
    <row r="1793" ht="15.75" customHeight="1" spans="1:9">
      <c r="A1793" s="49"/>
      <c r="B1793" s="45" t="s">
        <v>1399</v>
      </c>
      <c r="C1793" s="78" t="s">
        <v>3168</v>
      </c>
      <c r="D1793" s="78" t="s">
        <v>3169</v>
      </c>
      <c r="E1793" s="49"/>
      <c r="F1793" s="49"/>
      <c r="G1793" s="49"/>
      <c r="H1793" s="49"/>
      <c r="I1793" s="49"/>
    </row>
    <row r="1794" ht="15.75" customHeight="1" spans="1:9">
      <c r="A1794" s="49"/>
      <c r="B1794" s="45" t="s">
        <v>1399</v>
      </c>
      <c r="C1794" s="78" t="s">
        <v>3170</v>
      </c>
      <c r="D1794" s="78" t="s">
        <v>3171</v>
      </c>
      <c r="E1794" s="49"/>
      <c r="F1794" s="49"/>
      <c r="G1794" s="49"/>
      <c r="H1794" s="49"/>
      <c r="I1794" s="49"/>
    </row>
    <row r="1795" ht="15.75" customHeight="1" spans="1:9">
      <c r="A1795" s="49"/>
      <c r="B1795" s="45" t="s">
        <v>1399</v>
      </c>
      <c r="C1795" s="78" t="s">
        <v>3172</v>
      </c>
      <c r="D1795" s="78" t="s">
        <v>3173</v>
      </c>
      <c r="E1795" s="49"/>
      <c r="F1795" s="49"/>
      <c r="G1795" s="49"/>
      <c r="H1795" s="49"/>
      <c r="I1795" s="49"/>
    </row>
    <row r="1796" ht="15.75" customHeight="1" spans="1:9">
      <c r="A1796" s="49"/>
      <c r="B1796" s="45" t="s">
        <v>1399</v>
      </c>
      <c r="C1796" s="78" t="s">
        <v>3174</v>
      </c>
      <c r="D1796" s="78" t="s">
        <v>3175</v>
      </c>
      <c r="E1796" s="49"/>
      <c r="F1796" s="49"/>
      <c r="G1796" s="49"/>
      <c r="H1796" s="49"/>
      <c r="I1796" s="49"/>
    </row>
    <row r="1797" ht="15.75" customHeight="1" spans="1:9">
      <c r="A1797" s="49"/>
      <c r="B1797" s="45" t="s">
        <v>1399</v>
      </c>
      <c r="C1797" s="78" t="s">
        <v>3176</v>
      </c>
      <c r="D1797" s="78" t="s">
        <v>3177</v>
      </c>
      <c r="E1797" s="49"/>
      <c r="F1797" s="49"/>
      <c r="G1797" s="49"/>
      <c r="H1797" s="49"/>
      <c r="I1797" s="49"/>
    </row>
    <row r="1798" ht="15.75" customHeight="1" spans="1:9">
      <c r="A1798" s="49"/>
      <c r="B1798" s="45" t="s">
        <v>1399</v>
      </c>
      <c r="C1798" s="78" t="s">
        <v>3178</v>
      </c>
      <c r="D1798" s="78" t="s">
        <v>3179</v>
      </c>
      <c r="E1798" s="49"/>
      <c r="F1798" s="49"/>
      <c r="G1798" s="49"/>
      <c r="H1798" s="49"/>
      <c r="I1798" s="49"/>
    </row>
    <row r="1799" ht="15.75" customHeight="1" spans="1:9">
      <c r="A1799" s="49"/>
      <c r="B1799" s="45" t="s">
        <v>1399</v>
      </c>
      <c r="C1799" s="78" t="s">
        <v>3180</v>
      </c>
      <c r="D1799" s="78" t="s">
        <v>3181</v>
      </c>
      <c r="E1799" s="49"/>
      <c r="F1799" s="49"/>
      <c r="G1799" s="49"/>
      <c r="H1799" s="49"/>
      <c r="I1799" s="49"/>
    </row>
    <row r="1800" ht="15.75" customHeight="1" spans="1:9">
      <c r="A1800" s="49"/>
      <c r="B1800" s="45" t="s">
        <v>1399</v>
      </c>
      <c r="C1800" s="78" t="s">
        <v>3182</v>
      </c>
      <c r="D1800" s="78" t="s">
        <v>3183</v>
      </c>
      <c r="E1800" s="49"/>
      <c r="F1800" s="49"/>
      <c r="G1800" s="49"/>
      <c r="H1800" s="49"/>
      <c r="I1800" s="49"/>
    </row>
    <row r="1801" ht="15.75" customHeight="1" spans="1:9">
      <c r="A1801" s="49"/>
      <c r="B1801" s="45" t="s">
        <v>1399</v>
      </c>
      <c r="C1801" s="78" t="s">
        <v>3184</v>
      </c>
      <c r="D1801" s="78" t="s">
        <v>3185</v>
      </c>
      <c r="E1801" s="49"/>
      <c r="F1801" s="49"/>
      <c r="G1801" s="49"/>
      <c r="H1801" s="49"/>
      <c r="I1801" s="49"/>
    </row>
    <row r="1802" ht="15.75" customHeight="1" spans="1:9">
      <c r="A1802" s="49"/>
      <c r="B1802" s="45" t="s">
        <v>1399</v>
      </c>
      <c r="C1802" s="78" t="s">
        <v>3186</v>
      </c>
      <c r="D1802" s="78" t="s">
        <v>3187</v>
      </c>
      <c r="E1802" s="49"/>
      <c r="F1802" s="49"/>
      <c r="G1802" s="49"/>
      <c r="H1802" s="49"/>
      <c r="I1802" s="49"/>
    </row>
    <row r="1803" ht="15.75" customHeight="1" spans="1:9">
      <c r="A1803" s="49"/>
      <c r="B1803" s="45" t="s">
        <v>1399</v>
      </c>
      <c r="C1803" s="78" t="s">
        <v>3188</v>
      </c>
      <c r="D1803" s="78" t="s">
        <v>3189</v>
      </c>
      <c r="E1803" s="49"/>
      <c r="F1803" s="49"/>
      <c r="G1803" s="49"/>
      <c r="H1803" s="49"/>
      <c r="I1803" s="49"/>
    </row>
    <row r="1804" ht="15.75" customHeight="1" spans="1:9">
      <c r="A1804" s="49"/>
      <c r="B1804" s="45" t="s">
        <v>1399</v>
      </c>
      <c r="C1804" s="78" t="s">
        <v>3190</v>
      </c>
      <c r="D1804" s="78" t="s">
        <v>3191</v>
      </c>
      <c r="E1804" s="49"/>
      <c r="F1804" s="49"/>
      <c r="G1804" s="49"/>
      <c r="H1804" s="49"/>
      <c r="I1804" s="49"/>
    </row>
    <row r="1805" ht="15.75" customHeight="1" spans="1:9">
      <c r="A1805" s="49"/>
      <c r="B1805" s="45" t="s">
        <v>1399</v>
      </c>
      <c r="C1805" s="78" t="s">
        <v>3192</v>
      </c>
      <c r="D1805" s="78" t="s">
        <v>3193</v>
      </c>
      <c r="E1805" s="49"/>
      <c r="F1805" s="49"/>
      <c r="G1805" s="49"/>
      <c r="H1805" s="49"/>
      <c r="I1805" s="49"/>
    </row>
    <row r="1806" ht="15.75" customHeight="1" spans="1:9">
      <c r="A1806" s="49"/>
      <c r="B1806" s="45" t="s">
        <v>1399</v>
      </c>
      <c r="C1806" s="78" t="s">
        <v>3194</v>
      </c>
      <c r="D1806" s="78" t="s">
        <v>3195</v>
      </c>
      <c r="E1806" s="49"/>
      <c r="F1806" s="49"/>
      <c r="G1806" s="49"/>
      <c r="H1806" s="49"/>
      <c r="I1806" s="49"/>
    </row>
    <row r="1807" ht="15.75" customHeight="1" spans="1:9">
      <c r="A1807" s="49"/>
      <c r="B1807" s="45" t="s">
        <v>1399</v>
      </c>
      <c r="C1807" s="78" t="s">
        <v>3196</v>
      </c>
      <c r="D1807" s="78" t="s">
        <v>3197</v>
      </c>
      <c r="E1807" s="49"/>
      <c r="F1807" s="49"/>
      <c r="G1807" s="49"/>
      <c r="H1807" s="49"/>
      <c r="I1807" s="49"/>
    </row>
    <row r="1808" ht="15.75" customHeight="1" spans="1:9">
      <c r="A1808" s="49"/>
      <c r="B1808" s="45" t="s">
        <v>1399</v>
      </c>
      <c r="C1808" s="78" t="s">
        <v>3198</v>
      </c>
      <c r="D1808" s="78" t="s">
        <v>3199</v>
      </c>
      <c r="E1808" s="49"/>
      <c r="F1808" s="49"/>
      <c r="G1808" s="49"/>
      <c r="H1808" s="49"/>
      <c r="I1808" s="49"/>
    </row>
    <row r="1809" ht="15.75" customHeight="1" spans="1:9">
      <c r="A1809" s="49"/>
      <c r="B1809" s="45" t="s">
        <v>1399</v>
      </c>
      <c r="C1809" s="78" t="s">
        <v>3200</v>
      </c>
      <c r="D1809" s="78" t="s">
        <v>3201</v>
      </c>
      <c r="E1809" s="49"/>
      <c r="F1809" s="49"/>
      <c r="G1809" s="49"/>
      <c r="H1809" s="49"/>
      <c r="I1809" s="49"/>
    </row>
    <row r="1810" ht="15.75" customHeight="1" spans="1:9">
      <c r="A1810" s="49"/>
      <c r="B1810" s="45" t="s">
        <v>1399</v>
      </c>
      <c r="C1810" s="78" t="s">
        <v>3202</v>
      </c>
      <c r="D1810" s="78" t="s">
        <v>3203</v>
      </c>
      <c r="E1810" s="49"/>
      <c r="F1810" s="49"/>
      <c r="G1810" s="49"/>
      <c r="H1810" s="49"/>
      <c r="I1810" s="49"/>
    </row>
    <row r="1811" ht="15.75" customHeight="1" spans="1:9">
      <c r="A1811" s="49"/>
      <c r="B1811" s="45" t="s">
        <v>1399</v>
      </c>
      <c r="C1811" s="78" t="s">
        <v>3204</v>
      </c>
      <c r="D1811" s="78" t="s">
        <v>3205</v>
      </c>
      <c r="E1811" s="49"/>
      <c r="F1811" s="49"/>
      <c r="G1811" s="49"/>
      <c r="H1811" s="49"/>
      <c r="I1811" s="49"/>
    </row>
    <row r="1812" ht="15.75" customHeight="1" spans="1:9">
      <c r="A1812" s="49"/>
      <c r="B1812" s="45" t="s">
        <v>1399</v>
      </c>
      <c r="C1812" s="78" t="s">
        <v>3206</v>
      </c>
      <c r="D1812" s="78" t="s">
        <v>3207</v>
      </c>
      <c r="E1812" s="49"/>
      <c r="F1812" s="49"/>
      <c r="G1812" s="49"/>
      <c r="H1812" s="49"/>
      <c r="I1812" s="49"/>
    </row>
    <row r="1813" ht="15.75" customHeight="1" spans="1:9">
      <c r="A1813" s="49"/>
      <c r="B1813" s="45" t="s">
        <v>1399</v>
      </c>
      <c r="C1813" s="78" t="s">
        <v>3208</v>
      </c>
      <c r="D1813" s="78" t="s">
        <v>3209</v>
      </c>
      <c r="E1813" s="49"/>
      <c r="F1813" s="49"/>
      <c r="G1813" s="49"/>
      <c r="H1813" s="49"/>
      <c r="I1813" s="49"/>
    </row>
    <row r="1814" ht="15.75" customHeight="1" spans="1:9">
      <c r="A1814" s="49"/>
      <c r="B1814" s="45" t="s">
        <v>1399</v>
      </c>
      <c r="C1814" s="78" t="s">
        <v>3210</v>
      </c>
      <c r="D1814" s="78" t="s">
        <v>3211</v>
      </c>
      <c r="E1814" s="49"/>
      <c r="F1814" s="49"/>
      <c r="G1814" s="49"/>
      <c r="H1814" s="49"/>
      <c r="I1814" s="49"/>
    </row>
    <row r="1815" ht="15.75" customHeight="1" spans="1:9">
      <c r="A1815" s="49"/>
      <c r="B1815" s="45" t="s">
        <v>1399</v>
      </c>
      <c r="C1815" s="78" t="s">
        <v>3212</v>
      </c>
      <c r="D1815" s="78" t="s">
        <v>3213</v>
      </c>
      <c r="E1815" s="49"/>
      <c r="F1815" s="49"/>
      <c r="G1815" s="49"/>
      <c r="H1815" s="49"/>
      <c r="I1815" s="49"/>
    </row>
    <row r="1816" ht="15.75" customHeight="1" spans="1:9">
      <c r="A1816" s="49"/>
      <c r="B1816" s="45" t="s">
        <v>1399</v>
      </c>
      <c r="C1816" s="78" t="s">
        <v>3214</v>
      </c>
      <c r="D1816" s="78" t="s">
        <v>3215</v>
      </c>
      <c r="E1816" s="49"/>
      <c r="F1816" s="49"/>
      <c r="G1816" s="49"/>
      <c r="H1816" s="49"/>
      <c r="I1816" s="49"/>
    </row>
    <row r="1817" ht="15.75" customHeight="1" spans="1:9">
      <c r="A1817" s="49"/>
      <c r="B1817" s="45" t="s">
        <v>1399</v>
      </c>
      <c r="C1817" s="78" t="s">
        <v>3216</v>
      </c>
      <c r="D1817" s="78" t="s">
        <v>3217</v>
      </c>
      <c r="E1817" s="49"/>
      <c r="F1817" s="49"/>
      <c r="G1817" s="49"/>
      <c r="H1817" s="49"/>
      <c r="I1817" s="49"/>
    </row>
    <row r="1818" ht="15.75" customHeight="1" spans="1:9">
      <c r="A1818" s="49"/>
      <c r="B1818" s="45" t="s">
        <v>1399</v>
      </c>
      <c r="C1818" s="78" t="s">
        <v>3218</v>
      </c>
      <c r="D1818" s="78" t="s">
        <v>3219</v>
      </c>
      <c r="E1818" s="49"/>
      <c r="F1818" s="49"/>
      <c r="G1818" s="49"/>
      <c r="H1818" s="49"/>
      <c r="I1818" s="49"/>
    </row>
    <row r="1819" ht="15.75" customHeight="1" spans="1:9">
      <c r="A1819" s="49"/>
      <c r="B1819" s="45" t="s">
        <v>1399</v>
      </c>
      <c r="C1819" s="78" t="s">
        <v>3220</v>
      </c>
      <c r="D1819" s="78" t="s">
        <v>3221</v>
      </c>
      <c r="E1819" s="49"/>
      <c r="F1819" s="49"/>
      <c r="G1819" s="49"/>
      <c r="H1819" s="49"/>
      <c r="I1819" s="49"/>
    </row>
    <row r="1820" ht="15.75" customHeight="1" spans="1:9">
      <c r="A1820" s="49"/>
      <c r="B1820" s="45" t="s">
        <v>1399</v>
      </c>
      <c r="C1820" s="78" t="s">
        <v>3222</v>
      </c>
      <c r="D1820" s="78" t="s">
        <v>3223</v>
      </c>
      <c r="E1820" s="49"/>
      <c r="F1820" s="49"/>
      <c r="G1820" s="49"/>
      <c r="H1820" s="49"/>
      <c r="I1820" s="49"/>
    </row>
    <row r="1821" ht="15.75" customHeight="1" spans="1:9">
      <c r="A1821" s="49"/>
      <c r="B1821" s="45" t="s">
        <v>1399</v>
      </c>
      <c r="C1821" s="78" t="s">
        <v>3224</v>
      </c>
      <c r="D1821" s="78" t="s">
        <v>3225</v>
      </c>
      <c r="E1821" s="49"/>
      <c r="F1821" s="49"/>
      <c r="G1821" s="49"/>
      <c r="H1821" s="49"/>
      <c r="I1821" s="49"/>
    </row>
    <row r="1822" ht="15.75" customHeight="1" spans="1:9">
      <c r="A1822" s="49"/>
      <c r="B1822" s="45" t="s">
        <v>1399</v>
      </c>
      <c r="C1822" s="78" t="s">
        <v>3226</v>
      </c>
      <c r="D1822" s="78" t="s">
        <v>3227</v>
      </c>
      <c r="E1822" s="49"/>
      <c r="F1822" s="49"/>
      <c r="G1822" s="49"/>
      <c r="H1822" s="49"/>
      <c r="I1822" s="49"/>
    </row>
    <row r="1823" ht="15.75" customHeight="1" spans="1:9">
      <c r="A1823" s="49"/>
      <c r="B1823" s="45" t="s">
        <v>1399</v>
      </c>
      <c r="C1823" s="78" t="s">
        <v>3228</v>
      </c>
      <c r="D1823" s="78" t="s">
        <v>3229</v>
      </c>
      <c r="E1823" s="49"/>
      <c r="F1823" s="49"/>
      <c r="G1823" s="49"/>
      <c r="H1823" s="49"/>
      <c r="I1823" s="49"/>
    </row>
    <row r="1824" ht="15.75" customHeight="1" spans="1:9">
      <c r="A1824" s="49"/>
      <c r="B1824" s="45" t="s">
        <v>1399</v>
      </c>
      <c r="C1824" s="78" t="s">
        <v>3230</v>
      </c>
      <c r="D1824" s="78" t="s">
        <v>3231</v>
      </c>
      <c r="E1824" s="49"/>
      <c r="F1824" s="49"/>
      <c r="G1824" s="49"/>
      <c r="H1824" s="49"/>
      <c r="I1824" s="49"/>
    </row>
    <row r="1825" ht="15.75" customHeight="1" spans="1:9">
      <c r="A1825" s="49"/>
      <c r="B1825" s="45" t="s">
        <v>1399</v>
      </c>
      <c r="C1825" s="78" t="s">
        <v>3232</v>
      </c>
      <c r="D1825" s="78" t="s">
        <v>3233</v>
      </c>
      <c r="E1825" s="49"/>
      <c r="F1825" s="49"/>
      <c r="G1825" s="49"/>
      <c r="H1825" s="49"/>
      <c r="I1825" s="49"/>
    </row>
    <row r="1826" ht="15.75" customHeight="1" spans="1:9">
      <c r="A1826" s="49"/>
      <c r="B1826" s="45" t="s">
        <v>1399</v>
      </c>
      <c r="C1826" s="78" t="s">
        <v>3234</v>
      </c>
      <c r="D1826" s="78" t="s">
        <v>3235</v>
      </c>
      <c r="E1826" s="49"/>
      <c r="F1826" s="49"/>
      <c r="G1826" s="49"/>
      <c r="H1826" s="49"/>
      <c r="I1826" s="49"/>
    </row>
    <row r="1827" ht="15.75" customHeight="1" spans="1:9">
      <c r="A1827" s="49"/>
      <c r="B1827" s="45" t="s">
        <v>1399</v>
      </c>
      <c r="C1827" s="78" t="s">
        <v>3236</v>
      </c>
      <c r="D1827" s="78" t="s">
        <v>3237</v>
      </c>
      <c r="E1827" s="49"/>
      <c r="F1827" s="49"/>
      <c r="G1827" s="49"/>
      <c r="H1827" s="49"/>
      <c r="I1827" s="49"/>
    </row>
    <row r="1828" ht="15.75" customHeight="1" spans="1:9">
      <c r="A1828" s="49"/>
      <c r="B1828" s="45" t="s">
        <v>1399</v>
      </c>
      <c r="C1828" s="78" t="s">
        <v>3238</v>
      </c>
      <c r="D1828" s="78" t="s">
        <v>3239</v>
      </c>
      <c r="E1828" s="49"/>
      <c r="F1828" s="49"/>
      <c r="G1828" s="49"/>
      <c r="H1828" s="49"/>
      <c r="I1828" s="49"/>
    </row>
    <row r="1829" ht="15.75" customHeight="1" spans="1:9">
      <c r="A1829" s="49"/>
      <c r="B1829" s="45" t="s">
        <v>1399</v>
      </c>
      <c r="C1829" s="78" t="s">
        <v>3240</v>
      </c>
      <c r="D1829" s="78" t="s">
        <v>3241</v>
      </c>
      <c r="E1829" s="49"/>
      <c r="F1829" s="49"/>
      <c r="G1829" s="49"/>
      <c r="H1829" s="49"/>
      <c r="I1829" s="49"/>
    </row>
    <row r="1830" ht="15.75" customHeight="1" spans="1:9">
      <c r="A1830" s="49"/>
      <c r="B1830" s="45" t="s">
        <v>1399</v>
      </c>
      <c r="C1830" s="78" t="s">
        <v>3242</v>
      </c>
      <c r="D1830" s="78" t="s">
        <v>3243</v>
      </c>
      <c r="E1830" s="49"/>
      <c r="F1830" s="49"/>
      <c r="G1830" s="49"/>
      <c r="H1830" s="49"/>
      <c r="I1830" s="49"/>
    </row>
    <row r="1831" ht="15.75" customHeight="1" spans="1:9">
      <c r="A1831" s="49"/>
      <c r="B1831" s="45" t="s">
        <v>1399</v>
      </c>
      <c r="C1831" s="78" t="s">
        <v>3244</v>
      </c>
      <c r="D1831" s="78" t="s">
        <v>3245</v>
      </c>
      <c r="E1831" s="49"/>
      <c r="F1831" s="49"/>
      <c r="G1831" s="49"/>
      <c r="H1831" s="49"/>
      <c r="I1831" s="49"/>
    </row>
    <row r="1832" ht="15.75" customHeight="1" spans="1:9">
      <c r="A1832" s="49"/>
      <c r="B1832" s="45" t="s">
        <v>1399</v>
      </c>
      <c r="C1832" s="78" t="s">
        <v>3246</v>
      </c>
      <c r="D1832" s="78" t="s">
        <v>3247</v>
      </c>
      <c r="E1832" s="49"/>
      <c r="F1832" s="49"/>
      <c r="G1832" s="49"/>
      <c r="H1832" s="49"/>
      <c r="I1832" s="49"/>
    </row>
    <row r="1833" ht="15.75" customHeight="1" spans="1:9">
      <c r="A1833" s="49"/>
      <c r="B1833" s="45" t="s">
        <v>1399</v>
      </c>
      <c r="C1833" s="78" t="s">
        <v>3248</v>
      </c>
      <c r="D1833" s="78" t="s">
        <v>3249</v>
      </c>
      <c r="E1833" s="49"/>
      <c r="F1833" s="49"/>
      <c r="G1833" s="49"/>
      <c r="H1833" s="49"/>
      <c r="I1833" s="49"/>
    </row>
    <row r="1834" ht="15.75" customHeight="1" spans="1:9">
      <c r="A1834" s="49"/>
      <c r="B1834" s="45" t="s">
        <v>1399</v>
      </c>
      <c r="C1834" s="78" t="s">
        <v>3250</v>
      </c>
      <c r="D1834" s="78" t="s">
        <v>3251</v>
      </c>
      <c r="E1834" s="49"/>
      <c r="F1834" s="49"/>
      <c r="G1834" s="49"/>
      <c r="H1834" s="49"/>
      <c r="I1834" s="49"/>
    </row>
    <row r="1835" ht="15.75" customHeight="1" spans="1:9">
      <c r="A1835" s="49"/>
      <c r="B1835" s="45" t="s">
        <v>1399</v>
      </c>
      <c r="C1835" s="78" t="s">
        <v>3252</v>
      </c>
      <c r="D1835" s="78" t="s">
        <v>3253</v>
      </c>
      <c r="E1835" s="49"/>
      <c r="F1835" s="49"/>
      <c r="G1835" s="49"/>
      <c r="H1835" s="49"/>
      <c r="I1835" s="49"/>
    </row>
    <row r="1836" ht="15.75" customHeight="1" spans="1:9">
      <c r="A1836" s="49"/>
      <c r="B1836" s="45" t="s">
        <v>1399</v>
      </c>
      <c r="C1836" s="78" t="s">
        <v>3254</v>
      </c>
      <c r="D1836" s="78" t="s">
        <v>3255</v>
      </c>
      <c r="E1836" s="49"/>
      <c r="F1836" s="49"/>
      <c r="G1836" s="49"/>
      <c r="H1836" s="49"/>
      <c r="I1836" s="49"/>
    </row>
    <row r="1837" ht="15.75" customHeight="1" spans="1:9">
      <c r="A1837" s="49"/>
      <c r="B1837" s="45" t="s">
        <v>1399</v>
      </c>
      <c r="C1837" s="78" t="s">
        <v>3256</v>
      </c>
      <c r="D1837" s="78" t="s">
        <v>3257</v>
      </c>
      <c r="E1837" s="49"/>
      <c r="F1837" s="49"/>
      <c r="G1837" s="49"/>
      <c r="H1837" s="49"/>
      <c r="I1837" s="49"/>
    </row>
    <row r="1838" ht="15.75" customHeight="1" spans="1:9">
      <c r="A1838" s="49"/>
      <c r="B1838" s="45" t="s">
        <v>1399</v>
      </c>
      <c r="C1838" s="78" t="s">
        <v>3258</v>
      </c>
      <c r="D1838" s="78" t="s">
        <v>3259</v>
      </c>
      <c r="E1838" s="49"/>
      <c r="F1838" s="49"/>
      <c r="G1838" s="49"/>
      <c r="H1838" s="49"/>
      <c r="I1838" s="49"/>
    </row>
    <row r="1839" ht="15.75" customHeight="1" spans="1:9">
      <c r="A1839" s="49"/>
      <c r="B1839" s="45" t="s">
        <v>1399</v>
      </c>
      <c r="C1839" s="78" t="s">
        <v>3260</v>
      </c>
      <c r="D1839" s="78" t="s">
        <v>3261</v>
      </c>
      <c r="E1839" s="49"/>
      <c r="F1839" s="49"/>
      <c r="G1839" s="49"/>
      <c r="H1839" s="49"/>
      <c r="I1839" s="49"/>
    </row>
    <row r="1840" ht="15.75" customHeight="1" spans="1:9">
      <c r="A1840" s="49"/>
      <c r="B1840" s="45" t="s">
        <v>1399</v>
      </c>
      <c r="C1840" s="78" t="s">
        <v>3262</v>
      </c>
      <c r="D1840" s="78" t="s">
        <v>3263</v>
      </c>
      <c r="E1840" s="49"/>
      <c r="F1840" s="49"/>
      <c r="G1840" s="49"/>
      <c r="H1840" s="49"/>
      <c r="I1840" s="49"/>
    </row>
    <row r="1841" ht="15.75" customHeight="1" spans="1:9">
      <c r="A1841" s="49"/>
      <c r="B1841" s="45" t="s">
        <v>1399</v>
      </c>
      <c r="C1841" s="78" t="s">
        <v>3264</v>
      </c>
      <c r="D1841" s="78" t="s">
        <v>3265</v>
      </c>
      <c r="E1841" s="49"/>
      <c r="F1841" s="49"/>
      <c r="G1841" s="49"/>
      <c r="H1841" s="49"/>
      <c r="I1841" s="49"/>
    </row>
    <row r="1842" ht="15.75" customHeight="1" spans="1:9">
      <c r="A1842" s="49"/>
      <c r="B1842" s="45" t="s">
        <v>1399</v>
      </c>
      <c r="C1842" s="78" t="s">
        <v>3266</v>
      </c>
      <c r="D1842" s="78" t="s">
        <v>3267</v>
      </c>
      <c r="E1842" s="49"/>
      <c r="F1842" s="49"/>
      <c r="G1842" s="49"/>
      <c r="H1842" s="49"/>
      <c r="I1842" s="49"/>
    </row>
    <row r="1843" ht="15.75" customHeight="1" spans="1:9">
      <c r="A1843" s="49"/>
      <c r="B1843" s="45" t="s">
        <v>1399</v>
      </c>
      <c r="C1843" s="78" t="s">
        <v>3268</v>
      </c>
      <c r="D1843" s="78" t="s">
        <v>3269</v>
      </c>
      <c r="E1843" s="49"/>
      <c r="F1843" s="49"/>
      <c r="G1843" s="49"/>
      <c r="H1843" s="49"/>
      <c r="I1843" s="49"/>
    </row>
    <row r="1844" ht="15.75" customHeight="1" spans="1:9">
      <c r="A1844" s="49"/>
      <c r="B1844" s="45" t="s">
        <v>1399</v>
      </c>
      <c r="C1844" s="78" t="s">
        <v>3270</v>
      </c>
      <c r="D1844" s="78" t="s">
        <v>3271</v>
      </c>
      <c r="E1844" s="49"/>
      <c r="F1844" s="49"/>
      <c r="G1844" s="49"/>
      <c r="H1844" s="49"/>
      <c r="I1844" s="49"/>
    </row>
    <row r="1845" ht="15.75" customHeight="1" spans="1:9">
      <c r="A1845" s="49"/>
      <c r="B1845" s="45" t="s">
        <v>1399</v>
      </c>
      <c r="C1845" s="78" t="s">
        <v>3272</v>
      </c>
      <c r="D1845" s="78" t="s">
        <v>3273</v>
      </c>
      <c r="E1845" s="49"/>
      <c r="F1845" s="49"/>
      <c r="G1845" s="49"/>
      <c r="H1845" s="49"/>
      <c r="I1845" s="49"/>
    </row>
    <row r="1846" ht="15.75" customHeight="1" spans="1:9">
      <c r="A1846" s="49"/>
      <c r="B1846" s="45" t="s">
        <v>1399</v>
      </c>
      <c r="C1846" s="78" t="s">
        <v>3274</v>
      </c>
      <c r="D1846" s="78" t="s">
        <v>3275</v>
      </c>
      <c r="E1846" s="49"/>
      <c r="F1846" s="49"/>
      <c r="G1846" s="49"/>
      <c r="H1846" s="49"/>
      <c r="I1846" s="49"/>
    </row>
    <row r="1847" ht="15.75" customHeight="1" spans="1:9">
      <c r="A1847" s="49"/>
      <c r="B1847" s="45" t="s">
        <v>1399</v>
      </c>
      <c r="C1847" s="78" t="s">
        <v>3276</v>
      </c>
      <c r="D1847" s="78" t="s">
        <v>3277</v>
      </c>
      <c r="E1847" s="49"/>
      <c r="F1847" s="49"/>
      <c r="G1847" s="49"/>
      <c r="H1847" s="49"/>
      <c r="I1847" s="49"/>
    </row>
    <row r="1848" ht="15.75" customHeight="1" spans="1:9">
      <c r="A1848" s="49"/>
      <c r="B1848" s="45" t="s">
        <v>1399</v>
      </c>
      <c r="C1848" s="78" t="s">
        <v>3278</v>
      </c>
      <c r="D1848" s="78" t="s">
        <v>3279</v>
      </c>
      <c r="E1848" s="49"/>
      <c r="F1848" s="49"/>
      <c r="G1848" s="49"/>
      <c r="H1848" s="49"/>
      <c r="I1848" s="49"/>
    </row>
    <row r="1849" ht="15.75" customHeight="1" spans="1:9">
      <c r="A1849" s="49"/>
      <c r="B1849" s="45" t="s">
        <v>1399</v>
      </c>
      <c r="C1849" s="78" t="s">
        <v>3280</v>
      </c>
      <c r="D1849" s="78" t="s">
        <v>3281</v>
      </c>
      <c r="E1849" s="49"/>
      <c r="F1849" s="49"/>
      <c r="G1849" s="49"/>
      <c r="H1849" s="49"/>
      <c r="I1849" s="49"/>
    </row>
    <row r="1850" ht="15.75" customHeight="1" spans="1:9">
      <c r="A1850" s="49"/>
      <c r="B1850" s="45" t="s">
        <v>1399</v>
      </c>
      <c r="C1850" s="78" t="s">
        <v>3282</v>
      </c>
      <c r="D1850" s="78" t="s">
        <v>3283</v>
      </c>
      <c r="E1850" s="49"/>
      <c r="F1850" s="49"/>
      <c r="G1850" s="49"/>
      <c r="H1850" s="49"/>
      <c r="I1850" s="49"/>
    </row>
    <row r="1851" ht="15.75" customHeight="1" spans="1:9">
      <c r="A1851" s="49"/>
      <c r="B1851" s="45" t="s">
        <v>1399</v>
      </c>
      <c r="C1851" s="78" t="s">
        <v>3284</v>
      </c>
      <c r="D1851" s="78" t="s">
        <v>3285</v>
      </c>
      <c r="E1851" s="49"/>
      <c r="F1851" s="49"/>
      <c r="G1851" s="49"/>
      <c r="H1851" s="49"/>
      <c r="I1851" s="49"/>
    </row>
    <row r="1852" ht="15.75" customHeight="1" spans="1:9">
      <c r="A1852" s="49"/>
      <c r="B1852" s="45" t="s">
        <v>1399</v>
      </c>
      <c r="C1852" s="78" t="s">
        <v>3286</v>
      </c>
      <c r="D1852" s="78" t="s">
        <v>3287</v>
      </c>
      <c r="E1852" s="49"/>
      <c r="F1852" s="49"/>
      <c r="G1852" s="49"/>
      <c r="H1852" s="49"/>
      <c r="I1852" s="49"/>
    </row>
    <row r="1853" ht="15.75" customHeight="1" spans="1:9">
      <c r="A1853" s="49"/>
      <c r="B1853" s="45" t="s">
        <v>1399</v>
      </c>
      <c r="C1853" s="78" t="s">
        <v>3288</v>
      </c>
      <c r="D1853" s="78" t="s">
        <v>3289</v>
      </c>
      <c r="E1853" s="49"/>
      <c r="F1853" s="49"/>
      <c r="G1853" s="49"/>
      <c r="H1853" s="49"/>
      <c r="I1853" s="49"/>
    </row>
    <row r="1854" ht="15.75" customHeight="1" spans="1:9">
      <c r="A1854" s="49"/>
      <c r="B1854" s="45" t="s">
        <v>1399</v>
      </c>
      <c r="C1854" s="78" t="s">
        <v>3290</v>
      </c>
      <c r="D1854" s="78" t="s">
        <v>3291</v>
      </c>
      <c r="E1854" s="49"/>
      <c r="F1854" s="49"/>
      <c r="G1854" s="49"/>
      <c r="H1854" s="49"/>
      <c r="I1854" s="49"/>
    </row>
    <row r="1855" ht="15.75" customHeight="1" spans="1:9">
      <c r="A1855" s="49"/>
      <c r="B1855" s="45" t="s">
        <v>1399</v>
      </c>
      <c r="C1855" s="78" t="s">
        <v>3292</v>
      </c>
      <c r="D1855" s="78" t="s">
        <v>3293</v>
      </c>
      <c r="E1855" s="49"/>
      <c r="F1855" s="49"/>
      <c r="G1855" s="49"/>
      <c r="H1855" s="49"/>
      <c r="I1855" s="49"/>
    </row>
    <row r="1856" ht="15.75" customHeight="1" spans="1:9">
      <c r="A1856" s="49"/>
      <c r="B1856" s="45" t="s">
        <v>1399</v>
      </c>
      <c r="C1856" s="78" t="s">
        <v>3294</v>
      </c>
      <c r="D1856" s="78" t="s">
        <v>3295</v>
      </c>
      <c r="E1856" s="49"/>
      <c r="F1856" s="49"/>
      <c r="G1856" s="49"/>
      <c r="H1856" s="49"/>
      <c r="I1856" s="49"/>
    </row>
    <row r="1857" ht="15.75" customHeight="1" spans="1:9">
      <c r="A1857" s="49"/>
      <c r="B1857" s="45" t="s">
        <v>1399</v>
      </c>
      <c r="C1857" s="78" t="s">
        <v>3296</v>
      </c>
      <c r="D1857" s="78" t="s">
        <v>3297</v>
      </c>
      <c r="E1857" s="49"/>
      <c r="F1857" s="49"/>
      <c r="G1857" s="49"/>
      <c r="H1857" s="49"/>
      <c r="I1857" s="49"/>
    </row>
    <row r="1858" ht="15.75" customHeight="1" spans="1:9">
      <c r="A1858" s="49"/>
      <c r="B1858" s="45" t="s">
        <v>1399</v>
      </c>
      <c r="C1858" s="78" t="s">
        <v>3298</v>
      </c>
      <c r="D1858" s="78" t="s">
        <v>3299</v>
      </c>
      <c r="E1858" s="49"/>
      <c r="F1858" s="49"/>
      <c r="G1858" s="49"/>
      <c r="H1858" s="49"/>
      <c r="I1858" s="49"/>
    </row>
    <row r="1859" ht="15.75" customHeight="1" spans="1:9">
      <c r="A1859" s="49"/>
      <c r="B1859" s="45" t="s">
        <v>1399</v>
      </c>
      <c r="C1859" s="78" t="s">
        <v>3300</v>
      </c>
      <c r="D1859" s="78" t="s">
        <v>3301</v>
      </c>
      <c r="E1859" s="49"/>
      <c r="F1859" s="49"/>
      <c r="G1859" s="49"/>
      <c r="H1859" s="49"/>
      <c r="I1859" s="49"/>
    </row>
    <row r="1860" ht="15.75" customHeight="1" spans="1:9">
      <c r="A1860" s="49"/>
      <c r="B1860" s="45" t="s">
        <v>1399</v>
      </c>
      <c r="C1860" s="78" t="s">
        <v>3302</v>
      </c>
      <c r="D1860" s="78" t="s">
        <v>3303</v>
      </c>
      <c r="E1860" s="49"/>
      <c r="F1860" s="49"/>
      <c r="G1860" s="49"/>
      <c r="H1860" s="49"/>
      <c r="I1860" s="49"/>
    </row>
    <row r="1861" ht="15.75" customHeight="1" spans="1:9">
      <c r="A1861" s="49"/>
      <c r="B1861" s="45" t="s">
        <v>1399</v>
      </c>
      <c r="C1861" s="78" t="s">
        <v>3304</v>
      </c>
      <c r="D1861" s="78" t="s">
        <v>3305</v>
      </c>
      <c r="E1861" s="49"/>
      <c r="F1861" s="49"/>
      <c r="G1861" s="49"/>
      <c r="H1861" s="49"/>
      <c r="I1861" s="49"/>
    </row>
    <row r="1862" ht="15.75" customHeight="1" spans="1:9">
      <c r="A1862" s="49"/>
      <c r="B1862" s="45" t="s">
        <v>1399</v>
      </c>
      <c r="C1862" s="78" t="s">
        <v>3306</v>
      </c>
      <c r="D1862" s="78" t="s">
        <v>3307</v>
      </c>
      <c r="E1862" s="49"/>
      <c r="F1862" s="49"/>
      <c r="G1862" s="49"/>
      <c r="H1862" s="49"/>
      <c r="I1862" s="49"/>
    </row>
    <row r="1863" ht="15.75" customHeight="1" spans="1:9">
      <c r="A1863" s="49"/>
      <c r="B1863" s="45" t="s">
        <v>1399</v>
      </c>
      <c r="C1863" s="78" t="s">
        <v>3308</v>
      </c>
      <c r="D1863" s="78" t="s">
        <v>3309</v>
      </c>
      <c r="E1863" s="49"/>
      <c r="F1863" s="49"/>
      <c r="G1863" s="49"/>
      <c r="H1863" s="49"/>
      <c r="I1863" s="49"/>
    </row>
    <row r="1864" ht="15.75" customHeight="1" spans="1:9">
      <c r="A1864" s="49"/>
      <c r="B1864" s="45" t="s">
        <v>1399</v>
      </c>
      <c r="C1864" s="78" t="s">
        <v>3310</v>
      </c>
      <c r="D1864" s="78" t="s">
        <v>3311</v>
      </c>
      <c r="E1864" s="49"/>
      <c r="F1864" s="49"/>
      <c r="G1864" s="49"/>
      <c r="H1864" s="49"/>
      <c r="I1864" s="49"/>
    </row>
    <row r="1865" ht="15.75" customHeight="1" spans="1:9">
      <c r="A1865" s="49"/>
      <c r="B1865" s="45" t="s">
        <v>1399</v>
      </c>
      <c r="C1865" s="78" t="s">
        <v>3312</v>
      </c>
      <c r="D1865" s="78" t="s">
        <v>3313</v>
      </c>
      <c r="E1865" s="49"/>
      <c r="F1865" s="49"/>
      <c r="G1865" s="49"/>
      <c r="H1865" s="49"/>
      <c r="I1865" s="49"/>
    </row>
    <row r="1866" ht="15.75" customHeight="1" spans="1:9">
      <c r="A1866" s="49"/>
      <c r="B1866" s="45" t="s">
        <v>1399</v>
      </c>
      <c r="C1866" s="78" t="s">
        <v>3314</v>
      </c>
      <c r="D1866" s="78" t="s">
        <v>3315</v>
      </c>
      <c r="E1866" s="49"/>
      <c r="F1866" s="49"/>
      <c r="G1866" s="49"/>
      <c r="H1866" s="49"/>
      <c r="I1866" s="49"/>
    </row>
    <row r="1867" ht="15.75" customHeight="1" spans="1:9">
      <c r="A1867" s="49"/>
      <c r="B1867" s="45" t="s">
        <v>1399</v>
      </c>
      <c r="C1867" s="78" t="s">
        <v>3316</v>
      </c>
      <c r="D1867" s="78" t="s">
        <v>3317</v>
      </c>
      <c r="E1867" s="49"/>
      <c r="F1867" s="49"/>
      <c r="G1867" s="49"/>
      <c r="H1867" s="49"/>
      <c r="I1867" s="49"/>
    </row>
    <row r="1868" ht="15.75" customHeight="1" spans="1:9">
      <c r="A1868" s="49"/>
      <c r="B1868" s="45" t="s">
        <v>1399</v>
      </c>
      <c r="C1868" s="78" t="s">
        <v>3318</v>
      </c>
      <c r="D1868" s="78" t="s">
        <v>3319</v>
      </c>
      <c r="E1868" s="49"/>
      <c r="F1868" s="49"/>
      <c r="G1868" s="49"/>
      <c r="H1868" s="49"/>
      <c r="I1868" s="49"/>
    </row>
    <row r="1869" ht="15.75" customHeight="1" spans="1:9">
      <c r="A1869" s="49"/>
      <c r="B1869" s="45" t="s">
        <v>1399</v>
      </c>
      <c r="C1869" s="78" t="s">
        <v>3320</v>
      </c>
      <c r="D1869" s="78" t="s">
        <v>3321</v>
      </c>
      <c r="E1869" s="49"/>
      <c r="F1869" s="49"/>
      <c r="G1869" s="49"/>
      <c r="H1869" s="49"/>
      <c r="I1869" s="49"/>
    </row>
    <row r="1870" ht="15.75" customHeight="1" spans="1:9">
      <c r="A1870" s="49"/>
      <c r="B1870" s="45" t="s">
        <v>1399</v>
      </c>
      <c r="C1870" s="78" t="s">
        <v>3322</v>
      </c>
      <c r="D1870" s="78" t="s">
        <v>3323</v>
      </c>
      <c r="E1870" s="49"/>
      <c r="F1870" s="49"/>
      <c r="G1870" s="49"/>
      <c r="H1870" s="49"/>
      <c r="I1870" s="49"/>
    </row>
    <row r="1871" ht="15.75" customHeight="1" spans="1:9">
      <c r="A1871" s="49"/>
      <c r="B1871" s="45" t="s">
        <v>1399</v>
      </c>
      <c r="C1871" s="78" t="s">
        <v>3324</v>
      </c>
      <c r="D1871" s="78" t="s">
        <v>3325</v>
      </c>
      <c r="E1871" s="49"/>
      <c r="F1871" s="49"/>
      <c r="G1871" s="49"/>
      <c r="H1871" s="49"/>
      <c r="I1871" s="49"/>
    </row>
    <row r="1872" ht="15.75" customHeight="1" spans="1:9">
      <c r="A1872" s="49"/>
      <c r="B1872" s="45" t="s">
        <v>1399</v>
      </c>
      <c r="C1872" s="78" t="s">
        <v>3326</v>
      </c>
      <c r="D1872" s="78" t="s">
        <v>3327</v>
      </c>
      <c r="E1872" s="49"/>
      <c r="F1872" s="49"/>
      <c r="G1872" s="49"/>
      <c r="H1872" s="49"/>
      <c r="I1872" s="49"/>
    </row>
    <row r="1873" ht="15.75" customHeight="1" spans="1:9">
      <c r="A1873" s="49"/>
      <c r="B1873" s="45" t="s">
        <v>1399</v>
      </c>
      <c r="C1873" s="78" t="s">
        <v>3328</v>
      </c>
      <c r="D1873" s="78" t="s">
        <v>3329</v>
      </c>
      <c r="E1873" s="49"/>
      <c r="F1873" s="49"/>
      <c r="G1873" s="49"/>
      <c r="H1873" s="49"/>
      <c r="I1873" s="49"/>
    </row>
    <row r="1874" ht="15.75" customHeight="1" spans="1:9">
      <c r="A1874" s="49"/>
      <c r="B1874" s="45" t="s">
        <v>1399</v>
      </c>
      <c r="C1874" s="78" t="s">
        <v>3330</v>
      </c>
      <c r="D1874" s="78" t="s">
        <v>3331</v>
      </c>
      <c r="E1874" s="49"/>
      <c r="F1874" s="49"/>
      <c r="G1874" s="49"/>
      <c r="H1874" s="49"/>
      <c r="I1874" s="49"/>
    </row>
    <row r="1875" ht="15.75" customHeight="1" spans="1:9">
      <c r="A1875" s="49"/>
      <c r="B1875" s="45" t="s">
        <v>1399</v>
      </c>
      <c r="C1875" s="78" t="s">
        <v>3332</v>
      </c>
      <c r="D1875" s="78" t="s">
        <v>3333</v>
      </c>
      <c r="E1875" s="49"/>
      <c r="F1875" s="49"/>
      <c r="G1875" s="49"/>
      <c r="H1875" s="49"/>
      <c r="I1875" s="49"/>
    </row>
    <row r="1876" ht="15.75" customHeight="1" spans="1:9">
      <c r="A1876" s="49"/>
      <c r="B1876" s="45" t="s">
        <v>1399</v>
      </c>
      <c r="C1876" s="78" t="s">
        <v>3334</v>
      </c>
      <c r="D1876" s="78" t="s">
        <v>3335</v>
      </c>
      <c r="E1876" s="49"/>
      <c r="F1876" s="49"/>
      <c r="G1876" s="49"/>
      <c r="H1876" s="49"/>
      <c r="I1876" s="49"/>
    </row>
    <row r="1877" ht="15.75" customHeight="1" spans="1:9">
      <c r="A1877" s="49"/>
      <c r="B1877" s="45" t="s">
        <v>1399</v>
      </c>
      <c r="C1877" s="78" t="s">
        <v>3336</v>
      </c>
      <c r="D1877" s="78" t="s">
        <v>3337</v>
      </c>
      <c r="E1877" s="49"/>
      <c r="F1877" s="49"/>
      <c r="G1877" s="49"/>
      <c r="H1877" s="49"/>
      <c r="I1877" s="49"/>
    </row>
    <row r="1878" ht="15.75" customHeight="1" spans="1:9">
      <c r="A1878" s="49"/>
      <c r="B1878" s="45" t="s">
        <v>1399</v>
      </c>
      <c r="C1878" s="78" t="s">
        <v>3338</v>
      </c>
      <c r="D1878" s="78" t="s">
        <v>3339</v>
      </c>
      <c r="E1878" s="49"/>
      <c r="F1878" s="49"/>
      <c r="G1878" s="49"/>
      <c r="H1878" s="49"/>
      <c r="I1878" s="49"/>
    </row>
    <row r="1879" ht="15.75" customHeight="1" spans="1:9">
      <c r="A1879" s="49"/>
      <c r="B1879" s="45" t="s">
        <v>1399</v>
      </c>
      <c r="C1879" s="78" t="s">
        <v>3340</v>
      </c>
      <c r="D1879" s="78" t="s">
        <v>3341</v>
      </c>
      <c r="E1879" s="49"/>
      <c r="F1879" s="49"/>
      <c r="G1879" s="49"/>
      <c r="H1879" s="49"/>
      <c r="I1879" s="49"/>
    </row>
    <row r="1880" ht="15.75" customHeight="1" spans="1:9">
      <c r="A1880" s="49"/>
      <c r="B1880" s="45" t="s">
        <v>1399</v>
      </c>
      <c r="C1880" s="78" t="s">
        <v>3342</v>
      </c>
      <c r="D1880" s="78" t="s">
        <v>3343</v>
      </c>
      <c r="E1880" s="49"/>
      <c r="F1880" s="49"/>
      <c r="G1880" s="49"/>
      <c r="H1880" s="49"/>
      <c r="I1880" s="49"/>
    </row>
    <row r="1881" ht="15.75" customHeight="1" spans="1:9">
      <c r="A1881" s="49"/>
      <c r="B1881" s="45" t="s">
        <v>1399</v>
      </c>
      <c r="C1881" s="78" t="s">
        <v>3344</v>
      </c>
      <c r="D1881" s="78" t="s">
        <v>3345</v>
      </c>
      <c r="E1881" s="49"/>
      <c r="F1881" s="49"/>
      <c r="G1881" s="49"/>
      <c r="H1881" s="49"/>
      <c r="I1881" s="49"/>
    </row>
    <row r="1882" ht="15.75" customHeight="1" spans="1:9">
      <c r="A1882" s="49"/>
      <c r="B1882" s="45" t="s">
        <v>1399</v>
      </c>
      <c r="C1882" s="78" t="s">
        <v>3346</v>
      </c>
      <c r="D1882" s="78" t="s">
        <v>3347</v>
      </c>
      <c r="E1882" s="49"/>
      <c r="F1882" s="49"/>
      <c r="G1882" s="49"/>
      <c r="H1882" s="49"/>
      <c r="I1882" s="49"/>
    </row>
    <row r="1883" ht="15.75" customHeight="1" spans="1:9">
      <c r="A1883" s="49"/>
      <c r="B1883" s="45" t="s">
        <v>1399</v>
      </c>
      <c r="C1883" s="78" t="s">
        <v>3348</v>
      </c>
      <c r="D1883" s="78" t="s">
        <v>3349</v>
      </c>
      <c r="E1883" s="49"/>
      <c r="F1883" s="49"/>
      <c r="G1883" s="49"/>
      <c r="H1883" s="49"/>
      <c r="I1883" s="49"/>
    </row>
    <row r="1884" ht="15.75" customHeight="1" spans="1:9">
      <c r="A1884" s="49"/>
      <c r="B1884" s="45" t="s">
        <v>1399</v>
      </c>
      <c r="C1884" s="78" t="s">
        <v>3350</v>
      </c>
      <c r="D1884" s="78" t="s">
        <v>3351</v>
      </c>
      <c r="E1884" s="49"/>
      <c r="F1884" s="49"/>
      <c r="G1884" s="49"/>
      <c r="H1884" s="49"/>
      <c r="I1884" s="49"/>
    </row>
    <row r="1885" ht="15.75" customHeight="1" spans="1:9">
      <c r="A1885" s="49"/>
      <c r="B1885" s="45" t="s">
        <v>1399</v>
      </c>
      <c r="C1885" s="78" t="s">
        <v>3352</v>
      </c>
      <c r="D1885" s="78" t="s">
        <v>3353</v>
      </c>
      <c r="E1885" s="49"/>
      <c r="F1885" s="49"/>
      <c r="G1885" s="49"/>
      <c r="H1885" s="49"/>
      <c r="I1885" s="49"/>
    </row>
    <row r="1886" ht="15.75" customHeight="1" spans="1:9">
      <c r="A1886" s="49"/>
      <c r="B1886" s="45" t="s">
        <v>1399</v>
      </c>
      <c r="C1886" s="78" t="s">
        <v>3354</v>
      </c>
      <c r="D1886" s="78" t="s">
        <v>3355</v>
      </c>
      <c r="E1886" s="49"/>
      <c r="F1886" s="49"/>
      <c r="G1886" s="49"/>
      <c r="H1886" s="49"/>
      <c r="I1886" s="49"/>
    </row>
    <row r="1887" ht="15.75" customHeight="1" spans="1:9">
      <c r="A1887" s="49"/>
      <c r="B1887" s="45" t="s">
        <v>1399</v>
      </c>
      <c r="C1887" s="78" t="s">
        <v>3356</v>
      </c>
      <c r="D1887" s="78" t="s">
        <v>3357</v>
      </c>
      <c r="E1887" s="49"/>
      <c r="F1887" s="49"/>
      <c r="G1887" s="49"/>
      <c r="H1887" s="49"/>
      <c r="I1887" s="49"/>
    </row>
    <row r="1888" ht="15.75" customHeight="1" spans="1:9">
      <c r="A1888" s="49"/>
      <c r="B1888" s="45" t="s">
        <v>1399</v>
      </c>
      <c r="C1888" s="78" t="s">
        <v>3358</v>
      </c>
      <c r="D1888" s="78" t="s">
        <v>3359</v>
      </c>
      <c r="E1888" s="49"/>
      <c r="F1888" s="49"/>
      <c r="G1888" s="49"/>
      <c r="H1888" s="49"/>
      <c r="I1888" s="49"/>
    </row>
    <row r="1889" ht="15.75" customHeight="1" spans="1:9">
      <c r="A1889" s="49"/>
      <c r="B1889" s="45" t="s">
        <v>1399</v>
      </c>
      <c r="C1889" s="78" t="s">
        <v>3360</v>
      </c>
      <c r="D1889" s="78" t="s">
        <v>3361</v>
      </c>
      <c r="E1889" s="49"/>
      <c r="F1889" s="49"/>
      <c r="G1889" s="49"/>
      <c r="H1889" s="49"/>
      <c r="I1889" s="49"/>
    </row>
    <row r="1890" ht="15.75" customHeight="1" spans="1:9">
      <c r="A1890" s="49"/>
      <c r="B1890" s="45" t="s">
        <v>1399</v>
      </c>
      <c r="C1890" s="78" t="s">
        <v>3362</v>
      </c>
      <c r="D1890" s="78" t="s">
        <v>3363</v>
      </c>
      <c r="E1890" s="49"/>
      <c r="F1890" s="49"/>
      <c r="G1890" s="49"/>
      <c r="H1890" s="49"/>
      <c r="I1890" s="49"/>
    </row>
    <row r="1891" ht="15.75" customHeight="1" spans="1:9">
      <c r="A1891" s="49"/>
      <c r="B1891" s="45" t="s">
        <v>1399</v>
      </c>
      <c r="C1891" s="78" t="s">
        <v>3364</v>
      </c>
      <c r="D1891" s="78" t="s">
        <v>3365</v>
      </c>
      <c r="E1891" s="49"/>
      <c r="F1891" s="49"/>
      <c r="G1891" s="49"/>
      <c r="H1891" s="49"/>
      <c r="I1891" s="49"/>
    </row>
    <row r="1892" ht="15.75" customHeight="1" spans="1:9">
      <c r="A1892" s="49"/>
      <c r="B1892" s="45" t="s">
        <v>1399</v>
      </c>
      <c r="C1892" s="78" t="s">
        <v>3366</v>
      </c>
      <c r="D1892" s="78" t="s">
        <v>3367</v>
      </c>
      <c r="E1892" s="49"/>
      <c r="F1892" s="49"/>
      <c r="G1892" s="49"/>
      <c r="H1892" s="49"/>
      <c r="I1892" s="49"/>
    </row>
    <row r="1893" ht="15.75" customHeight="1" spans="1:9">
      <c r="A1893" s="49"/>
      <c r="B1893" s="45" t="s">
        <v>1399</v>
      </c>
      <c r="C1893" s="78" t="s">
        <v>3368</v>
      </c>
      <c r="D1893" s="78" t="s">
        <v>3369</v>
      </c>
      <c r="E1893" s="49"/>
      <c r="F1893" s="49"/>
      <c r="G1893" s="49"/>
      <c r="H1893" s="49"/>
      <c r="I1893" s="49"/>
    </row>
    <row r="1894" ht="15.75" customHeight="1" spans="1:9">
      <c r="A1894" s="49"/>
      <c r="B1894" s="45" t="s">
        <v>1399</v>
      </c>
      <c r="C1894" s="78" t="s">
        <v>3370</v>
      </c>
      <c r="D1894" s="78" t="s">
        <v>3371</v>
      </c>
      <c r="E1894" s="49"/>
      <c r="F1894" s="49"/>
      <c r="G1894" s="49"/>
      <c r="H1894" s="49"/>
      <c r="I1894" s="49"/>
    </row>
    <row r="1895" ht="15.75" customHeight="1" spans="1:9">
      <c r="A1895" s="49"/>
      <c r="B1895" s="45" t="s">
        <v>1399</v>
      </c>
      <c r="C1895" s="78" t="s">
        <v>3372</v>
      </c>
      <c r="D1895" s="78" t="s">
        <v>3373</v>
      </c>
      <c r="E1895" s="49"/>
      <c r="F1895" s="49"/>
      <c r="G1895" s="49"/>
      <c r="H1895" s="49"/>
      <c r="I1895" s="49"/>
    </row>
    <row r="1896" ht="15.75" customHeight="1" spans="1:9">
      <c r="A1896" s="49"/>
      <c r="B1896" s="45" t="s">
        <v>1399</v>
      </c>
      <c r="C1896" s="78" t="s">
        <v>3374</v>
      </c>
      <c r="D1896" s="78" t="s">
        <v>3375</v>
      </c>
      <c r="E1896" s="49"/>
      <c r="F1896" s="49"/>
      <c r="G1896" s="49"/>
      <c r="H1896" s="49"/>
      <c r="I1896" s="49"/>
    </row>
    <row r="1897" ht="15.75" customHeight="1" spans="1:9">
      <c r="A1897" s="49"/>
      <c r="B1897" s="45" t="s">
        <v>1399</v>
      </c>
      <c r="C1897" s="78" t="s">
        <v>3376</v>
      </c>
      <c r="D1897" s="78" t="s">
        <v>3377</v>
      </c>
      <c r="E1897" s="49"/>
      <c r="F1897" s="49"/>
      <c r="G1897" s="49"/>
      <c r="H1897" s="49"/>
      <c r="I1897" s="49"/>
    </row>
    <row r="1898" ht="15.75" customHeight="1" spans="1:9">
      <c r="A1898" s="49"/>
      <c r="B1898" s="45" t="s">
        <v>1399</v>
      </c>
      <c r="C1898" s="78" t="s">
        <v>3378</v>
      </c>
      <c r="D1898" s="78" t="s">
        <v>3379</v>
      </c>
      <c r="E1898" s="49"/>
      <c r="F1898" s="49"/>
      <c r="G1898" s="49"/>
      <c r="H1898" s="49"/>
      <c r="I1898" s="49"/>
    </row>
    <row r="1899" ht="15.75" customHeight="1" spans="1:9">
      <c r="A1899" s="49"/>
      <c r="B1899" s="45" t="s">
        <v>1399</v>
      </c>
      <c r="C1899" s="78" t="s">
        <v>3380</v>
      </c>
      <c r="D1899" s="78" t="s">
        <v>3381</v>
      </c>
      <c r="E1899" s="49"/>
      <c r="F1899" s="49"/>
      <c r="G1899" s="49"/>
      <c r="H1899" s="49"/>
      <c r="I1899" s="49"/>
    </row>
    <row r="1900" ht="15.75" customHeight="1" spans="1:9">
      <c r="A1900" s="49"/>
      <c r="B1900" s="45" t="s">
        <v>1399</v>
      </c>
      <c r="C1900" s="78" t="s">
        <v>3382</v>
      </c>
      <c r="D1900" s="78" t="s">
        <v>3383</v>
      </c>
      <c r="E1900" s="49"/>
      <c r="F1900" s="49"/>
      <c r="G1900" s="49"/>
      <c r="H1900" s="49"/>
      <c r="I1900" s="49"/>
    </row>
    <row r="1901" ht="15.75" customHeight="1" spans="1:9">
      <c r="A1901" s="49"/>
      <c r="B1901" s="45" t="s">
        <v>1399</v>
      </c>
      <c r="C1901" s="78" t="s">
        <v>3384</v>
      </c>
      <c r="D1901" s="78" t="s">
        <v>3385</v>
      </c>
      <c r="E1901" s="49"/>
      <c r="F1901" s="49"/>
      <c r="G1901" s="49"/>
      <c r="H1901" s="49"/>
      <c r="I1901" s="49"/>
    </row>
    <row r="1902" ht="15.75" customHeight="1" spans="1:9">
      <c r="A1902" s="49"/>
      <c r="B1902" s="45" t="s">
        <v>1399</v>
      </c>
      <c r="C1902" s="78" t="s">
        <v>3386</v>
      </c>
      <c r="D1902" s="78" t="s">
        <v>3387</v>
      </c>
      <c r="E1902" s="49"/>
      <c r="F1902" s="49"/>
      <c r="G1902" s="49"/>
      <c r="H1902" s="49"/>
      <c r="I1902" s="49"/>
    </row>
    <row r="1903" ht="15.75" customHeight="1" spans="1:9">
      <c r="A1903" s="49"/>
      <c r="B1903" s="45" t="s">
        <v>1399</v>
      </c>
      <c r="C1903" s="78" t="s">
        <v>3388</v>
      </c>
      <c r="D1903" s="78" t="s">
        <v>3389</v>
      </c>
      <c r="E1903" s="49"/>
      <c r="F1903" s="49"/>
      <c r="G1903" s="49"/>
      <c r="H1903" s="49"/>
      <c r="I1903" s="49"/>
    </row>
    <row r="1904" ht="15.75" customHeight="1" spans="1:9">
      <c r="A1904" s="49"/>
      <c r="B1904" s="45" t="s">
        <v>1399</v>
      </c>
      <c r="C1904" s="78" t="s">
        <v>3390</v>
      </c>
      <c r="D1904" s="78" t="s">
        <v>3391</v>
      </c>
      <c r="E1904" s="49"/>
      <c r="F1904" s="49"/>
      <c r="G1904" s="49"/>
      <c r="H1904" s="49"/>
      <c r="I1904" s="49"/>
    </row>
    <row r="1905" ht="15.75" customHeight="1" spans="1:9">
      <c r="A1905" s="49"/>
      <c r="B1905" s="45" t="s">
        <v>1399</v>
      </c>
      <c r="C1905" s="78" t="s">
        <v>3392</v>
      </c>
      <c r="D1905" s="78" t="s">
        <v>3393</v>
      </c>
      <c r="E1905" s="49"/>
      <c r="F1905" s="49"/>
      <c r="G1905" s="49"/>
      <c r="H1905" s="49"/>
      <c r="I1905" s="49"/>
    </row>
    <row r="1906" ht="15.75" customHeight="1" spans="1:9">
      <c r="A1906" s="49"/>
      <c r="B1906" s="45" t="s">
        <v>1399</v>
      </c>
      <c r="C1906" s="78" t="s">
        <v>3394</v>
      </c>
      <c r="D1906" s="78" t="s">
        <v>3395</v>
      </c>
      <c r="E1906" s="49"/>
      <c r="F1906" s="49"/>
      <c r="G1906" s="49"/>
      <c r="H1906" s="49"/>
      <c r="I1906" s="49"/>
    </row>
    <row r="1907" ht="15.75" customHeight="1" spans="1:9">
      <c r="A1907" s="49"/>
      <c r="B1907" s="45" t="s">
        <v>1399</v>
      </c>
      <c r="C1907" s="78" t="s">
        <v>3396</v>
      </c>
      <c r="D1907" s="78" t="s">
        <v>3397</v>
      </c>
      <c r="E1907" s="49"/>
      <c r="F1907" s="49"/>
      <c r="G1907" s="49"/>
      <c r="H1907" s="49"/>
      <c r="I1907" s="49"/>
    </row>
    <row r="1908" ht="15.75" customHeight="1" spans="1:9">
      <c r="A1908" s="49"/>
      <c r="B1908" s="45" t="s">
        <v>1399</v>
      </c>
      <c r="C1908" s="78" t="s">
        <v>3398</v>
      </c>
      <c r="D1908" s="78" t="s">
        <v>3399</v>
      </c>
      <c r="E1908" s="49"/>
      <c r="F1908" s="49"/>
      <c r="G1908" s="49"/>
      <c r="H1908" s="49"/>
      <c r="I1908" s="49"/>
    </row>
    <row r="1909" ht="15.75" customHeight="1" spans="1:9">
      <c r="A1909" s="49"/>
      <c r="B1909" s="45" t="s">
        <v>1399</v>
      </c>
      <c r="C1909" s="78" t="s">
        <v>3400</v>
      </c>
      <c r="D1909" s="78" t="s">
        <v>3401</v>
      </c>
      <c r="E1909" s="49"/>
      <c r="F1909" s="49"/>
      <c r="G1909" s="49"/>
      <c r="H1909" s="49"/>
      <c r="I1909" s="49"/>
    </row>
    <row r="1910" ht="15.75" customHeight="1" spans="1:9">
      <c r="A1910" s="49"/>
      <c r="B1910" s="45" t="s">
        <v>1399</v>
      </c>
      <c r="C1910" s="78" t="s">
        <v>3402</v>
      </c>
      <c r="D1910" s="78" t="s">
        <v>3403</v>
      </c>
      <c r="E1910" s="49"/>
      <c r="F1910" s="49"/>
      <c r="G1910" s="49"/>
      <c r="H1910" s="49"/>
      <c r="I1910" s="49"/>
    </row>
    <row r="1911" ht="15.75" customHeight="1" spans="1:9">
      <c r="A1911" s="49"/>
      <c r="B1911" s="45" t="s">
        <v>1399</v>
      </c>
      <c r="C1911" s="78" t="s">
        <v>3404</v>
      </c>
      <c r="D1911" s="78" t="s">
        <v>3405</v>
      </c>
      <c r="E1911" s="49"/>
      <c r="F1911" s="49"/>
      <c r="G1911" s="49"/>
      <c r="H1911" s="49"/>
      <c r="I1911" s="49"/>
    </row>
    <row r="1912" ht="15.75" customHeight="1" spans="1:9">
      <c r="A1912" s="49"/>
      <c r="B1912" s="45" t="s">
        <v>1399</v>
      </c>
      <c r="C1912" s="78" t="s">
        <v>3406</v>
      </c>
      <c r="D1912" s="78" t="s">
        <v>3407</v>
      </c>
      <c r="E1912" s="49"/>
      <c r="F1912" s="49"/>
      <c r="G1912" s="49"/>
      <c r="H1912" s="49"/>
      <c r="I1912" s="49"/>
    </row>
    <row r="1913" ht="15.75" customHeight="1" spans="1:9">
      <c r="A1913" s="49"/>
      <c r="B1913" s="45" t="s">
        <v>1399</v>
      </c>
      <c r="C1913" s="78" t="s">
        <v>3408</v>
      </c>
      <c r="D1913" s="78" t="s">
        <v>3409</v>
      </c>
      <c r="E1913" s="49"/>
      <c r="F1913" s="49"/>
      <c r="G1913" s="49"/>
      <c r="H1913" s="49"/>
      <c r="I1913" s="49"/>
    </row>
    <row r="1914" ht="15.75" customHeight="1" spans="1:9">
      <c r="A1914" s="49"/>
      <c r="B1914" s="38" t="s">
        <v>3410</v>
      </c>
      <c r="C1914" s="38" t="b">
        <f>TRUE()</f>
        <v>1</v>
      </c>
      <c r="D1914" s="38" t="s">
        <v>3411</v>
      </c>
      <c r="E1914" s="49"/>
      <c r="F1914" s="49"/>
      <c r="G1914" s="49"/>
      <c r="H1914" s="49"/>
      <c r="I1914" s="49"/>
    </row>
    <row r="1915" ht="15.75" customHeight="1" spans="1:9">
      <c r="A1915" s="49"/>
      <c r="B1915" s="39" t="s">
        <v>3410</v>
      </c>
      <c r="C1915" s="39" t="b">
        <f>FALSE()</f>
        <v>0</v>
      </c>
      <c r="D1915" s="39" t="s">
        <v>889</v>
      </c>
      <c r="E1915" s="49"/>
      <c r="F1915" s="49"/>
      <c r="G1915" s="49"/>
      <c r="H1915" s="49"/>
      <c r="I1915" s="49"/>
    </row>
    <row r="1916" ht="15.75" customHeight="1" spans="1:9">
      <c r="A1916" s="49"/>
      <c r="B1916" s="39" t="s">
        <v>3410</v>
      </c>
      <c r="C1916" s="39" t="b">
        <f>TRUE()</f>
        <v>1</v>
      </c>
      <c r="D1916" s="39" t="s">
        <v>3412</v>
      </c>
      <c r="E1916" s="49"/>
      <c r="F1916" s="49"/>
      <c r="G1916" s="49"/>
      <c r="H1916" s="49"/>
      <c r="I1916" s="49"/>
    </row>
    <row r="1917" ht="15.75" customHeight="1" spans="1:9">
      <c r="A1917" s="49"/>
      <c r="B1917" s="39" t="s">
        <v>3410</v>
      </c>
      <c r="C1917" s="39" t="b">
        <f>FALSE()</f>
        <v>0</v>
      </c>
      <c r="D1917" s="39" t="s">
        <v>3413</v>
      </c>
      <c r="E1917" s="49"/>
      <c r="F1917" s="49"/>
      <c r="G1917" s="49"/>
      <c r="H1917" s="49"/>
      <c r="I1917" s="49"/>
    </row>
    <row r="1918" ht="15.75" customHeight="1" spans="1:9">
      <c r="A1918" s="49"/>
      <c r="B1918" s="39" t="s">
        <v>3410</v>
      </c>
      <c r="C1918" s="39" t="b">
        <f>TRUE()</f>
        <v>1</v>
      </c>
      <c r="D1918" s="39" t="b">
        <f>TRUE()</f>
        <v>1</v>
      </c>
      <c r="E1918" s="49"/>
      <c r="F1918" s="49"/>
      <c r="G1918" s="49"/>
      <c r="H1918" s="49"/>
      <c r="I1918" s="49"/>
    </row>
    <row r="1919" ht="15.75" customHeight="1" spans="1:9">
      <c r="A1919" s="49"/>
      <c r="B1919" s="39" t="s">
        <v>3410</v>
      </c>
      <c r="C1919" s="39" t="b">
        <f>FALSE()</f>
        <v>0</v>
      </c>
      <c r="D1919" s="39" t="b">
        <f>FALSE()</f>
        <v>0</v>
      </c>
      <c r="E1919" s="49"/>
      <c r="F1919" s="49"/>
      <c r="G1919" s="49"/>
      <c r="H1919" s="49"/>
      <c r="I1919" s="49"/>
    </row>
    <row r="1920" ht="15.75" customHeight="1" spans="1:9">
      <c r="A1920" s="49"/>
      <c r="B1920" s="39" t="s">
        <v>3410</v>
      </c>
      <c r="C1920" s="39" t="b">
        <f>TRUE()</f>
        <v>1</v>
      </c>
      <c r="D1920" s="39">
        <v>1</v>
      </c>
      <c r="E1920" s="49"/>
      <c r="F1920" s="49"/>
      <c r="G1920" s="49"/>
      <c r="H1920" s="49"/>
      <c r="I1920" s="49"/>
    </row>
    <row r="1921" ht="15.75" customHeight="1" spans="1:9">
      <c r="A1921" s="49"/>
      <c r="B1921" s="39" t="s">
        <v>3410</v>
      </c>
      <c r="C1921" s="39" t="b">
        <f>FALSE()</f>
        <v>0</v>
      </c>
      <c r="D1921" s="39">
        <v>0</v>
      </c>
      <c r="E1921" s="49"/>
      <c r="F1921" s="49"/>
      <c r="G1921" s="49"/>
      <c r="H1921" s="49"/>
      <c r="I1921" s="49"/>
    </row>
    <row r="1922" ht="15.75" customHeight="1" spans="1:9">
      <c r="A1922" s="49"/>
      <c r="B1922" s="41"/>
      <c r="C1922" s="41"/>
      <c r="D1922" s="49"/>
      <c r="E1922" s="49"/>
      <c r="F1922" s="49"/>
      <c r="G1922" s="49"/>
      <c r="H1922" s="49"/>
      <c r="I1922" s="49"/>
    </row>
    <row r="1923" ht="15.75" customHeight="1" spans="1:9">
      <c r="A1923" s="49"/>
      <c r="B1923" s="40" t="s">
        <v>3414</v>
      </c>
      <c r="C1923" s="35"/>
      <c r="D1923" s="49"/>
      <c r="E1923" s="49"/>
      <c r="F1923" s="49"/>
      <c r="G1923" s="49"/>
      <c r="H1923" s="49"/>
      <c r="I1923" s="49"/>
    </row>
    <row r="1924" ht="15.75" customHeight="1" spans="1:9">
      <c r="A1924" s="49"/>
      <c r="B1924" s="36"/>
      <c r="C1924" s="36"/>
      <c r="D1924" s="49"/>
      <c r="E1924" s="49"/>
      <c r="F1924" s="49"/>
      <c r="G1924" s="49"/>
      <c r="H1924" s="49"/>
      <c r="I1924" s="49"/>
    </row>
    <row r="1925" ht="15.75" customHeight="1" spans="1:9">
      <c r="A1925" s="49"/>
      <c r="B1925" s="35" t="s">
        <v>3415</v>
      </c>
      <c r="C1925" s="35" t="s">
        <v>3416</v>
      </c>
      <c r="D1925" s="49"/>
      <c r="E1925" s="49"/>
      <c r="F1925" s="49"/>
      <c r="G1925" s="49"/>
      <c r="H1925" s="49"/>
      <c r="I1925" s="49"/>
    </row>
    <row r="1926" ht="15.75" customHeight="1" spans="1:9">
      <c r="A1926" s="49"/>
      <c r="B1926" s="36" t="s">
        <v>3417</v>
      </c>
      <c r="C1926" s="36" t="s">
        <v>3418</v>
      </c>
      <c r="D1926" s="49"/>
      <c r="E1926" s="49"/>
      <c r="F1926" s="49"/>
      <c r="G1926" s="49"/>
      <c r="H1926" s="49"/>
      <c r="I1926" s="49"/>
    </row>
    <row r="1927" ht="15.75" customHeight="1" spans="1:9">
      <c r="A1927" s="49"/>
      <c r="B1927" s="36" t="s">
        <v>3417</v>
      </c>
      <c r="C1927" s="36" t="s">
        <v>14</v>
      </c>
      <c r="D1927" s="49"/>
      <c r="E1927" s="49"/>
      <c r="F1927" s="49"/>
      <c r="G1927" s="49"/>
      <c r="H1927" s="49"/>
      <c r="I1927" s="49"/>
    </row>
    <row r="1928" ht="15.75" customHeight="1" spans="1:9">
      <c r="A1928" s="49"/>
      <c r="B1928" s="36" t="s">
        <v>3417</v>
      </c>
      <c r="C1928" s="36" t="s">
        <v>3419</v>
      </c>
      <c r="D1928" s="49"/>
      <c r="E1928" s="49"/>
      <c r="F1928" s="49"/>
      <c r="G1928" s="49"/>
      <c r="H1928" s="49"/>
      <c r="I1928" s="49"/>
    </row>
    <row r="1929" ht="15.75" customHeight="1" spans="1:9">
      <c r="A1929" s="49"/>
      <c r="B1929" s="36" t="s">
        <v>3417</v>
      </c>
      <c r="C1929" s="36" t="s">
        <v>3420</v>
      </c>
      <c r="D1929" s="49"/>
      <c r="E1929" s="49"/>
      <c r="F1929" s="49"/>
      <c r="G1929" s="49"/>
      <c r="H1929" s="49"/>
      <c r="I1929" s="49"/>
    </row>
    <row r="1930" ht="15.75" customHeight="1" spans="1:9">
      <c r="A1930" s="49"/>
      <c r="B1930" s="36" t="s">
        <v>3417</v>
      </c>
      <c r="C1930" s="36" t="s">
        <v>3421</v>
      </c>
      <c r="D1930" s="49"/>
      <c r="E1930" s="49"/>
      <c r="F1930" s="49"/>
      <c r="G1930" s="49"/>
      <c r="H1930" s="49"/>
      <c r="I1930" s="49"/>
    </row>
    <row r="1931" ht="15.75" customHeight="1" spans="1:9">
      <c r="A1931" s="49"/>
      <c r="B1931" s="36" t="s">
        <v>3417</v>
      </c>
      <c r="C1931" s="36" t="s">
        <v>3417</v>
      </c>
      <c r="D1931" s="49"/>
      <c r="E1931" s="49"/>
      <c r="F1931" s="49"/>
      <c r="G1931" s="49"/>
      <c r="H1931" s="49"/>
      <c r="I1931" s="49"/>
    </row>
    <row r="1932" ht="15.75" customHeight="1" spans="1:9">
      <c r="A1932" s="49"/>
      <c r="B1932" s="36" t="s">
        <v>3417</v>
      </c>
      <c r="C1932" s="36" t="s">
        <v>3422</v>
      </c>
      <c r="D1932" s="49"/>
      <c r="E1932" s="49"/>
      <c r="F1932" s="49"/>
      <c r="G1932" s="49"/>
      <c r="H1932" s="49"/>
      <c r="I1932" s="49"/>
    </row>
    <row r="1933" ht="15.75" customHeight="1" spans="1:9">
      <c r="A1933" s="49"/>
      <c r="B1933" s="36" t="s">
        <v>3417</v>
      </c>
      <c r="C1933" s="36" t="s">
        <v>3423</v>
      </c>
      <c r="D1933" s="49"/>
      <c r="E1933" s="49"/>
      <c r="F1933" s="49"/>
      <c r="G1933" s="49"/>
      <c r="H1933" s="49"/>
      <c r="I1933" s="49"/>
    </row>
    <row r="1934" ht="15.75" customHeight="1" spans="1:9">
      <c r="A1934" s="49"/>
      <c r="B1934" s="36" t="s">
        <v>3417</v>
      </c>
      <c r="C1934" s="36" t="s">
        <v>3424</v>
      </c>
      <c r="D1934" s="49"/>
      <c r="E1934" s="49"/>
      <c r="F1934" s="49"/>
      <c r="G1934" s="49"/>
      <c r="H1934" s="49"/>
      <c r="I1934" s="49"/>
    </row>
    <row r="1935" ht="15.75" customHeight="1" spans="1:9">
      <c r="A1935" s="49"/>
      <c r="B1935" s="36" t="s">
        <v>3417</v>
      </c>
      <c r="C1935" s="36" t="s">
        <v>3425</v>
      </c>
      <c r="D1935" s="49"/>
      <c r="E1935" s="49"/>
      <c r="F1935" s="49"/>
      <c r="G1935" s="49"/>
      <c r="H1935" s="49"/>
      <c r="I1935" s="49"/>
    </row>
    <row r="1936" ht="15.75" customHeight="1" spans="1:9">
      <c r="A1936" s="49"/>
      <c r="B1936" s="36" t="s">
        <v>3417</v>
      </c>
      <c r="C1936" s="36" t="s">
        <v>3426</v>
      </c>
      <c r="D1936" s="49"/>
      <c r="E1936" s="49"/>
      <c r="F1936" s="49"/>
      <c r="G1936" s="49"/>
      <c r="H1936" s="49"/>
      <c r="I1936" s="49"/>
    </row>
    <row r="1937" ht="15.75" customHeight="1" spans="1:9">
      <c r="A1937" s="49"/>
      <c r="B1937" s="36" t="s">
        <v>3417</v>
      </c>
      <c r="C1937" s="36" t="s">
        <v>3427</v>
      </c>
      <c r="D1937" s="49"/>
      <c r="E1937" s="49"/>
      <c r="F1937" s="49"/>
      <c r="G1937" s="49"/>
      <c r="H1937" s="49"/>
      <c r="I1937" s="49"/>
    </row>
    <row r="1938" ht="15.75" customHeight="1" spans="1:9">
      <c r="A1938" s="49"/>
      <c r="B1938" s="36" t="s">
        <v>3417</v>
      </c>
      <c r="C1938" s="36" t="s">
        <v>3428</v>
      </c>
      <c r="D1938" s="49"/>
      <c r="E1938" s="49"/>
      <c r="F1938" s="49"/>
      <c r="G1938" s="49"/>
      <c r="H1938" s="49"/>
      <c r="I1938" s="49"/>
    </row>
    <row r="1939" ht="15.75" customHeight="1" spans="1:9">
      <c r="A1939" s="49"/>
      <c r="B1939" s="36" t="s">
        <v>3417</v>
      </c>
      <c r="C1939" s="36" t="s">
        <v>3429</v>
      </c>
      <c r="D1939" s="49"/>
      <c r="E1939" s="49"/>
      <c r="F1939" s="49"/>
      <c r="G1939" s="49"/>
      <c r="H1939" s="49"/>
      <c r="I1939" s="49"/>
    </row>
    <row r="1940" ht="15.75" customHeight="1" spans="1:9">
      <c r="A1940" s="49"/>
      <c r="B1940" s="36" t="s">
        <v>3417</v>
      </c>
      <c r="C1940" s="36" t="s">
        <v>3430</v>
      </c>
      <c r="D1940" s="49"/>
      <c r="E1940" s="49"/>
      <c r="F1940" s="49"/>
      <c r="G1940" s="49"/>
      <c r="H1940" s="49"/>
      <c r="I1940" s="49"/>
    </row>
    <row r="1941" ht="15.75" customHeight="1" spans="1:9">
      <c r="A1941" s="49"/>
      <c r="B1941" s="36" t="s">
        <v>3417</v>
      </c>
      <c r="C1941" s="36" t="s">
        <v>3431</v>
      </c>
      <c r="D1941" s="49"/>
      <c r="E1941" s="49"/>
      <c r="F1941" s="49"/>
      <c r="G1941" s="49"/>
      <c r="H1941" s="49"/>
      <c r="I1941" s="49"/>
    </row>
    <row r="1942" ht="15.75" customHeight="1" spans="1:9">
      <c r="A1942" s="49"/>
      <c r="B1942" s="36" t="s">
        <v>3417</v>
      </c>
      <c r="C1942" s="36" t="s">
        <v>3432</v>
      </c>
      <c r="D1942" s="49"/>
      <c r="E1942" s="49"/>
      <c r="F1942" s="49"/>
      <c r="G1942" s="49"/>
      <c r="H1942" s="49"/>
      <c r="I1942" s="49"/>
    </row>
    <row r="1943" ht="15.75" customHeight="1" spans="1:9">
      <c r="A1943" s="49"/>
      <c r="B1943" s="36" t="s">
        <v>3417</v>
      </c>
      <c r="C1943" s="36" t="s">
        <v>3433</v>
      </c>
      <c r="D1943" s="49"/>
      <c r="E1943" s="49"/>
      <c r="F1943" s="49"/>
      <c r="G1943" s="49"/>
      <c r="H1943" s="49"/>
      <c r="I1943" s="49"/>
    </row>
    <row r="1944" ht="15.75" customHeight="1" spans="1:9">
      <c r="A1944" s="49"/>
      <c r="B1944" s="36" t="s">
        <v>3417</v>
      </c>
      <c r="C1944" s="36" t="s">
        <v>3434</v>
      </c>
      <c r="D1944" s="49"/>
      <c r="E1944" s="49"/>
      <c r="F1944" s="49"/>
      <c r="G1944" s="49"/>
      <c r="H1944" s="49"/>
      <c r="I1944" s="49"/>
    </row>
    <row r="1945" ht="15.75" customHeight="1" spans="1:9">
      <c r="A1945" s="49"/>
      <c r="B1945" s="36" t="s">
        <v>3417</v>
      </c>
      <c r="C1945" s="36" t="s">
        <v>3435</v>
      </c>
      <c r="D1945" s="49"/>
      <c r="E1945" s="49"/>
      <c r="F1945" s="49"/>
      <c r="G1945" s="49"/>
      <c r="H1945" s="49"/>
      <c r="I1945" s="49"/>
    </row>
    <row r="1946" ht="15.75" customHeight="1" spans="1:9">
      <c r="A1946" s="49"/>
      <c r="B1946" s="36" t="s">
        <v>3417</v>
      </c>
      <c r="C1946" s="36" t="s">
        <v>3436</v>
      </c>
      <c r="D1946" s="49"/>
      <c r="E1946" s="49"/>
      <c r="F1946" s="49"/>
      <c r="G1946" s="49"/>
      <c r="H1946" s="49"/>
      <c r="I1946" s="49"/>
    </row>
    <row r="1947" ht="15.75" customHeight="1" spans="1:9">
      <c r="A1947" s="49"/>
      <c r="B1947" s="36" t="s">
        <v>3417</v>
      </c>
      <c r="C1947" s="36" t="s">
        <v>3437</v>
      </c>
      <c r="D1947" s="49"/>
      <c r="E1947" s="49"/>
      <c r="F1947" s="49"/>
      <c r="G1947" s="49"/>
      <c r="H1947" s="49"/>
      <c r="I1947" s="49"/>
    </row>
    <row r="1948" ht="15.75" customHeight="1" spans="1:9">
      <c r="A1948" s="49"/>
      <c r="B1948" s="36" t="s">
        <v>3417</v>
      </c>
      <c r="C1948" s="36" t="s">
        <v>3438</v>
      </c>
      <c r="D1948" s="49"/>
      <c r="E1948" s="49"/>
      <c r="F1948" s="49"/>
      <c r="G1948" s="49"/>
      <c r="H1948" s="49"/>
      <c r="I1948" s="49"/>
    </row>
    <row r="1949" ht="15.75" customHeight="1" spans="1:9">
      <c r="A1949" s="49"/>
      <c r="B1949" s="36" t="s">
        <v>3417</v>
      </c>
      <c r="C1949" s="36" t="s">
        <v>3439</v>
      </c>
      <c r="D1949" s="49"/>
      <c r="E1949" s="49"/>
      <c r="F1949" s="49"/>
      <c r="G1949" s="49"/>
      <c r="H1949" s="49"/>
      <c r="I1949" s="49"/>
    </row>
    <row r="1950" ht="15.75" customHeight="1" spans="1:9">
      <c r="A1950" s="49"/>
      <c r="B1950" s="36" t="s">
        <v>3417</v>
      </c>
      <c r="C1950" s="36" t="s">
        <v>3440</v>
      </c>
      <c r="D1950" s="49"/>
      <c r="E1950" s="49"/>
      <c r="F1950" s="49"/>
      <c r="G1950" s="49"/>
      <c r="H1950" s="49"/>
      <c r="I1950" s="49"/>
    </row>
    <row r="1951" ht="15.75" customHeight="1" spans="1:9">
      <c r="A1951" s="49"/>
      <c r="B1951" s="36" t="s">
        <v>3417</v>
      </c>
      <c r="C1951" s="36" t="s">
        <v>3441</v>
      </c>
      <c r="D1951" s="49"/>
      <c r="E1951" s="49"/>
      <c r="F1951" s="49"/>
      <c r="G1951" s="49"/>
      <c r="H1951" s="49"/>
      <c r="I1951" s="49"/>
    </row>
    <row r="1952" ht="15.75" customHeight="1" spans="1:9">
      <c r="A1952" s="49"/>
      <c r="B1952" s="36" t="s">
        <v>3417</v>
      </c>
      <c r="C1952" s="36" t="s">
        <v>3442</v>
      </c>
      <c r="D1952" s="49"/>
      <c r="E1952" s="49"/>
      <c r="F1952" s="49"/>
      <c r="G1952" s="49"/>
      <c r="H1952" s="49"/>
      <c r="I1952" s="49"/>
    </row>
    <row r="1953" ht="15.75" customHeight="1" spans="1:9">
      <c r="A1953" s="49"/>
      <c r="B1953" s="36" t="s">
        <v>3417</v>
      </c>
      <c r="C1953" s="36" t="s">
        <v>3443</v>
      </c>
      <c r="D1953" s="49"/>
      <c r="E1953" s="49"/>
      <c r="F1953" s="49"/>
      <c r="G1953" s="49"/>
      <c r="H1953" s="49"/>
      <c r="I1953" s="49"/>
    </row>
    <row r="1954" ht="15.75" customHeight="1" spans="1:9">
      <c r="A1954" s="49"/>
      <c r="B1954" s="36" t="s">
        <v>3417</v>
      </c>
      <c r="C1954" s="36" t="s">
        <v>3444</v>
      </c>
      <c r="D1954" s="49"/>
      <c r="E1954" s="49"/>
      <c r="F1954" s="49"/>
      <c r="G1954" s="49"/>
      <c r="H1954" s="49"/>
      <c r="I1954" s="49"/>
    </row>
    <row r="1955" ht="15.75" customHeight="1" spans="1:9">
      <c r="A1955" s="49"/>
      <c r="B1955" s="36" t="s">
        <v>3417</v>
      </c>
      <c r="C1955" s="36" t="s">
        <v>3445</v>
      </c>
      <c r="D1955" s="49"/>
      <c r="E1955" s="49"/>
      <c r="F1955" s="49"/>
      <c r="G1955" s="49"/>
      <c r="H1955" s="49"/>
      <c r="I1955" s="49"/>
    </row>
    <row r="1956" ht="15.75" customHeight="1" spans="1:9">
      <c r="A1956" s="49"/>
      <c r="B1956" s="36" t="s">
        <v>3417</v>
      </c>
      <c r="C1956" s="36" t="s">
        <v>3446</v>
      </c>
      <c r="D1956" s="49"/>
      <c r="E1956" s="49"/>
      <c r="F1956" s="49"/>
      <c r="G1956" s="49"/>
      <c r="H1956" s="49"/>
      <c r="I1956" s="49"/>
    </row>
    <row r="1957" ht="15.75" customHeight="1" spans="1:9">
      <c r="A1957" s="49"/>
      <c r="B1957" s="36" t="s">
        <v>3417</v>
      </c>
      <c r="C1957" s="36" t="s">
        <v>3447</v>
      </c>
      <c r="D1957" s="49"/>
      <c r="E1957" s="49"/>
      <c r="F1957" s="49"/>
      <c r="G1957" s="49"/>
      <c r="H1957" s="49"/>
      <c r="I1957" s="49"/>
    </row>
    <row r="1958" ht="15.75" customHeight="1" spans="1:9">
      <c r="A1958" s="49"/>
      <c r="B1958" s="36" t="s">
        <v>3417</v>
      </c>
      <c r="C1958" s="36" t="s">
        <v>3448</v>
      </c>
      <c r="D1958" s="49"/>
      <c r="E1958" s="49"/>
      <c r="F1958" s="49"/>
      <c r="G1958" s="49"/>
      <c r="H1958" s="49"/>
      <c r="I1958" s="49"/>
    </row>
    <row r="1959" ht="15.75" customHeight="1" spans="1:9">
      <c r="A1959" s="49"/>
      <c r="B1959" s="36" t="s">
        <v>3417</v>
      </c>
      <c r="C1959" s="36" t="s">
        <v>3449</v>
      </c>
      <c r="D1959" s="49"/>
      <c r="E1959" s="49"/>
      <c r="F1959" s="49"/>
      <c r="G1959" s="49"/>
      <c r="H1959" s="49"/>
      <c r="I1959" s="49"/>
    </row>
    <row r="1960" ht="15.75" customHeight="1" spans="1:9">
      <c r="A1960" s="49"/>
      <c r="B1960" s="36" t="s">
        <v>3417</v>
      </c>
      <c r="C1960" s="36" t="s">
        <v>3450</v>
      </c>
      <c r="D1960" s="49"/>
      <c r="E1960" s="49"/>
      <c r="F1960" s="49"/>
      <c r="G1960" s="49"/>
      <c r="H1960" s="49"/>
      <c r="I1960" s="49"/>
    </row>
    <row r="1961" ht="15.75" customHeight="1" spans="1:9">
      <c r="A1961" s="49"/>
      <c r="B1961" s="36" t="s">
        <v>3417</v>
      </c>
      <c r="C1961" s="36" t="s">
        <v>3451</v>
      </c>
      <c r="D1961" s="49"/>
      <c r="E1961" s="49"/>
      <c r="F1961" s="49"/>
      <c r="G1961" s="49"/>
      <c r="H1961" s="49"/>
      <c r="I1961" s="49"/>
    </row>
    <row r="1962" ht="15.75" customHeight="1" spans="1:9">
      <c r="A1962" s="49"/>
      <c r="B1962" s="36" t="s">
        <v>3417</v>
      </c>
      <c r="C1962" s="36" t="s">
        <v>3452</v>
      </c>
      <c r="D1962" s="49"/>
      <c r="E1962" s="49"/>
      <c r="F1962" s="49"/>
      <c r="G1962" s="49"/>
      <c r="H1962" s="49"/>
      <c r="I1962" s="49"/>
    </row>
    <row r="1963" ht="15.75" customHeight="1" spans="1:9">
      <c r="A1963" s="49"/>
      <c r="B1963" s="36" t="s">
        <v>3417</v>
      </c>
      <c r="C1963" s="36" t="s">
        <v>3453</v>
      </c>
      <c r="D1963" s="49"/>
      <c r="E1963" s="49"/>
      <c r="F1963" s="49"/>
      <c r="G1963" s="49"/>
      <c r="H1963" s="49"/>
      <c r="I1963" s="49"/>
    </row>
    <row r="1964" ht="15.75" customHeight="1" spans="1:9">
      <c r="A1964" s="49"/>
      <c r="B1964" s="36" t="s">
        <v>3417</v>
      </c>
      <c r="C1964" s="36" t="s">
        <v>3454</v>
      </c>
      <c r="D1964" s="49"/>
      <c r="E1964" s="49"/>
      <c r="F1964" s="49"/>
      <c r="G1964" s="49"/>
      <c r="H1964" s="49"/>
      <c r="I1964" s="49"/>
    </row>
    <row r="1965" ht="15.75" customHeight="1" spans="1:9">
      <c r="A1965" s="49"/>
      <c r="B1965" s="36" t="s">
        <v>3417</v>
      </c>
      <c r="C1965" s="36" t="s">
        <v>3455</v>
      </c>
      <c r="D1965" s="49"/>
      <c r="E1965" s="49"/>
      <c r="F1965" s="49"/>
      <c r="G1965" s="49"/>
      <c r="H1965" s="49"/>
      <c r="I1965" s="49"/>
    </row>
    <row r="1966" ht="15.75" customHeight="1" spans="1:9">
      <c r="A1966" s="49"/>
      <c r="B1966" s="36" t="s">
        <v>3417</v>
      </c>
      <c r="C1966" s="36" t="s">
        <v>3456</v>
      </c>
      <c r="D1966" s="49"/>
      <c r="E1966" s="49"/>
      <c r="F1966" s="49"/>
      <c r="G1966" s="49"/>
      <c r="H1966" s="49"/>
      <c r="I1966" s="49"/>
    </row>
    <row r="1967" ht="15.75" customHeight="1" spans="1:9">
      <c r="A1967" s="49"/>
      <c r="B1967" s="36" t="s">
        <v>3457</v>
      </c>
      <c r="C1967" s="36" t="s">
        <v>3458</v>
      </c>
      <c r="D1967" s="49"/>
      <c r="E1967" s="49"/>
      <c r="F1967" s="49"/>
      <c r="G1967" s="49"/>
      <c r="H1967" s="49"/>
      <c r="I1967" s="49"/>
    </row>
    <row r="1968" ht="15.75" customHeight="1" spans="1:9">
      <c r="A1968" s="49"/>
      <c r="B1968" s="36" t="s">
        <v>3457</v>
      </c>
      <c r="C1968" s="36" t="s">
        <v>102</v>
      </c>
      <c r="D1968" s="49"/>
      <c r="E1968" s="49"/>
      <c r="F1968" s="49"/>
      <c r="G1968" s="49"/>
      <c r="H1968" s="49"/>
      <c r="I1968" s="49"/>
    </row>
    <row r="1969" ht="15.75" customHeight="1" spans="1:9">
      <c r="A1969" s="49"/>
      <c r="B1969" s="36" t="s">
        <v>3457</v>
      </c>
      <c r="C1969" s="36" t="s">
        <v>3459</v>
      </c>
      <c r="D1969" s="49"/>
      <c r="E1969" s="49"/>
      <c r="F1969" s="49"/>
      <c r="G1969" s="49"/>
      <c r="H1969" s="49"/>
      <c r="I1969" s="49"/>
    </row>
    <row r="1970" ht="15.75" customHeight="1" spans="1:9">
      <c r="A1970" s="49"/>
      <c r="B1970" s="36" t="s">
        <v>3457</v>
      </c>
      <c r="C1970" s="36" t="s">
        <v>3460</v>
      </c>
      <c r="D1970" s="49"/>
      <c r="E1970" s="49"/>
      <c r="F1970" s="49"/>
      <c r="G1970" s="49"/>
      <c r="H1970" s="49"/>
      <c r="I1970" s="49"/>
    </row>
    <row r="1971" ht="15.75" customHeight="1" spans="1:9">
      <c r="A1971" s="49"/>
      <c r="B1971" s="36" t="s">
        <v>3457</v>
      </c>
      <c r="C1971" s="36" t="s">
        <v>3457</v>
      </c>
      <c r="D1971" s="49"/>
      <c r="E1971" s="49"/>
      <c r="F1971" s="49"/>
      <c r="G1971" s="49"/>
      <c r="H1971" s="49"/>
      <c r="I1971" s="49"/>
    </row>
    <row r="1972" ht="15.75" customHeight="1" spans="1:9">
      <c r="A1972" s="49"/>
      <c r="B1972" s="36" t="s">
        <v>3457</v>
      </c>
      <c r="C1972" s="36" t="s">
        <v>3461</v>
      </c>
      <c r="D1972" s="49"/>
      <c r="E1972" s="49"/>
      <c r="F1972" s="49"/>
      <c r="G1972" s="49"/>
      <c r="H1972" s="49"/>
      <c r="I1972" s="49"/>
    </row>
    <row r="1973" ht="15.75" customHeight="1" spans="1:9">
      <c r="A1973" s="49"/>
      <c r="B1973" s="36" t="s">
        <v>3457</v>
      </c>
      <c r="C1973" s="36" t="s">
        <v>3462</v>
      </c>
      <c r="D1973" s="49"/>
      <c r="E1973" s="49"/>
      <c r="F1973" s="49"/>
      <c r="G1973" s="49"/>
      <c r="H1973" s="49"/>
      <c r="I1973" s="49"/>
    </row>
    <row r="1974" ht="15.75" customHeight="1" spans="1:9">
      <c r="A1974" s="49"/>
      <c r="B1974" s="36" t="s">
        <v>3457</v>
      </c>
      <c r="C1974" s="36" t="s">
        <v>3463</v>
      </c>
      <c r="D1974" s="49"/>
      <c r="E1974" s="49"/>
      <c r="F1974" s="49"/>
      <c r="G1974" s="49"/>
      <c r="H1974" s="49"/>
      <c r="I1974" s="49"/>
    </row>
    <row r="1975" ht="15.75" customHeight="1" spans="1:9">
      <c r="A1975" s="49"/>
      <c r="B1975" s="36" t="s">
        <v>3457</v>
      </c>
      <c r="C1975" s="36" t="s">
        <v>3464</v>
      </c>
      <c r="D1975" s="49"/>
      <c r="E1975" s="49"/>
      <c r="F1975" s="49"/>
      <c r="G1975" s="49"/>
      <c r="H1975" s="49"/>
      <c r="I1975" s="49"/>
    </row>
    <row r="1976" ht="15.75" customHeight="1" spans="1:9">
      <c r="A1976" s="49"/>
      <c r="B1976" s="36" t="s">
        <v>3457</v>
      </c>
      <c r="C1976" s="36" t="s">
        <v>3465</v>
      </c>
      <c r="D1976" s="49"/>
      <c r="E1976" s="49"/>
      <c r="F1976" s="49"/>
      <c r="G1976" s="49"/>
      <c r="H1976" s="49"/>
      <c r="I1976" s="49"/>
    </row>
    <row r="1977" ht="15.75" customHeight="1" spans="1:9">
      <c r="A1977" s="49"/>
      <c r="B1977" s="36" t="s">
        <v>3457</v>
      </c>
      <c r="C1977" s="36" t="s">
        <v>3466</v>
      </c>
      <c r="D1977" s="49"/>
      <c r="E1977" s="49"/>
      <c r="F1977" s="49"/>
      <c r="G1977" s="49"/>
      <c r="H1977" s="49"/>
      <c r="I1977" s="49"/>
    </row>
    <row r="1978" ht="15.75" customHeight="1" spans="1:9">
      <c r="A1978" s="49"/>
      <c r="B1978" s="36" t="s">
        <v>3457</v>
      </c>
      <c r="C1978" s="36" t="s">
        <v>3467</v>
      </c>
      <c r="D1978" s="49"/>
      <c r="E1978" s="49"/>
      <c r="F1978" s="49"/>
      <c r="G1978" s="49"/>
      <c r="H1978" s="49"/>
      <c r="I1978" s="49"/>
    </row>
    <row r="1979" ht="15.75" customHeight="1" spans="1:9">
      <c r="A1979" s="49"/>
      <c r="B1979" s="36" t="s">
        <v>3457</v>
      </c>
      <c r="C1979" s="36" t="s">
        <v>3468</v>
      </c>
      <c r="D1979" s="49"/>
      <c r="E1979" s="49"/>
      <c r="F1979" s="49"/>
      <c r="G1979" s="49"/>
      <c r="H1979" s="49"/>
      <c r="I1979" s="49"/>
    </row>
    <row r="1980" ht="15.75" customHeight="1" spans="1:9">
      <c r="A1980" s="49"/>
      <c r="B1980" s="36" t="s">
        <v>3457</v>
      </c>
      <c r="C1980" s="36" t="s">
        <v>3469</v>
      </c>
      <c r="D1980" s="49"/>
      <c r="E1980" s="49"/>
      <c r="F1980" s="49"/>
      <c r="G1980" s="49"/>
      <c r="H1980" s="49"/>
      <c r="I1980" s="49"/>
    </row>
    <row r="1981" ht="15.75" customHeight="1" spans="1:9">
      <c r="A1981" s="49"/>
      <c r="B1981" s="36" t="s">
        <v>3457</v>
      </c>
      <c r="C1981" s="36" t="s">
        <v>3470</v>
      </c>
      <c r="D1981" s="49"/>
      <c r="E1981" s="49"/>
      <c r="F1981" s="49"/>
      <c r="G1981" s="49"/>
      <c r="H1981" s="49"/>
      <c r="I1981" s="49"/>
    </row>
    <row r="1982" ht="15.75" customHeight="1" spans="1:9">
      <c r="A1982" s="49"/>
      <c r="B1982" s="36" t="s">
        <v>3457</v>
      </c>
      <c r="C1982" s="36" t="s">
        <v>3471</v>
      </c>
      <c r="D1982" s="49"/>
      <c r="E1982" s="49"/>
      <c r="F1982" s="49"/>
      <c r="G1982" s="49"/>
      <c r="H1982" s="49"/>
      <c r="I1982" s="49"/>
    </row>
    <row r="1983" ht="15.75" customHeight="1" spans="1:9">
      <c r="A1983" s="49"/>
      <c r="B1983" s="36" t="s">
        <v>3457</v>
      </c>
      <c r="C1983" s="36" t="s">
        <v>3472</v>
      </c>
      <c r="D1983" s="49"/>
      <c r="E1983" s="49"/>
      <c r="F1983" s="49"/>
      <c r="G1983" s="49"/>
      <c r="H1983" s="49"/>
      <c r="I1983" s="49"/>
    </row>
    <row r="1984" ht="15.75" customHeight="1" spans="1:9">
      <c r="A1984" s="49"/>
      <c r="B1984" s="36" t="s">
        <v>3457</v>
      </c>
      <c r="C1984" s="36" t="s">
        <v>3473</v>
      </c>
      <c r="D1984" s="49"/>
      <c r="E1984" s="49"/>
      <c r="F1984" s="49"/>
      <c r="G1984" s="49"/>
      <c r="H1984" s="49"/>
      <c r="I1984" s="49"/>
    </row>
    <row r="1985" ht="15.75" customHeight="1" spans="1:9">
      <c r="A1985" s="49"/>
      <c r="B1985" s="36" t="s">
        <v>3457</v>
      </c>
      <c r="C1985" s="36" t="s">
        <v>3474</v>
      </c>
      <c r="D1985" s="49"/>
      <c r="E1985" s="49"/>
      <c r="F1985" s="49"/>
      <c r="G1985" s="49"/>
      <c r="H1985" s="49"/>
      <c r="I1985" s="49"/>
    </row>
    <row r="1986" ht="15.75" customHeight="1" spans="1:9">
      <c r="A1986" s="49"/>
      <c r="B1986" s="36" t="s">
        <v>3457</v>
      </c>
      <c r="C1986" s="36" t="s">
        <v>3475</v>
      </c>
      <c r="D1986" s="49"/>
      <c r="E1986" s="49"/>
      <c r="F1986" s="49"/>
      <c r="G1986" s="49"/>
      <c r="H1986" s="49"/>
      <c r="I1986" s="49"/>
    </row>
    <row r="1987" ht="15.75" customHeight="1" spans="1:9">
      <c r="A1987" s="49"/>
      <c r="B1987" s="36" t="s">
        <v>3457</v>
      </c>
      <c r="C1987" s="36" t="s">
        <v>3476</v>
      </c>
      <c r="D1987" s="49"/>
      <c r="E1987" s="49"/>
      <c r="F1987" s="49"/>
      <c r="G1987" s="49"/>
      <c r="H1987" s="49"/>
      <c r="I1987" s="49"/>
    </row>
    <row r="1988" ht="15.75" customHeight="1" spans="1:9">
      <c r="A1988" s="49"/>
      <c r="B1988" s="36" t="s">
        <v>3457</v>
      </c>
      <c r="C1988" s="36" t="s">
        <v>3477</v>
      </c>
      <c r="D1988" s="49"/>
      <c r="E1988" s="49"/>
      <c r="F1988" s="49"/>
      <c r="G1988" s="49"/>
      <c r="H1988" s="49"/>
      <c r="I1988" s="49"/>
    </row>
    <row r="1989" ht="15.75" customHeight="1" spans="1:9">
      <c r="A1989" s="49"/>
      <c r="B1989" s="36" t="s">
        <v>3457</v>
      </c>
      <c r="C1989" s="36" t="s">
        <v>3478</v>
      </c>
      <c r="D1989" s="49"/>
      <c r="E1989" s="49"/>
      <c r="F1989" s="49"/>
      <c r="G1989" s="49"/>
      <c r="H1989" s="49"/>
      <c r="I1989" s="49"/>
    </row>
    <row r="1990" ht="15.75" customHeight="1" spans="1:9">
      <c r="A1990" s="49"/>
      <c r="B1990" s="36" t="s">
        <v>3457</v>
      </c>
      <c r="C1990" s="36" t="s">
        <v>3479</v>
      </c>
      <c r="D1990" s="49"/>
      <c r="E1990" s="49"/>
      <c r="F1990" s="49"/>
      <c r="G1990" s="49"/>
      <c r="H1990" s="49"/>
      <c r="I1990" s="49"/>
    </row>
    <row r="1991" ht="15.75" customHeight="1" spans="1:9">
      <c r="A1991" s="49"/>
      <c r="B1991" s="36" t="s">
        <v>3457</v>
      </c>
      <c r="C1991" s="36" t="s">
        <v>3480</v>
      </c>
      <c r="D1991" s="49"/>
      <c r="E1991" s="49"/>
      <c r="F1991" s="49"/>
      <c r="G1991" s="49"/>
      <c r="H1991" s="49"/>
      <c r="I1991" s="49"/>
    </row>
    <row r="1992" ht="15.75" customHeight="1" spans="1:9">
      <c r="A1992" s="49"/>
      <c r="B1992" s="36" t="s">
        <v>3457</v>
      </c>
      <c r="C1992" s="36" t="s">
        <v>3481</v>
      </c>
      <c r="D1992" s="49"/>
      <c r="E1992" s="49"/>
      <c r="F1992" s="49"/>
      <c r="G1992" s="49"/>
      <c r="H1992" s="49"/>
      <c r="I1992" s="49"/>
    </row>
    <row r="1993" ht="15.75" customHeight="1" spans="1:9">
      <c r="A1993" s="49"/>
      <c r="B1993" s="36" t="s">
        <v>3457</v>
      </c>
      <c r="C1993" s="36" t="s">
        <v>3482</v>
      </c>
      <c r="D1993" s="49"/>
      <c r="E1993" s="49"/>
      <c r="F1993" s="49"/>
      <c r="G1993" s="49"/>
      <c r="H1993" s="49"/>
      <c r="I1993" s="49"/>
    </row>
    <row r="1994" ht="15.75" customHeight="1" spans="1:9">
      <c r="A1994" s="49"/>
      <c r="B1994" s="36" t="s">
        <v>3457</v>
      </c>
      <c r="C1994" s="36" t="s">
        <v>3483</v>
      </c>
      <c r="D1994" s="49"/>
      <c r="E1994" s="49"/>
      <c r="F1994" s="49"/>
      <c r="G1994" s="49"/>
      <c r="H1994" s="49"/>
      <c r="I1994" s="49"/>
    </row>
    <row r="1995" ht="15.75" customHeight="1" spans="1:9">
      <c r="A1995" s="49"/>
      <c r="B1995" s="36" t="s">
        <v>3457</v>
      </c>
      <c r="C1995" s="36" t="s">
        <v>3484</v>
      </c>
      <c r="D1995" s="49"/>
      <c r="E1995" s="49"/>
      <c r="F1995" s="49"/>
      <c r="G1995" s="49"/>
      <c r="H1995" s="49"/>
      <c r="I1995" s="49"/>
    </row>
    <row r="1996" ht="15.75" customHeight="1" spans="1:9">
      <c r="A1996" s="49"/>
      <c r="B1996" s="36" t="s">
        <v>3457</v>
      </c>
      <c r="C1996" s="36" t="s">
        <v>3485</v>
      </c>
      <c r="D1996" s="49"/>
      <c r="E1996" s="49"/>
      <c r="F1996" s="49"/>
      <c r="G1996" s="49"/>
      <c r="H1996" s="49"/>
      <c r="I1996" s="49"/>
    </row>
    <row r="1997" ht="15.75" customHeight="1" spans="1:9">
      <c r="A1997" s="49"/>
      <c r="B1997" s="36" t="s">
        <v>3457</v>
      </c>
      <c r="C1997" s="36" t="s">
        <v>3486</v>
      </c>
      <c r="D1997" s="49"/>
      <c r="E1997" s="49"/>
      <c r="F1997" s="49"/>
      <c r="G1997" s="49"/>
      <c r="H1997" s="49"/>
      <c r="I1997" s="49"/>
    </row>
    <row r="1998" ht="15.75" customHeight="1" spans="1:9">
      <c r="A1998" s="49"/>
      <c r="B1998" s="36" t="s">
        <v>3457</v>
      </c>
      <c r="C1998" s="36" t="s">
        <v>3487</v>
      </c>
      <c r="D1998" s="49"/>
      <c r="E1998" s="49"/>
      <c r="F1998" s="49"/>
      <c r="G1998" s="49"/>
      <c r="H1998" s="49"/>
      <c r="I1998" s="49"/>
    </row>
    <row r="1999" ht="15.75" customHeight="1" spans="1:9">
      <c r="A1999" s="49"/>
      <c r="B1999" s="36" t="s">
        <v>3457</v>
      </c>
      <c r="C1999" s="36" t="s">
        <v>3488</v>
      </c>
      <c r="D1999" s="49"/>
      <c r="E1999" s="49"/>
      <c r="F1999" s="49"/>
      <c r="G1999" s="49"/>
      <c r="H1999" s="49"/>
      <c r="I1999" s="49"/>
    </row>
    <row r="2000" ht="15.75" customHeight="1" spans="1:9">
      <c r="A2000" s="49"/>
      <c r="B2000" s="36" t="s">
        <v>3457</v>
      </c>
      <c r="C2000" s="36" t="s">
        <v>3489</v>
      </c>
      <c r="D2000" s="49"/>
      <c r="E2000" s="49"/>
      <c r="F2000" s="49"/>
      <c r="G2000" s="49"/>
      <c r="H2000" s="49"/>
      <c r="I2000" s="49"/>
    </row>
    <row r="2001" ht="15.75" customHeight="1" spans="1:9">
      <c r="A2001" s="49"/>
      <c r="B2001" s="36" t="s">
        <v>3457</v>
      </c>
      <c r="C2001" s="36" t="s">
        <v>3490</v>
      </c>
      <c r="D2001" s="49"/>
      <c r="E2001" s="49"/>
      <c r="F2001" s="49"/>
      <c r="G2001" s="49"/>
      <c r="H2001" s="49"/>
      <c r="I2001" s="49"/>
    </row>
    <row r="2002" ht="15.75" customHeight="1" spans="1:9">
      <c r="A2002" s="49"/>
      <c r="B2002" s="36" t="s">
        <v>3457</v>
      </c>
      <c r="C2002" s="36" t="s">
        <v>3491</v>
      </c>
      <c r="D2002" s="49"/>
      <c r="E2002" s="49"/>
      <c r="F2002" s="49"/>
      <c r="G2002" s="49"/>
      <c r="H2002" s="49"/>
      <c r="I2002" s="49"/>
    </row>
    <row r="2003" ht="15.75" customHeight="1" spans="1:9">
      <c r="A2003" s="49"/>
      <c r="B2003" s="36" t="s">
        <v>3457</v>
      </c>
      <c r="C2003" s="36" t="s">
        <v>3492</v>
      </c>
      <c r="D2003" s="49"/>
      <c r="E2003" s="49"/>
      <c r="F2003" s="49"/>
      <c r="G2003" s="49"/>
      <c r="H2003" s="49"/>
      <c r="I2003" s="49"/>
    </row>
    <row r="2004" ht="15.75" customHeight="1" spans="1:9">
      <c r="A2004" s="49"/>
      <c r="B2004" s="36" t="s">
        <v>3457</v>
      </c>
      <c r="C2004" s="36" t="s">
        <v>3493</v>
      </c>
      <c r="D2004" s="49"/>
      <c r="E2004" s="49"/>
      <c r="F2004" s="49"/>
      <c r="G2004" s="49"/>
      <c r="H2004" s="49"/>
      <c r="I2004" s="49"/>
    </row>
    <row r="2005" ht="15.75" customHeight="1" spans="1:9">
      <c r="A2005" s="49"/>
      <c r="B2005" s="36" t="s">
        <v>3457</v>
      </c>
      <c r="C2005" s="36" t="s">
        <v>3494</v>
      </c>
      <c r="D2005" s="49"/>
      <c r="E2005" s="49"/>
      <c r="F2005" s="49"/>
      <c r="G2005" s="49"/>
      <c r="H2005" s="49"/>
      <c r="I2005" s="49"/>
    </row>
    <row r="2006" ht="15.75" customHeight="1" spans="1:9">
      <c r="A2006" s="49"/>
      <c r="B2006" s="36" t="s">
        <v>3457</v>
      </c>
      <c r="C2006" s="36" t="s">
        <v>3495</v>
      </c>
      <c r="D2006" s="49"/>
      <c r="E2006" s="49"/>
      <c r="F2006" s="49"/>
      <c r="G2006" s="49"/>
      <c r="H2006" s="49"/>
      <c r="I2006" s="49"/>
    </row>
    <row r="2007" ht="15.75" customHeight="1" spans="1:9">
      <c r="A2007" s="49"/>
      <c r="B2007" s="36" t="s">
        <v>3457</v>
      </c>
      <c r="C2007" s="36" t="s">
        <v>3496</v>
      </c>
      <c r="D2007" s="49"/>
      <c r="E2007" s="49"/>
      <c r="F2007" s="49"/>
      <c r="G2007" s="49"/>
      <c r="H2007" s="49"/>
      <c r="I2007" s="49"/>
    </row>
    <row r="2008" ht="15.75" customHeight="1" spans="1:9">
      <c r="A2008" s="49"/>
      <c r="B2008" s="36" t="s">
        <v>3457</v>
      </c>
      <c r="C2008" s="36" t="s">
        <v>3497</v>
      </c>
      <c r="D2008" s="49"/>
      <c r="E2008" s="49"/>
      <c r="F2008" s="49"/>
      <c r="G2008" s="49"/>
      <c r="H2008" s="49"/>
      <c r="I2008" s="49"/>
    </row>
    <row r="2009" ht="15.75" customHeight="1" spans="1:9">
      <c r="A2009" s="49"/>
      <c r="B2009" s="36" t="s">
        <v>3457</v>
      </c>
      <c r="C2009" s="36" t="s">
        <v>3498</v>
      </c>
      <c r="D2009" s="49"/>
      <c r="E2009" s="49"/>
      <c r="F2009" s="49"/>
      <c r="G2009" s="49"/>
      <c r="H2009" s="49"/>
      <c r="I2009" s="49"/>
    </row>
    <row r="2010" ht="15.75" customHeight="1" spans="1:9">
      <c r="A2010" s="49"/>
      <c r="B2010" s="36" t="s">
        <v>3457</v>
      </c>
      <c r="C2010" s="36" t="s">
        <v>3499</v>
      </c>
      <c r="D2010" s="49"/>
      <c r="E2010" s="49"/>
      <c r="F2010" s="49"/>
      <c r="G2010" s="49"/>
      <c r="H2010" s="49"/>
      <c r="I2010" s="49"/>
    </row>
    <row r="2011" ht="15.75" customHeight="1" spans="1:9">
      <c r="A2011" s="49"/>
      <c r="B2011" s="36" t="s">
        <v>3457</v>
      </c>
      <c r="C2011" s="36" t="s">
        <v>3500</v>
      </c>
      <c r="D2011" s="49"/>
      <c r="E2011" s="49"/>
      <c r="F2011" s="49"/>
      <c r="G2011" s="49"/>
      <c r="H2011" s="49"/>
      <c r="I2011" s="49"/>
    </row>
    <row r="2012" ht="15.75" customHeight="1" spans="1:9">
      <c r="A2012" s="49"/>
      <c r="B2012" s="36" t="s">
        <v>3457</v>
      </c>
      <c r="C2012" s="36" t="s">
        <v>3501</v>
      </c>
      <c r="D2012" s="49"/>
      <c r="E2012" s="49"/>
      <c r="F2012" s="49"/>
      <c r="G2012" s="49"/>
      <c r="H2012" s="49"/>
      <c r="I2012" s="49"/>
    </row>
    <row r="2013" ht="15.75" customHeight="1" spans="1:9">
      <c r="A2013" s="49"/>
      <c r="B2013" s="36" t="s">
        <v>3457</v>
      </c>
      <c r="C2013" s="36" t="s">
        <v>3502</v>
      </c>
      <c r="D2013" s="49"/>
      <c r="E2013" s="49"/>
      <c r="F2013" s="49"/>
      <c r="G2013" s="49"/>
      <c r="H2013" s="49"/>
      <c r="I2013" s="49"/>
    </row>
    <row r="2014" ht="15.75" customHeight="1" spans="1:9">
      <c r="A2014" s="49"/>
      <c r="B2014" s="36" t="s">
        <v>3457</v>
      </c>
      <c r="C2014" s="36" t="s">
        <v>3503</v>
      </c>
      <c r="D2014" s="49"/>
      <c r="E2014" s="49"/>
      <c r="F2014" s="49"/>
      <c r="G2014" s="49"/>
      <c r="H2014" s="49"/>
      <c r="I2014" s="49"/>
    </row>
    <row r="2015" ht="15.75" customHeight="1" spans="1:9">
      <c r="A2015" s="49"/>
      <c r="B2015" s="36" t="s">
        <v>3457</v>
      </c>
      <c r="C2015" s="36" t="s">
        <v>3504</v>
      </c>
      <c r="D2015" s="49"/>
      <c r="E2015" s="49"/>
      <c r="F2015" s="49"/>
      <c r="G2015" s="49"/>
      <c r="H2015" s="49"/>
      <c r="I2015" s="49"/>
    </row>
    <row r="2016" ht="15.75" customHeight="1" spans="1:9">
      <c r="A2016" s="49"/>
      <c r="B2016" s="36" t="s">
        <v>3457</v>
      </c>
      <c r="C2016" s="36" t="s">
        <v>3505</v>
      </c>
      <c r="D2016" s="49"/>
      <c r="E2016" s="49"/>
      <c r="F2016" s="49"/>
      <c r="G2016" s="49"/>
      <c r="H2016" s="49"/>
      <c r="I2016" s="49"/>
    </row>
    <row r="2017" ht="15.75" customHeight="1" spans="1:9">
      <c r="A2017" s="49"/>
      <c r="B2017" s="36" t="s">
        <v>3457</v>
      </c>
      <c r="C2017" s="36" t="s">
        <v>3506</v>
      </c>
      <c r="D2017" s="49"/>
      <c r="E2017" s="49"/>
      <c r="F2017" s="49"/>
      <c r="G2017" s="49"/>
      <c r="H2017" s="49"/>
      <c r="I2017" s="49"/>
    </row>
    <row r="2018" ht="15.75" customHeight="1" spans="1:9">
      <c r="A2018" s="49"/>
      <c r="B2018" s="36" t="s">
        <v>3457</v>
      </c>
      <c r="C2018" s="36" t="s">
        <v>3507</v>
      </c>
      <c r="D2018" s="49"/>
      <c r="E2018" s="49"/>
      <c r="F2018" s="49"/>
      <c r="G2018" s="49"/>
      <c r="H2018" s="49"/>
      <c r="I2018" s="49"/>
    </row>
    <row r="2019" ht="15.75" customHeight="1" spans="1:9">
      <c r="A2019" s="49"/>
      <c r="B2019" s="36" t="s">
        <v>3457</v>
      </c>
      <c r="C2019" s="36" t="s">
        <v>3508</v>
      </c>
      <c r="D2019" s="49"/>
      <c r="E2019" s="49"/>
      <c r="F2019" s="49"/>
      <c r="G2019" s="49"/>
      <c r="H2019" s="49"/>
      <c r="I2019" s="49"/>
    </row>
    <row r="2020" ht="15.75" customHeight="1" spans="1:9">
      <c r="A2020" s="49"/>
      <c r="B2020" s="36" t="s">
        <v>3509</v>
      </c>
      <c r="C2020" s="36" t="s">
        <v>3510</v>
      </c>
      <c r="D2020" s="49"/>
      <c r="E2020" s="49"/>
      <c r="F2020" s="49"/>
      <c r="G2020" s="49"/>
      <c r="H2020" s="49"/>
      <c r="I2020" s="49"/>
    </row>
    <row r="2021" ht="15.75" customHeight="1" spans="1:9">
      <c r="A2021" s="49"/>
      <c r="B2021" s="36" t="s">
        <v>3509</v>
      </c>
      <c r="C2021" s="36" t="s">
        <v>105</v>
      </c>
      <c r="D2021" s="49"/>
      <c r="E2021" s="49"/>
      <c r="F2021" s="49"/>
      <c r="G2021" s="49"/>
      <c r="H2021" s="49"/>
      <c r="I2021" s="49"/>
    </row>
    <row r="2022" ht="15.75" customHeight="1" spans="1:9">
      <c r="A2022" s="49"/>
      <c r="B2022" s="36" t="s">
        <v>3509</v>
      </c>
      <c r="C2022" s="36" t="s">
        <v>3511</v>
      </c>
      <c r="D2022" s="49"/>
      <c r="E2022" s="49"/>
      <c r="F2022" s="49"/>
      <c r="G2022" s="49"/>
      <c r="H2022" s="49"/>
      <c r="I2022" s="49"/>
    </row>
    <row r="2023" ht="15.75" customHeight="1" spans="1:9">
      <c r="A2023" s="49"/>
      <c r="B2023" s="36" t="s">
        <v>3509</v>
      </c>
      <c r="C2023" s="36" t="s">
        <v>3512</v>
      </c>
      <c r="D2023" s="49"/>
      <c r="E2023" s="49"/>
      <c r="F2023" s="49"/>
      <c r="G2023" s="49"/>
      <c r="H2023" s="49"/>
      <c r="I2023" s="49"/>
    </row>
    <row r="2024" ht="15.75" customHeight="1" spans="1:9">
      <c r="A2024" s="49"/>
      <c r="B2024" s="36" t="s">
        <v>3509</v>
      </c>
      <c r="C2024" s="36" t="s">
        <v>3513</v>
      </c>
      <c r="D2024" s="49"/>
      <c r="E2024" s="49"/>
      <c r="F2024" s="49"/>
      <c r="G2024" s="49"/>
      <c r="H2024" s="49"/>
      <c r="I2024" s="49"/>
    </row>
    <row r="2025" ht="15.75" customHeight="1" spans="1:9">
      <c r="A2025" s="49"/>
      <c r="B2025" s="36" t="s">
        <v>3509</v>
      </c>
      <c r="C2025" s="36" t="s">
        <v>3514</v>
      </c>
      <c r="D2025" s="49"/>
      <c r="E2025" s="49"/>
      <c r="F2025" s="49"/>
      <c r="G2025" s="49"/>
      <c r="H2025" s="49"/>
      <c r="I2025" s="49"/>
    </row>
    <row r="2026" ht="15.75" customHeight="1" spans="1:9">
      <c r="A2026" s="49"/>
      <c r="B2026" s="36" t="s">
        <v>3509</v>
      </c>
      <c r="C2026" s="36" t="s">
        <v>3515</v>
      </c>
      <c r="D2026" s="49"/>
      <c r="E2026" s="49"/>
      <c r="F2026" s="49"/>
      <c r="G2026" s="49"/>
      <c r="H2026" s="49"/>
      <c r="I2026" s="49"/>
    </row>
    <row r="2027" ht="15.75" customHeight="1" spans="1:9">
      <c r="A2027" s="49"/>
      <c r="B2027" s="36" t="s">
        <v>3509</v>
      </c>
      <c r="C2027" s="36" t="s">
        <v>3509</v>
      </c>
      <c r="D2027" s="49"/>
      <c r="E2027" s="49"/>
      <c r="F2027" s="49"/>
      <c r="G2027" s="49"/>
      <c r="H2027" s="49"/>
      <c r="I2027" s="49"/>
    </row>
    <row r="2028" ht="15.75" customHeight="1" spans="1:9">
      <c r="A2028" s="49"/>
      <c r="B2028" s="36" t="s">
        <v>3509</v>
      </c>
      <c r="C2028" s="36" t="s">
        <v>3516</v>
      </c>
      <c r="D2028" s="49"/>
      <c r="E2028" s="49"/>
      <c r="F2028" s="49"/>
      <c r="G2028" s="49"/>
      <c r="H2028" s="49"/>
      <c r="I2028" s="49"/>
    </row>
    <row r="2029" ht="15.75" customHeight="1" spans="1:9">
      <c r="A2029" s="49"/>
      <c r="B2029" s="36" t="s">
        <v>3509</v>
      </c>
      <c r="C2029" s="36" t="s">
        <v>3517</v>
      </c>
      <c r="D2029" s="49"/>
      <c r="E2029" s="49"/>
      <c r="F2029" s="49"/>
      <c r="G2029" s="49"/>
      <c r="H2029" s="49"/>
      <c r="I2029" s="49"/>
    </row>
    <row r="2030" ht="15.75" customHeight="1" spans="1:9">
      <c r="A2030" s="49"/>
      <c r="B2030" s="36" t="s">
        <v>3509</v>
      </c>
      <c r="C2030" s="36" t="s">
        <v>3518</v>
      </c>
      <c r="D2030" s="49"/>
      <c r="E2030" s="49"/>
      <c r="F2030" s="49"/>
      <c r="G2030" s="49"/>
      <c r="H2030" s="49"/>
      <c r="I2030" s="49"/>
    </row>
    <row r="2031" ht="15.75" customHeight="1" spans="1:9">
      <c r="A2031" s="49"/>
      <c r="B2031" s="36" t="s">
        <v>3509</v>
      </c>
      <c r="C2031" s="36" t="s">
        <v>3519</v>
      </c>
      <c r="D2031" s="49"/>
      <c r="E2031" s="49"/>
      <c r="F2031" s="49"/>
      <c r="G2031" s="49"/>
      <c r="H2031" s="49"/>
      <c r="I2031" s="49"/>
    </row>
    <row r="2032" ht="15.75" customHeight="1" spans="1:9">
      <c r="A2032" s="49"/>
      <c r="B2032" s="36" t="s">
        <v>3509</v>
      </c>
      <c r="C2032" s="36" t="s">
        <v>3520</v>
      </c>
      <c r="D2032" s="49"/>
      <c r="E2032" s="49"/>
      <c r="F2032" s="49"/>
      <c r="G2032" s="49"/>
      <c r="H2032" s="49"/>
      <c r="I2032" s="49"/>
    </row>
    <row r="2033" ht="15.75" customHeight="1" spans="1:9">
      <c r="A2033" s="49"/>
      <c r="B2033" s="36" t="s">
        <v>3509</v>
      </c>
      <c r="C2033" s="36" t="s">
        <v>3521</v>
      </c>
      <c r="D2033" s="49"/>
      <c r="E2033" s="49"/>
      <c r="F2033" s="49"/>
      <c r="G2033" s="49"/>
      <c r="H2033" s="49"/>
      <c r="I2033" s="49"/>
    </row>
    <row r="2034" ht="15.75" customHeight="1" spans="1:9">
      <c r="A2034" s="49"/>
      <c r="B2034" s="36" t="s">
        <v>3509</v>
      </c>
      <c r="C2034" s="36" t="s">
        <v>3522</v>
      </c>
      <c r="D2034" s="49"/>
      <c r="E2034" s="49"/>
      <c r="F2034" s="49"/>
      <c r="G2034" s="49"/>
      <c r="H2034" s="49"/>
      <c r="I2034" s="49"/>
    </row>
    <row r="2035" ht="15.75" customHeight="1" spans="1:9">
      <c r="A2035" s="49"/>
      <c r="B2035" s="36" t="s">
        <v>3509</v>
      </c>
      <c r="C2035" s="36" t="s">
        <v>3523</v>
      </c>
      <c r="D2035" s="49"/>
      <c r="E2035" s="49"/>
      <c r="F2035" s="49"/>
      <c r="G2035" s="49"/>
      <c r="H2035" s="49"/>
      <c r="I2035" s="49"/>
    </row>
    <row r="2036" ht="15.75" customHeight="1" spans="1:9">
      <c r="A2036" s="49"/>
      <c r="B2036" s="36" t="s">
        <v>3509</v>
      </c>
      <c r="C2036" s="36" t="s">
        <v>3524</v>
      </c>
      <c r="D2036" s="49"/>
      <c r="E2036" s="49"/>
      <c r="F2036" s="49"/>
      <c r="G2036" s="49"/>
      <c r="H2036" s="49"/>
      <c r="I2036" s="49"/>
    </row>
    <row r="2037" ht="15.75" customHeight="1" spans="1:9">
      <c r="A2037" s="49"/>
      <c r="B2037" s="36" t="s">
        <v>3509</v>
      </c>
      <c r="C2037" s="36" t="s">
        <v>3525</v>
      </c>
      <c r="D2037" s="49"/>
      <c r="E2037" s="49"/>
      <c r="F2037" s="49"/>
      <c r="G2037" s="49"/>
      <c r="H2037" s="49"/>
      <c r="I2037" s="49"/>
    </row>
    <row r="2038" ht="15.75" customHeight="1" spans="1:9">
      <c r="A2038" s="49"/>
      <c r="B2038" s="36" t="s">
        <v>3509</v>
      </c>
      <c r="C2038" s="36" t="s">
        <v>3526</v>
      </c>
      <c r="D2038" s="49"/>
      <c r="E2038" s="49"/>
      <c r="F2038" s="49"/>
      <c r="G2038" s="49"/>
      <c r="H2038" s="49"/>
      <c r="I2038" s="49"/>
    </row>
    <row r="2039" ht="15.75" customHeight="1" spans="1:9">
      <c r="A2039" s="49"/>
      <c r="B2039" s="36" t="s">
        <v>3509</v>
      </c>
      <c r="C2039" s="36" t="s">
        <v>3527</v>
      </c>
      <c r="D2039" s="49"/>
      <c r="E2039" s="49"/>
      <c r="F2039" s="49"/>
      <c r="G2039" s="49"/>
      <c r="H2039" s="49"/>
      <c r="I2039" s="49"/>
    </row>
    <row r="2040" ht="15.75" customHeight="1" spans="1:9">
      <c r="A2040" s="49"/>
      <c r="B2040" s="36" t="s">
        <v>3509</v>
      </c>
      <c r="C2040" s="36" t="s">
        <v>3528</v>
      </c>
      <c r="D2040" s="49"/>
      <c r="E2040" s="49"/>
      <c r="F2040" s="49"/>
      <c r="G2040" s="49"/>
      <c r="H2040" s="49"/>
      <c r="I2040" s="49"/>
    </row>
    <row r="2041" ht="15.75" customHeight="1" spans="1:9">
      <c r="A2041" s="49"/>
      <c r="B2041" s="36" t="s">
        <v>3509</v>
      </c>
      <c r="C2041" s="36" t="s">
        <v>3529</v>
      </c>
      <c r="D2041" s="49"/>
      <c r="E2041" s="49"/>
      <c r="F2041" s="49"/>
      <c r="G2041" s="49"/>
      <c r="H2041" s="49"/>
      <c r="I2041" s="49"/>
    </row>
    <row r="2042" ht="15.75" customHeight="1" spans="1:9">
      <c r="A2042" s="49"/>
      <c r="B2042" s="36" t="s">
        <v>3509</v>
      </c>
      <c r="C2042" s="36" t="s">
        <v>3530</v>
      </c>
      <c r="D2042" s="49"/>
      <c r="E2042" s="49"/>
      <c r="F2042" s="49"/>
      <c r="G2042" s="49"/>
      <c r="H2042" s="49"/>
      <c r="I2042" s="49"/>
    </row>
    <row r="2043" ht="15.75" customHeight="1" spans="1:9">
      <c r="A2043" s="49"/>
      <c r="B2043" s="36" t="s">
        <v>3509</v>
      </c>
      <c r="C2043" s="36" t="s">
        <v>3531</v>
      </c>
      <c r="D2043" s="49"/>
      <c r="E2043" s="49"/>
      <c r="F2043" s="49"/>
      <c r="G2043" s="49"/>
      <c r="H2043" s="49"/>
      <c r="I2043" s="49"/>
    </row>
    <row r="2044" ht="15.75" customHeight="1" spans="1:9">
      <c r="A2044" s="49"/>
      <c r="B2044" s="36" t="s">
        <v>3509</v>
      </c>
      <c r="C2044" s="36" t="s">
        <v>3532</v>
      </c>
      <c r="D2044" s="49"/>
      <c r="E2044" s="49"/>
      <c r="F2044" s="49"/>
      <c r="G2044" s="49"/>
      <c r="H2044" s="49"/>
      <c r="I2044" s="49"/>
    </row>
    <row r="2045" ht="15.75" customHeight="1" spans="1:9">
      <c r="A2045" s="49"/>
      <c r="B2045" s="36" t="s">
        <v>3509</v>
      </c>
      <c r="C2045" s="36" t="s">
        <v>3533</v>
      </c>
      <c r="D2045" s="49"/>
      <c r="E2045" s="49"/>
      <c r="F2045" s="49"/>
      <c r="G2045" s="49"/>
      <c r="H2045" s="49"/>
      <c r="I2045" s="49"/>
    </row>
    <row r="2046" ht="15.75" customHeight="1" spans="1:9">
      <c r="A2046" s="49"/>
      <c r="B2046" s="36" t="s">
        <v>3509</v>
      </c>
      <c r="C2046" s="36" t="s">
        <v>3534</v>
      </c>
      <c r="D2046" s="49"/>
      <c r="E2046" s="49"/>
      <c r="F2046" s="49"/>
      <c r="G2046" s="49"/>
      <c r="H2046" s="49"/>
      <c r="I2046" s="49"/>
    </row>
    <row r="2047" ht="15.75" customHeight="1" spans="1:9">
      <c r="A2047" s="49"/>
      <c r="B2047" s="36" t="s">
        <v>3509</v>
      </c>
      <c r="C2047" s="36" t="s">
        <v>3535</v>
      </c>
      <c r="D2047" s="49"/>
      <c r="E2047" s="49"/>
      <c r="F2047" s="49"/>
      <c r="G2047" s="49"/>
      <c r="H2047" s="49"/>
      <c r="I2047" s="49"/>
    </row>
    <row r="2048" ht="15.75" customHeight="1" spans="1:9">
      <c r="A2048" s="49"/>
      <c r="B2048" s="36" t="s">
        <v>3509</v>
      </c>
      <c r="C2048" s="36" t="s">
        <v>3536</v>
      </c>
      <c r="D2048" s="49"/>
      <c r="E2048" s="49"/>
      <c r="F2048" s="49"/>
      <c r="G2048" s="49"/>
      <c r="H2048" s="49"/>
      <c r="I2048" s="49"/>
    </row>
    <row r="2049" ht="15.75" customHeight="1" spans="1:9">
      <c r="A2049" s="49"/>
      <c r="B2049" s="36" t="s">
        <v>3509</v>
      </c>
      <c r="C2049" s="36" t="s">
        <v>3537</v>
      </c>
      <c r="D2049" s="49"/>
      <c r="E2049" s="49"/>
      <c r="F2049" s="49"/>
      <c r="G2049" s="49"/>
      <c r="H2049" s="49"/>
      <c r="I2049" s="49"/>
    </row>
    <row r="2050" ht="15.75" customHeight="1" spans="1:9">
      <c r="A2050" s="49"/>
      <c r="B2050" s="36" t="s">
        <v>3509</v>
      </c>
      <c r="C2050" s="36" t="s">
        <v>3538</v>
      </c>
      <c r="D2050" s="49"/>
      <c r="E2050" s="49"/>
      <c r="F2050" s="49"/>
      <c r="G2050" s="49"/>
      <c r="H2050" s="49"/>
      <c r="I2050" s="49"/>
    </row>
    <row r="2051" ht="15.75" customHeight="1" spans="1:9">
      <c r="A2051" s="49"/>
      <c r="B2051" s="36" t="s">
        <v>3509</v>
      </c>
      <c r="C2051" s="36" t="s">
        <v>3539</v>
      </c>
      <c r="D2051" s="49"/>
      <c r="E2051" s="49"/>
      <c r="F2051" s="49"/>
      <c r="G2051" s="49"/>
      <c r="H2051" s="49"/>
      <c r="I2051" s="49"/>
    </row>
    <row r="2052" ht="15.75" customHeight="1" spans="1:9">
      <c r="A2052" s="49"/>
      <c r="B2052" s="36" t="s">
        <v>3509</v>
      </c>
      <c r="C2052" s="36" t="s">
        <v>3540</v>
      </c>
      <c r="D2052" s="49"/>
      <c r="E2052" s="49"/>
      <c r="F2052" s="49"/>
      <c r="G2052" s="49"/>
      <c r="H2052" s="49"/>
      <c r="I2052" s="49"/>
    </row>
    <row r="2053" ht="15.75" customHeight="1" spans="1:9">
      <c r="A2053" s="49"/>
      <c r="B2053" s="36" t="s">
        <v>3509</v>
      </c>
      <c r="C2053" s="36" t="s">
        <v>3541</v>
      </c>
      <c r="D2053" s="49"/>
      <c r="E2053" s="49"/>
      <c r="F2053" s="49"/>
      <c r="G2053" s="49"/>
      <c r="H2053" s="49"/>
      <c r="I2053" s="49"/>
    </row>
    <row r="2054" ht="15.75" customHeight="1" spans="1:9">
      <c r="A2054" s="49"/>
      <c r="B2054" s="36" t="s">
        <v>3509</v>
      </c>
      <c r="C2054" s="36" t="s">
        <v>3542</v>
      </c>
      <c r="D2054" s="49"/>
      <c r="E2054" s="49"/>
      <c r="F2054" s="49"/>
      <c r="G2054" s="49"/>
      <c r="H2054" s="49"/>
      <c r="I2054" s="49"/>
    </row>
    <row r="2055" ht="15.75" customHeight="1" spans="1:9">
      <c r="A2055" s="49"/>
      <c r="B2055" s="36" t="s">
        <v>3509</v>
      </c>
      <c r="C2055" s="36" t="s">
        <v>3543</v>
      </c>
      <c r="D2055" s="49"/>
      <c r="E2055" s="49"/>
      <c r="F2055" s="49"/>
      <c r="G2055" s="49"/>
      <c r="H2055" s="49"/>
      <c r="I2055" s="49"/>
    </row>
    <row r="2056" ht="15.75" customHeight="1" spans="1:9">
      <c r="A2056" s="49"/>
      <c r="B2056" s="36" t="s">
        <v>3509</v>
      </c>
      <c r="C2056" s="36" t="s">
        <v>3544</v>
      </c>
      <c r="D2056" s="49"/>
      <c r="E2056" s="49"/>
      <c r="F2056" s="49"/>
      <c r="G2056" s="49"/>
      <c r="H2056" s="49"/>
      <c r="I2056" s="49"/>
    </row>
    <row r="2057" ht="15.75" customHeight="1" spans="1:9">
      <c r="A2057" s="49"/>
      <c r="B2057" s="36" t="s">
        <v>3509</v>
      </c>
      <c r="C2057" s="36" t="s">
        <v>3545</v>
      </c>
      <c r="D2057" s="49"/>
      <c r="E2057" s="49"/>
      <c r="F2057" s="49"/>
      <c r="G2057" s="49"/>
      <c r="H2057" s="49"/>
      <c r="I2057" s="49"/>
    </row>
    <row r="2058" ht="15.75" customHeight="1" spans="1:9">
      <c r="A2058" s="49"/>
      <c r="B2058" s="36" t="s">
        <v>3509</v>
      </c>
      <c r="C2058" s="36" t="s">
        <v>3546</v>
      </c>
      <c r="D2058" s="49"/>
      <c r="E2058" s="49"/>
      <c r="F2058" s="49"/>
      <c r="G2058" s="49"/>
      <c r="H2058" s="49"/>
      <c r="I2058" s="49"/>
    </row>
    <row r="2059" ht="15.75" customHeight="1" spans="1:9">
      <c r="A2059" s="49"/>
      <c r="B2059" s="36" t="s">
        <v>3509</v>
      </c>
      <c r="C2059" s="36" t="s">
        <v>3547</v>
      </c>
      <c r="D2059" s="49"/>
      <c r="E2059" s="49"/>
      <c r="F2059" s="49"/>
      <c r="G2059" s="49"/>
      <c r="H2059" s="49"/>
      <c r="I2059" s="49"/>
    </row>
    <row r="2060" ht="15.75" customHeight="1" spans="1:9">
      <c r="A2060" s="49"/>
      <c r="B2060" s="36" t="s">
        <v>3509</v>
      </c>
      <c r="C2060" s="36" t="s">
        <v>3548</v>
      </c>
      <c r="D2060" s="49"/>
      <c r="E2060" s="49"/>
      <c r="F2060" s="49"/>
      <c r="G2060" s="49"/>
      <c r="H2060" s="49"/>
      <c r="I2060" s="49"/>
    </row>
    <row r="2061" ht="15.75" customHeight="1" spans="1:9">
      <c r="A2061" s="49"/>
      <c r="B2061" s="36" t="s">
        <v>3509</v>
      </c>
      <c r="C2061" s="36" t="s">
        <v>3549</v>
      </c>
      <c r="D2061" s="49"/>
      <c r="E2061" s="49"/>
      <c r="F2061" s="49"/>
      <c r="G2061" s="49"/>
      <c r="H2061" s="49"/>
      <c r="I2061" s="49"/>
    </row>
    <row r="2062" ht="15.75" customHeight="1" spans="1:9">
      <c r="A2062" s="49"/>
      <c r="B2062" s="36" t="s">
        <v>3509</v>
      </c>
      <c r="C2062" s="36" t="s">
        <v>3550</v>
      </c>
      <c r="D2062" s="49"/>
      <c r="E2062" s="49"/>
      <c r="F2062" s="49"/>
      <c r="G2062" s="49"/>
      <c r="H2062" s="49"/>
      <c r="I2062" s="49"/>
    </row>
    <row r="2063" ht="15.75" customHeight="1" spans="1:9">
      <c r="A2063" s="49"/>
      <c r="B2063" s="36" t="s">
        <v>3509</v>
      </c>
      <c r="C2063" s="36" t="s">
        <v>3551</v>
      </c>
      <c r="D2063" s="49"/>
      <c r="E2063" s="49"/>
      <c r="F2063" s="49"/>
      <c r="G2063" s="49"/>
      <c r="H2063" s="49"/>
      <c r="I2063" s="49"/>
    </row>
    <row r="2064" ht="15.75" customHeight="1" spans="1:9">
      <c r="A2064" s="49"/>
      <c r="B2064" s="36" t="s">
        <v>3509</v>
      </c>
      <c r="C2064" s="36" t="s">
        <v>3552</v>
      </c>
      <c r="D2064" s="49"/>
      <c r="E2064" s="49"/>
      <c r="F2064" s="49"/>
      <c r="G2064" s="49"/>
      <c r="H2064" s="49"/>
      <c r="I2064" s="49"/>
    </row>
    <row r="2065" ht="15.75" customHeight="1" spans="1:9">
      <c r="A2065" s="49"/>
      <c r="B2065" s="36" t="s">
        <v>3509</v>
      </c>
      <c r="C2065" s="36" t="s">
        <v>3553</v>
      </c>
      <c r="D2065" s="49"/>
      <c r="E2065" s="49"/>
      <c r="F2065" s="49"/>
      <c r="G2065" s="49"/>
      <c r="H2065" s="49"/>
      <c r="I2065" s="49"/>
    </row>
    <row r="2066" ht="15.75" customHeight="1" spans="1:9">
      <c r="A2066" s="49"/>
      <c r="B2066" s="36" t="s">
        <v>3509</v>
      </c>
      <c r="C2066" s="36" t="s">
        <v>3554</v>
      </c>
      <c r="D2066" s="49"/>
      <c r="E2066" s="49"/>
      <c r="F2066" s="49"/>
      <c r="G2066" s="49"/>
      <c r="H2066" s="49"/>
      <c r="I2066" s="49"/>
    </row>
    <row r="2067" ht="15.75" customHeight="1" spans="1:9">
      <c r="A2067" s="49"/>
      <c r="B2067" s="36" t="s">
        <v>3509</v>
      </c>
      <c r="C2067" s="36" t="s">
        <v>3555</v>
      </c>
      <c r="D2067" s="49"/>
      <c r="E2067" s="49"/>
      <c r="F2067" s="49"/>
      <c r="G2067" s="49"/>
      <c r="H2067" s="49"/>
      <c r="I2067" s="49"/>
    </row>
    <row r="2068" ht="15.75" customHeight="1" spans="1:9">
      <c r="A2068" s="49"/>
      <c r="B2068" s="36" t="s">
        <v>3509</v>
      </c>
      <c r="C2068" s="36" t="s">
        <v>3556</v>
      </c>
      <c r="D2068" s="49"/>
      <c r="E2068" s="49"/>
      <c r="F2068" s="49"/>
      <c r="G2068" s="49"/>
      <c r="H2068" s="49"/>
      <c r="I2068" s="49"/>
    </row>
    <row r="2069" ht="15.75" customHeight="1" spans="1:9">
      <c r="A2069" s="49"/>
      <c r="B2069" s="36" t="s">
        <v>3509</v>
      </c>
      <c r="C2069" s="36" t="s">
        <v>3557</v>
      </c>
      <c r="D2069" s="49"/>
      <c r="E2069" s="49"/>
      <c r="F2069" s="49"/>
      <c r="G2069" s="49"/>
      <c r="H2069" s="49"/>
      <c r="I2069" s="49"/>
    </row>
    <row r="2070" ht="15.75" customHeight="1" spans="1:9">
      <c r="A2070" s="49"/>
      <c r="B2070" s="36" t="s">
        <v>3509</v>
      </c>
      <c r="C2070" s="36" t="s">
        <v>3558</v>
      </c>
      <c r="D2070" s="49"/>
      <c r="E2070" s="49"/>
      <c r="F2070" s="49"/>
      <c r="G2070" s="49"/>
      <c r="H2070" s="49"/>
      <c r="I2070" s="49"/>
    </row>
    <row r="2071" ht="15.75" customHeight="1" spans="1:9">
      <c r="A2071" s="49"/>
      <c r="B2071" s="36" t="s">
        <v>3509</v>
      </c>
      <c r="C2071" s="36" t="s">
        <v>3559</v>
      </c>
      <c r="D2071" s="49"/>
      <c r="E2071" s="49"/>
      <c r="F2071" s="49"/>
      <c r="G2071" s="49"/>
      <c r="H2071" s="49"/>
      <c r="I2071" s="49"/>
    </row>
    <row r="2072" ht="15.75" customHeight="1" spans="1:9">
      <c r="A2072" s="49"/>
      <c r="B2072" s="36" t="s">
        <v>3509</v>
      </c>
      <c r="C2072" s="36" t="s">
        <v>3560</v>
      </c>
      <c r="D2072" s="49"/>
      <c r="E2072" s="49"/>
      <c r="F2072" s="49"/>
      <c r="G2072" s="49"/>
      <c r="H2072" s="49"/>
      <c r="I2072" s="49"/>
    </row>
    <row r="2073" ht="15.75" customHeight="1" spans="1:9">
      <c r="A2073" s="49"/>
      <c r="B2073" s="36" t="s">
        <v>3509</v>
      </c>
      <c r="C2073" s="36" t="s">
        <v>3561</v>
      </c>
      <c r="D2073" s="49"/>
      <c r="E2073" s="49"/>
      <c r="F2073" s="49"/>
      <c r="G2073" s="49"/>
      <c r="H2073" s="49"/>
      <c r="I2073" s="49"/>
    </row>
    <row r="2074" ht="15.75" customHeight="1" spans="1:9">
      <c r="A2074" s="49"/>
      <c r="B2074" s="36" t="s">
        <v>3509</v>
      </c>
      <c r="C2074" s="36" t="s">
        <v>3562</v>
      </c>
      <c r="D2074" s="49"/>
      <c r="E2074" s="49"/>
      <c r="F2074" s="49"/>
      <c r="G2074" s="49"/>
      <c r="H2074" s="49"/>
      <c r="I2074" s="49"/>
    </row>
    <row r="2075" ht="15.75" customHeight="1" spans="1:9">
      <c r="A2075" s="49"/>
      <c r="B2075" s="36" t="s">
        <v>3509</v>
      </c>
      <c r="C2075" s="36" t="s">
        <v>3563</v>
      </c>
      <c r="D2075" s="49"/>
      <c r="E2075" s="49"/>
      <c r="F2075" s="49"/>
      <c r="G2075" s="49"/>
      <c r="H2075" s="49"/>
      <c r="I2075" s="49"/>
    </row>
    <row r="2076" ht="15.75" customHeight="1" spans="1:9">
      <c r="A2076" s="49"/>
      <c r="B2076" s="36" t="s">
        <v>3509</v>
      </c>
      <c r="C2076" s="36" t="s">
        <v>3564</v>
      </c>
      <c r="D2076" s="49"/>
      <c r="E2076" s="49"/>
      <c r="F2076" s="49"/>
      <c r="G2076" s="49"/>
      <c r="H2076" s="49"/>
      <c r="I2076" s="49"/>
    </row>
    <row r="2077" ht="15.75" customHeight="1" spans="1:9">
      <c r="A2077" s="49"/>
      <c r="B2077" s="36" t="s">
        <v>3509</v>
      </c>
      <c r="C2077" s="36" t="s">
        <v>3565</v>
      </c>
      <c r="D2077" s="49"/>
      <c r="E2077" s="49"/>
      <c r="F2077" s="49"/>
      <c r="G2077" s="49"/>
      <c r="H2077" s="49"/>
      <c r="I2077" s="49"/>
    </row>
    <row r="2078" ht="15.75" customHeight="1" spans="1:9">
      <c r="A2078" s="49"/>
      <c r="B2078" s="36" t="s">
        <v>3509</v>
      </c>
      <c r="C2078" s="36" t="s">
        <v>3566</v>
      </c>
      <c r="D2078" s="49"/>
      <c r="E2078" s="49"/>
      <c r="F2078" s="49"/>
      <c r="G2078" s="49"/>
      <c r="H2078" s="49"/>
      <c r="I2078" s="49"/>
    </row>
    <row r="2079" ht="15.75" customHeight="1" spans="1:9">
      <c r="A2079" s="49"/>
      <c r="B2079" s="36" t="s">
        <v>3509</v>
      </c>
      <c r="C2079" s="36" t="s">
        <v>3567</v>
      </c>
      <c r="D2079" s="49"/>
      <c r="E2079" s="49"/>
      <c r="F2079" s="49"/>
      <c r="G2079" s="49"/>
      <c r="H2079" s="49"/>
      <c r="I2079" s="49"/>
    </row>
    <row r="2080" ht="15.75" customHeight="1" spans="1:9">
      <c r="A2080" s="49"/>
      <c r="B2080" s="36" t="s">
        <v>3509</v>
      </c>
      <c r="C2080" s="37" t="s">
        <v>3568</v>
      </c>
      <c r="D2080" s="49"/>
      <c r="E2080" s="49"/>
      <c r="F2080" s="49"/>
      <c r="G2080" s="49"/>
      <c r="H2080" s="49"/>
      <c r="I2080" s="49"/>
    </row>
    <row r="2081" ht="15.75" customHeight="1" spans="1:9">
      <c r="A2081" s="49"/>
      <c r="B2081" s="36" t="s">
        <v>3509</v>
      </c>
      <c r="C2081" s="36" t="s">
        <v>3569</v>
      </c>
      <c r="D2081" s="49"/>
      <c r="E2081" s="49"/>
      <c r="F2081" s="49"/>
      <c r="G2081" s="49"/>
      <c r="H2081" s="49"/>
      <c r="I2081" s="49"/>
    </row>
    <row r="2082" ht="15.75" customHeight="1" spans="1:9">
      <c r="A2082" s="49"/>
      <c r="B2082" s="36" t="s">
        <v>3509</v>
      </c>
      <c r="C2082" s="36" t="s">
        <v>3570</v>
      </c>
      <c r="D2082" s="49"/>
      <c r="E2082" s="49"/>
      <c r="F2082" s="49"/>
      <c r="G2082" s="49"/>
      <c r="H2082" s="49"/>
      <c r="I2082" s="49"/>
    </row>
    <row r="2083" ht="15.75" customHeight="1" spans="1:9">
      <c r="A2083" s="49"/>
      <c r="B2083" s="36" t="s">
        <v>3509</v>
      </c>
      <c r="C2083" s="36" t="s">
        <v>3571</v>
      </c>
      <c r="D2083" s="49"/>
      <c r="E2083" s="49"/>
      <c r="F2083" s="49"/>
      <c r="G2083" s="49"/>
      <c r="H2083" s="49"/>
      <c r="I2083" s="49"/>
    </row>
    <row r="2084" ht="15.75" customHeight="1" spans="1:9">
      <c r="A2084" s="49"/>
      <c r="B2084" s="36" t="s">
        <v>3509</v>
      </c>
      <c r="C2084" s="36" t="s">
        <v>3572</v>
      </c>
      <c r="D2084" s="49"/>
      <c r="E2084" s="49"/>
      <c r="F2084" s="49"/>
      <c r="G2084" s="49"/>
      <c r="H2084" s="49"/>
      <c r="I2084" s="49"/>
    </row>
    <row r="2085" ht="15.75" customHeight="1" spans="1:9">
      <c r="A2085" s="49"/>
      <c r="B2085" s="36" t="s">
        <v>3509</v>
      </c>
      <c r="C2085" s="36" t="s">
        <v>3573</v>
      </c>
      <c r="D2085" s="49"/>
      <c r="E2085" s="49"/>
      <c r="F2085" s="49"/>
      <c r="G2085" s="49"/>
      <c r="H2085" s="49"/>
      <c r="I2085" s="49"/>
    </row>
    <row r="2086" ht="15.75" customHeight="1" spans="1:9">
      <c r="A2086" s="49"/>
      <c r="B2086" s="36" t="s">
        <v>3509</v>
      </c>
      <c r="C2086" s="36" t="s">
        <v>3574</v>
      </c>
      <c r="D2086" s="49"/>
      <c r="E2086" s="49"/>
      <c r="F2086" s="49"/>
      <c r="G2086" s="49"/>
      <c r="H2086" s="49"/>
      <c r="I2086" s="49"/>
    </row>
    <row r="2087" ht="15.75" customHeight="1" spans="1:9">
      <c r="A2087" s="49"/>
      <c r="B2087" s="36" t="s">
        <v>3509</v>
      </c>
      <c r="C2087" s="36" t="s">
        <v>3575</v>
      </c>
      <c r="D2087" s="49"/>
      <c r="E2087" s="49"/>
      <c r="F2087" s="49"/>
      <c r="G2087" s="49"/>
      <c r="H2087" s="49"/>
      <c r="I2087" s="49"/>
    </row>
    <row r="2088" ht="15.75" customHeight="1" spans="1:9">
      <c r="A2088" s="49"/>
      <c r="B2088" s="36" t="s">
        <v>3509</v>
      </c>
      <c r="C2088" s="36" t="s">
        <v>3576</v>
      </c>
      <c r="D2088" s="49"/>
      <c r="E2088" s="49"/>
      <c r="F2088" s="49"/>
      <c r="G2088" s="49"/>
      <c r="H2088" s="49"/>
      <c r="I2088" s="49"/>
    </row>
    <row r="2089" ht="15.75" customHeight="1" spans="1:9">
      <c r="A2089" s="49"/>
      <c r="B2089" s="36" t="s">
        <v>3509</v>
      </c>
      <c r="C2089" s="36" t="s">
        <v>3577</v>
      </c>
      <c r="D2089" s="49"/>
      <c r="E2089" s="49"/>
      <c r="F2089" s="49"/>
      <c r="G2089" s="49"/>
      <c r="H2089" s="49"/>
      <c r="I2089" s="49"/>
    </row>
    <row r="2090" ht="15.75" customHeight="1" spans="1:9">
      <c r="A2090" s="49"/>
      <c r="B2090" s="36" t="s">
        <v>3509</v>
      </c>
      <c r="C2090" s="36" t="s">
        <v>3578</v>
      </c>
      <c r="D2090" s="49"/>
      <c r="E2090" s="49"/>
      <c r="F2090" s="49"/>
      <c r="G2090" s="49"/>
      <c r="H2090" s="49"/>
      <c r="I2090" s="49"/>
    </row>
    <row r="2091" ht="15.75" customHeight="1" spans="1:9">
      <c r="A2091" s="49"/>
      <c r="B2091" s="36" t="s">
        <v>3509</v>
      </c>
      <c r="C2091" s="36" t="s">
        <v>3579</v>
      </c>
      <c r="D2091" s="49"/>
      <c r="E2091" s="49"/>
      <c r="F2091" s="49"/>
      <c r="G2091" s="49"/>
      <c r="H2091" s="49"/>
      <c r="I2091" s="49"/>
    </row>
    <row r="2092" ht="15.75" customHeight="1" spans="1:9">
      <c r="A2092" s="49"/>
      <c r="B2092" s="36" t="s">
        <v>3580</v>
      </c>
      <c r="C2092" s="36" t="s">
        <v>117</v>
      </c>
      <c r="D2092" s="49"/>
      <c r="E2092" s="49"/>
      <c r="F2092" s="49"/>
      <c r="G2092" s="49"/>
      <c r="H2092" s="49"/>
      <c r="I2092" s="49"/>
    </row>
    <row r="2093" ht="15.75" customHeight="1" spans="1:9">
      <c r="A2093" s="49"/>
      <c r="B2093" s="36" t="s">
        <v>3580</v>
      </c>
      <c r="C2093" s="36" t="s">
        <v>3581</v>
      </c>
      <c r="D2093" s="49"/>
      <c r="E2093" s="49"/>
      <c r="F2093" s="49"/>
      <c r="G2093" s="49"/>
      <c r="H2093" s="49"/>
      <c r="I2093" s="49"/>
    </row>
    <row r="2094" ht="15.75" customHeight="1" spans="1:9">
      <c r="A2094" s="49"/>
      <c r="B2094" s="36" t="s">
        <v>3580</v>
      </c>
      <c r="C2094" s="36" t="s">
        <v>3582</v>
      </c>
      <c r="D2094" s="49"/>
      <c r="E2094" s="49"/>
      <c r="F2094" s="49"/>
      <c r="G2094" s="49"/>
      <c r="H2094" s="49"/>
      <c r="I2094" s="49"/>
    </row>
    <row r="2095" ht="15.75" customHeight="1" spans="1:9">
      <c r="A2095" s="49"/>
      <c r="B2095" s="36" t="s">
        <v>3580</v>
      </c>
      <c r="C2095" s="36" t="s">
        <v>3583</v>
      </c>
      <c r="D2095" s="49"/>
      <c r="E2095" s="49"/>
      <c r="F2095" s="49"/>
      <c r="G2095" s="49"/>
      <c r="H2095" s="49"/>
      <c r="I2095" s="49"/>
    </row>
    <row r="2096" ht="15.75" customHeight="1" spans="1:9">
      <c r="A2096" s="49"/>
      <c r="B2096" s="36" t="s">
        <v>3580</v>
      </c>
      <c r="C2096" s="36" t="s">
        <v>3584</v>
      </c>
      <c r="D2096" s="49"/>
      <c r="E2096" s="49"/>
      <c r="F2096" s="49"/>
      <c r="G2096" s="49"/>
      <c r="H2096" s="49"/>
      <c r="I2096" s="49"/>
    </row>
    <row r="2097" ht="15.75" customHeight="1" spans="1:9">
      <c r="A2097" s="49"/>
      <c r="B2097" s="36" t="s">
        <v>3580</v>
      </c>
      <c r="C2097" s="36" t="s">
        <v>304</v>
      </c>
      <c r="D2097" s="49"/>
      <c r="E2097" s="49"/>
      <c r="F2097" s="49"/>
      <c r="G2097" s="49"/>
      <c r="H2097" s="49"/>
      <c r="I2097" s="49"/>
    </row>
    <row r="2098" ht="15.75" customHeight="1" spans="1:9">
      <c r="A2098" s="49"/>
      <c r="B2098" s="36" t="s">
        <v>3580</v>
      </c>
      <c r="C2098" s="36" t="s">
        <v>3585</v>
      </c>
      <c r="D2098" s="49"/>
      <c r="E2098" s="49"/>
      <c r="F2098" s="49"/>
      <c r="G2098" s="49"/>
      <c r="H2098" s="49"/>
      <c r="I2098" s="49"/>
    </row>
    <row r="2099" ht="15.75" customHeight="1" spans="1:9">
      <c r="A2099" s="49"/>
      <c r="B2099" s="36" t="s">
        <v>3580</v>
      </c>
      <c r="C2099" s="36" t="s">
        <v>3586</v>
      </c>
      <c r="D2099" s="49"/>
      <c r="E2099" s="49"/>
      <c r="F2099" s="49"/>
      <c r="G2099" s="49"/>
      <c r="H2099" s="49"/>
      <c r="I2099" s="49"/>
    </row>
    <row r="2100" ht="15.75" customHeight="1" spans="1:9">
      <c r="A2100" s="49"/>
      <c r="B2100" s="36" t="s">
        <v>3580</v>
      </c>
      <c r="C2100" s="36" t="s">
        <v>3587</v>
      </c>
      <c r="D2100" s="49"/>
      <c r="E2100" s="49"/>
      <c r="F2100" s="49"/>
      <c r="G2100" s="49"/>
      <c r="H2100" s="49"/>
      <c r="I2100" s="49"/>
    </row>
    <row r="2101" ht="15.75" customHeight="1" spans="1:9">
      <c r="A2101" s="49"/>
      <c r="B2101" s="36" t="s">
        <v>3580</v>
      </c>
      <c r="C2101" s="36" t="s">
        <v>3588</v>
      </c>
      <c r="D2101" s="49"/>
      <c r="E2101" s="49"/>
      <c r="F2101" s="49"/>
      <c r="G2101" s="49"/>
      <c r="H2101" s="49"/>
      <c r="I2101" s="49"/>
    </row>
    <row r="2102" ht="15.75" customHeight="1" spans="1:9">
      <c r="A2102" s="49"/>
      <c r="B2102" s="36" t="s">
        <v>3580</v>
      </c>
      <c r="C2102" s="36" t="s">
        <v>3589</v>
      </c>
      <c r="D2102" s="49"/>
      <c r="E2102" s="49"/>
      <c r="F2102" s="49"/>
      <c r="G2102" s="49"/>
      <c r="H2102" s="49"/>
      <c r="I2102" s="49"/>
    </row>
    <row r="2103" ht="15.75" customHeight="1" spans="1:9">
      <c r="A2103" s="49"/>
      <c r="B2103" s="36" t="s">
        <v>3580</v>
      </c>
      <c r="C2103" s="36" t="s">
        <v>3590</v>
      </c>
      <c r="D2103" s="49"/>
      <c r="E2103" s="49"/>
      <c r="F2103" s="49"/>
      <c r="G2103" s="49"/>
      <c r="H2103" s="49"/>
      <c r="I2103" s="49"/>
    </row>
    <row r="2104" ht="15.75" customHeight="1" spans="1:9">
      <c r="A2104" s="49"/>
      <c r="B2104" s="36" t="s">
        <v>3580</v>
      </c>
      <c r="C2104" s="36" t="s">
        <v>3591</v>
      </c>
      <c r="D2104" s="49"/>
      <c r="E2104" s="49"/>
      <c r="F2104" s="49"/>
      <c r="G2104" s="49"/>
      <c r="H2104" s="49"/>
      <c r="I2104" s="49"/>
    </row>
    <row r="2105" ht="15.75" customHeight="1" spans="1:9">
      <c r="A2105" s="49"/>
      <c r="B2105" s="36" t="s">
        <v>3580</v>
      </c>
      <c r="C2105" s="36" t="s">
        <v>3592</v>
      </c>
      <c r="D2105" s="49"/>
      <c r="E2105" s="49"/>
      <c r="F2105" s="49"/>
      <c r="G2105" s="49"/>
      <c r="H2105" s="49"/>
      <c r="I2105" s="49"/>
    </row>
    <row r="2106" ht="15.75" customHeight="1" spans="1:9">
      <c r="A2106" s="49"/>
      <c r="B2106" s="36" t="s">
        <v>3580</v>
      </c>
      <c r="C2106" s="36" t="s">
        <v>3593</v>
      </c>
      <c r="D2106" s="49"/>
      <c r="E2106" s="49"/>
      <c r="F2106" s="49"/>
      <c r="G2106" s="49"/>
      <c r="H2106" s="49"/>
      <c r="I2106" s="49"/>
    </row>
    <row r="2107" ht="15.75" customHeight="1" spans="1:9">
      <c r="A2107" s="49"/>
      <c r="B2107" s="36" t="s">
        <v>3580</v>
      </c>
      <c r="C2107" s="36" t="s">
        <v>3594</v>
      </c>
      <c r="D2107" s="49"/>
      <c r="E2107" s="49"/>
      <c r="F2107" s="49"/>
      <c r="G2107" s="49"/>
      <c r="H2107" s="49"/>
      <c r="I2107" s="49"/>
    </row>
    <row r="2108" ht="15.75" customHeight="1" spans="1:9">
      <c r="A2108" s="49"/>
      <c r="B2108" s="36" t="s">
        <v>3580</v>
      </c>
      <c r="C2108" s="36" t="s">
        <v>3595</v>
      </c>
      <c r="D2108" s="49"/>
      <c r="E2108" s="49"/>
      <c r="F2108" s="49"/>
      <c r="G2108" s="49"/>
      <c r="H2108" s="49"/>
      <c r="I2108" s="49"/>
    </row>
    <row r="2109" ht="15.75" customHeight="1" spans="1:9">
      <c r="A2109" s="49"/>
      <c r="B2109" s="36" t="s">
        <v>3580</v>
      </c>
      <c r="C2109" s="36" t="s">
        <v>3596</v>
      </c>
      <c r="D2109" s="49"/>
      <c r="E2109" s="49"/>
      <c r="F2109" s="49"/>
      <c r="G2109" s="49"/>
      <c r="H2109" s="49"/>
      <c r="I2109" s="49"/>
    </row>
    <row r="2110" ht="15.75" customHeight="1" spans="1:9">
      <c r="A2110" s="49"/>
      <c r="B2110" s="36" t="s">
        <v>3580</v>
      </c>
      <c r="C2110" s="36" t="s">
        <v>3597</v>
      </c>
      <c r="D2110" s="49"/>
      <c r="E2110" s="49"/>
      <c r="F2110" s="49"/>
      <c r="G2110" s="49"/>
      <c r="H2110" s="49"/>
      <c r="I2110" s="49"/>
    </row>
    <row r="2111" ht="15.75" customHeight="1" spans="1:9">
      <c r="A2111" s="49"/>
      <c r="B2111" s="36" t="s">
        <v>3580</v>
      </c>
      <c r="C2111" s="36" t="s">
        <v>3598</v>
      </c>
      <c r="D2111" s="49"/>
      <c r="E2111" s="49"/>
      <c r="F2111" s="49"/>
      <c r="G2111" s="49"/>
      <c r="H2111" s="49"/>
      <c r="I2111" s="49"/>
    </row>
    <row r="2112" ht="15.75" customHeight="1" spans="1:9">
      <c r="A2112" s="49"/>
      <c r="B2112" s="36" t="s">
        <v>3580</v>
      </c>
      <c r="C2112" s="36" t="s">
        <v>3599</v>
      </c>
      <c r="D2112" s="49"/>
      <c r="E2112" s="49"/>
      <c r="F2112" s="49"/>
      <c r="G2112" s="49"/>
      <c r="H2112" s="49"/>
      <c r="I2112" s="49"/>
    </row>
    <row r="2113" ht="15.75" customHeight="1" spans="1:9">
      <c r="A2113" s="49"/>
      <c r="B2113" s="36" t="s">
        <v>3580</v>
      </c>
      <c r="C2113" s="36" t="s">
        <v>3580</v>
      </c>
      <c r="D2113" s="49"/>
      <c r="E2113" s="49"/>
      <c r="F2113" s="49"/>
      <c r="G2113" s="49"/>
      <c r="H2113" s="49"/>
      <c r="I2113" s="49"/>
    </row>
    <row r="2114" ht="15.75" customHeight="1" spans="1:9">
      <c r="A2114" s="49"/>
      <c r="B2114" s="36" t="s">
        <v>3580</v>
      </c>
      <c r="C2114" s="36" t="s">
        <v>3600</v>
      </c>
      <c r="D2114" s="49"/>
      <c r="E2114" s="49"/>
      <c r="F2114" s="49"/>
      <c r="G2114" s="49"/>
      <c r="H2114" s="49"/>
      <c r="I2114" s="49"/>
    </row>
    <row r="2115" ht="15.75" customHeight="1" spans="1:9">
      <c r="A2115" s="49"/>
      <c r="B2115" s="36" t="s">
        <v>3580</v>
      </c>
      <c r="C2115" s="36" t="s">
        <v>3601</v>
      </c>
      <c r="D2115" s="49"/>
      <c r="E2115" s="49"/>
      <c r="F2115" s="49"/>
      <c r="G2115" s="49"/>
      <c r="H2115" s="49"/>
      <c r="I2115" s="49"/>
    </row>
    <row r="2116" ht="15.75" customHeight="1" spans="1:9">
      <c r="A2116" s="49"/>
      <c r="B2116" s="36" t="s">
        <v>3580</v>
      </c>
      <c r="C2116" s="36" t="s">
        <v>3602</v>
      </c>
      <c r="D2116" s="49"/>
      <c r="E2116" s="49"/>
      <c r="F2116" s="49"/>
      <c r="G2116" s="49"/>
      <c r="H2116" s="49"/>
      <c r="I2116" s="49"/>
    </row>
    <row r="2117" ht="15.75" customHeight="1" spans="1:9">
      <c r="A2117" s="49"/>
      <c r="B2117" s="36" t="s">
        <v>3580</v>
      </c>
      <c r="C2117" s="36" t="s">
        <v>3603</v>
      </c>
      <c r="D2117" s="49"/>
      <c r="E2117" s="49"/>
      <c r="F2117" s="49"/>
      <c r="G2117" s="49"/>
      <c r="H2117" s="49"/>
      <c r="I2117" s="49"/>
    </row>
    <row r="2118" ht="15.75" customHeight="1" spans="1:9">
      <c r="A2118" s="49"/>
      <c r="B2118" s="36" t="s">
        <v>3580</v>
      </c>
      <c r="C2118" s="36" t="s">
        <v>3604</v>
      </c>
      <c r="D2118" s="49"/>
      <c r="E2118" s="49"/>
      <c r="F2118" s="49"/>
      <c r="G2118" s="49"/>
      <c r="H2118" s="49"/>
      <c r="I2118" s="49"/>
    </row>
    <row r="2119" ht="15.75" customHeight="1" spans="1:9">
      <c r="A2119" s="49"/>
      <c r="B2119" s="36" t="s">
        <v>3580</v>
      </c>
      <c r="C2119" s="36" t="s">
        <v>3605</v>
      </c>
      <c r="D2119" s="49"/>
      <c r="E2119" s="49"/>
      <c r="F2119" s="49"/>
      <c r="G2119" s="49"/>
      <c r="H2119" s="49"/>
      <c r="I2119" s="49"/>
    </row>
    <row r="2120" ht="15.75" customHeight="1" spans="1:9">
      <c r="A2120" s="49"/>
      <c r="B2120" s="36" t="s">
        <v>3580</v>
      </c>
      <c r="C2120" s="36" t="s">
        <v>3606</v>
      </c>
      <c r="D2120" s="49"/>
      <c r="E2120" s="49"/>
      <c r="F2120" s="49"/>
      <c r="G2120" s="49"/>
      <c r="H2120" s="49"/>
      <c r="I2120" s="49"/>
    </row>
    <row r="2121" ht="15.75" customHeight="1" spans="1:9">
      <c r="A2121" s="49"/>
      <c r="B2121" s="36" t="s">
        <v>3580</v>
      </c>
      <c r="C2121" s="36" t="s">
        <v>3607</v>
      </c>
      <c r="D2121" s="49"/>
      <c r="E2121" s="49"/>
      <c r="F2121" s="49"/>
      <c r="G2121" s="49"/>
      <c r="H2121" s="49"/>
      <c r="I2121" s="49"/>
    </row>
    <row r="2122" ht="15.75" customHeight="1" spans="1:9">
      <c r="A2122" s="49"/>
      <c r="B2122" s="36" t="s">
        <v>3580</v>
      </c>
      <c r="C2122" s="36" t="s">
        <v>3608</v>
      </c>
      <c r="D2122" s="49"/>
      <c r="E2122" s="49"/>
      <c r="F2122" s="49"/>
      <c r="G2122" s="49"/>
      <c r="H2122" s="49"/>
      <c r="I2122" s="49"/>
    </row>
    <row r="2123" ht="15.75" customHeight="1" spans="1:9">
      <c r="A2123" s="49"/>
      <c r="B2123" s="36" t="s">
        <v>3580</v>
      </c>
      <c r="C2123" s="36" t="s">
        <v>3609</v>
      </c>
      <c r="D2123" s="49"/>
      <c r="E2123" s="49"/>
      <c r="F2123" s="49"/>
      <c r="G2123" s="49"/>
      <c r="H2123" s="49"/>
      <c r="I2123" s="49"/>
    </row>
    <row r="2124" ht="15.75" customHeight="1" spans="1:9">
      <c r="A2124" s="49"/>
      <c r="B2124" s="36" t="s">
        <v>3580</v>
      </c>
      <c r="C2124" s="36" t="s">
        <v>3610</v>
      </c>
      <c r="D2124" s="49"/>
      <c r="E2124" s="49"/>
      <c r="F2124" s="49"/>
      <c r="G2124" s="49"/>
      <c r="H2124" s="49"/>
      <c r="I2124" s="49"/>
    </row>
    <row r="2125" ht="15.75" customHeight="1" spans="1:9">
      <c r="A2125" s="49"/>
      <c r="B2125" s="36" t="s">
        <v>3580</v>
      </c>
      <c r="C2125" s="36" t="s">
        <v>3611</v>
      </c>
      <c r="D2125" s="49"/>
      <c r="E2125" s="49"/>
      <c r="F2125" s="49"/>
      <c r="G2125" s="49"/>
      <c r="H2125" s="49"/>
      <c r="I2125" s="49"/>
    </row>
    <row r="2126" ht="15.75" customHeight="1" spans="1:9">
      <c r="A2126" s="49"/>
      <c r="B2126" s="36" t="s">
        <v>3580</v>
      </c>
      <c r="C2126" s="36" t="s">
        <v>3612</v>
      </c>
      <c r="D2126" s="49"/>
      <c r="E2126" s="49"/>
      <c r="F2126" s="49"/>
      <c r="G2126" s="49"/>
      <c r="H2126" s="49"/>
      <c r="I2126" s="49"/>
    </row>
    <row r="2127" ht="15.75" customHeight="1" spans="1:9">
      <c r="A2127" s="49"/>
      <c r="B2127" s="36" t="s">
        <v>3580</v>
      </c>
      <c r="C2127" s="36" t="s">
        <v>3613</v>
      </c>
      <c r="D2127" s="49"/>
      <c r="E2127" s="49"/>
      <c r="F2127" s="49"/>
      <c r="G2127" s="49"/>
      <c r="H2127" s="49"/>
      <c r="I2127" s="49"/>
    </row>
    <row r="2128" ht="15.75" customHeight="1" spans="1:9">
      <c r="A2128" s="49"/>
      <c r="B2128" s="36" t="s">
        <v>3580</v>
      </c>
      <c r="C2128" s="36" t="s">
        <v>3614</v>
      </c>
      <c r="D2128" s="49"/>
      <c r="E2128" s="49"/>
      <c r="F2128" s="49"/>
      <c r="G2128" s="49"/>
      <c r="H2128" s="49"/>
      <c r="I2128" s="49"/>
    </row>
    <row r="2129" ht="15.75" customHeight="1" spans="1:9">
      <c r="A2129" s="49"/>
      <c r="B2129" s="36" t="s">
        <v>3580</v>
      </c>
      <c r="C2129" s="36" t="s">
        <v>3615</v>
      </c>
      <c r="D2129" s="49"/>
      <c r="E2129" s="49"/>
      <c r="F2129" s="49"/>
      <c r="G2129" s="49"/>
      <c r="H2129" s="49"/>
      <c r="I2129" s="49"/>
    </row>
    <row r="2130" ht="15.75" customHeight="1" spans="1:9">
      <c r="A2130" s="49"/>
      <c r="B2130" s="36" t="s">
        <v>3580</v>
      </c>
      <c r="C2130" s="36" t="s">
        <v>3616</v>
      </c>
      <c r="D2130" s="49"/>
      <c r="E2130" s="49"/>
      <c r="F2130" s="49"/>
      <c r="G2130" s="49"/>
      <c r="H2130" s="49"/>
      <c r="I2130" s="49"/>
    </row>
    <row r="2131" ht="15.75" customHeight="1" spans="1:9">
      <c r="A2131" s="49"/>
      <c r="B2131" s="36" t="s">
        <v>3580</v>
      </c>
      <c r="C2131" s="36" t="s">
        <v>3617</v>
      </c>
      <c r="D2131" s="49"/>
      <c r="E2131" s="49"/>
      <c r="F2131" s="49"/>
      <c r="G2131" s="49"/>
      <c r="H2131" s="49"/>
      <c r="I2131" s="49"/>
    </row>
    <row r="2132" ht="15.75" customHeight="1" spans="1:9">
      <c r="A2132" s="49"/>
      <c r="B2132" s="36" t="s">
        <v>3580</v>
      </c>
      <c r="C2132" s="36" t="s">
        <v>3618</v>
      </c>
      <c r="D2132" s="49"/>
      <c r="E2132" s="49"/>
      <c r="F2132" s="49"/>
      <c r="G2132" s="49"/>
      <c r="H2132" s="49"/>
      <c r="I2132" s="49"/>
    </row>
    <row r="2133" ht="15.75" customHeight="1" spans="1:9">
      <c r="A2133" s="49"/>
      <c r="B2133" s="36" t="s">
        <v>3580</v>
      </c>
      <c r="C2133" s="36" t="s">
        <v>3619</v>
      </c>
      <c r="D2133" s="49"/>
      <c r="E2133" s="49"/>
      <c r="F2133" s="49"/>
      <c r="G2133" s="49"/>
      <c r="H2133" s="49"/>
      <c r="I2133" s="49"/>
    </row>
    <row r="2134" ht="15.75" customHeight="1" spans="1:9">
      <c r="A2134" s="49"/>
      <c r="B2134" s="36" t="s">
        <v>3580</v>
      </c>
      <c r="C2134" s="36" t="s">
        <v>3620</v>
      </c>
      <c r="D2134" s="49"/>
      <c r="E2134" s="49"/>
      <c r="F2134" s="49"/>
      <c r="G2134" s="49"/>
      <c r="H2134" s="49"/>
      <c r="I2134" s="49"/>
    </row>
    <row r="2135" ht="15.75" customHeight="1" spans="1:9">
      <c r="A2135" s="49"/>
      <c r="B2135" s="36" t="s">
        <v>3580</v>
      </c>
      <c r="C2135" s="36" t="s">
        <v>3621</v>
      </c>
      <c r="D2135" s="49"/>
      <c r="E2135" s="49"/>
      <c r="F2135" s="49"/>
      <c r="G2135" s="49"/>
      <c r="H2135" s="49"/>
      <c r="I2135" s="49"/>
    </row>
    <row r="2136" ht="15.75" customHeight="1" spans="1:9">
      <c r="A2136" s="49"/>
      <c r="B2136" s="36" t="s">
        <v>3580</v>
      </c>
      <c r="C2136" s="36" t="s">
        <v>3622</v>
      </c>
      <c r="D2136" s="49"/>
      <c r="E2136" s="49"/>
      <c r="F2136" s="49"/>
      <c r="G2136" s="49"/>
      <c r="H2136" s="49"/>
      <c r="I2136" s="49"/>
    </row>
    <row r="2137" ht="15.75" customHeight="1" spans="1:9">
      <c r="A2137" s="49"/>
      <c r="B2137" s="36" t="s">
        <v>3580</v>
      </c>
      <c r="C2137" s="36" t="s">
        <v>3623</v>
      </c>
      <c r="D2137" s="49"/>
      <c r="E2137" s="49"/>
      <c r="F2137" s="49"/>
      <c r="G2137" s="49"/>
      <c r="H2137" s="49"/>
      <c r="I2137" s="49"/>
    </row>
    <row r="2138" ht="15.75" customHeight="1" spans="1:9">
      <c r="A2138" s="49"/>
      <c r="B2138" s="36" t="s">
        <v>3580</v>
      </c>
      <c r="C2138" s="36" t="s">
        <v>3624</v>
      </c>
      <c r="D2138" s="49"/>
      <c r="E2138" s="49"/>
      <c r="F2138" s="49"/>
      <c r="G2138" s="49"/>
      <c r="H2138" s="49"/>
      <c r="I2138" s="49"/>
    </row>
    <row r="2139" ht="15.75" customHeight="1" spans="1:9">
      <c r="A2139" s="49"/>
      <c r="B2139" s="36" t="s">
        <v>3580</v>
      </c>
      <c r="C2139" s="36" t="s">
        <v>3625</v>
      </c>
      <c r="D2139" s="49"/>
      <c r="E2139" s="49"/>
      <c r="F2139" s="49"/>
      <c r="G2139" s="49"/>
      <c r="H2139" s="49"/>
      <c r="I2139" s="49"/>
    </row>
    <row r="2140" ht="15.75" customHeight="1" spans="1:9">
      <c r="A2140" s="49"/>
      <c r="B2140" s="36" t="s">
        <v>3580</v>
      </c>
      <c r="C2140" s="36" t="s">
        <v>3626</v>
      </c>
      <c r="D2140" s="49"/>
      <c r="E2140" s="49"/>
      <c r="F2140" s="49"/>
      <c r="G2140" s="49"/>
      <c r="H2140" s="49"/>
      <c r="I2140" s="49"/>
    </row>
    <row r="2141" ht="15.75" customHeight="1" spans="1:9">
      <c r="A2141" s="49"/>
      <c r="B2141" s="36" t="s">
        <v>3580</v>
      </c>
      <c r="C2141" s="36" t="s">
        <v>3627</v>
      </c>
      <c r="D2141" s="49"/>
      <c r="E2141" s="49"/>
      <c r="F2141" s="49"/>
      <c r="G2141" s="49"/>
      <c r="H2141" s="49"/>
      <c r="I2141" s="49"/>
    </row>
    <row r="2142" ht="15.75" customHeight="1" spans="1:9">
      <c r="A2142" s="49"/>
      <c r="B2142" s="36" t="s">
        <v>3580</v>
      </c>
      <c r="C2142" s="36" t="s">
        <v>3628</v>
      </c>
      <c r="D2142" s="49"/>
      <c r="E2142" s="49"/>
      <c r="F2142" s="49"/>
      <c r="G2142" s="49"/>
      <c r="H2142" s="49"/>
      <c r="I2142" s="49"/>
    </row>
    <row r="2143" ht="15.75" customHeight="1" spans="1:9">
      <c r="A2143" s="49"/>
      <c r="B2143" s="36" t="s">
        <v>3580</v>
      </c>
      <c r="C2143" s="36" t="s">
        <v>3629</v>
      </c>
      <c r="D2143" s="49"/>
      <c r="E2143" s="49"/>
      <c r="F2143" s="49"/>
      <c r="G2143" s="49"/>
      <c r="H2143" s="49"/>
      <c r="I2143" s="49"/>
    </row>
    <row r="2144" ht="15.75" customHeight="1" spans="1:9">
      <c r="A2144" s="49"/>
      <c r="B2144" s="36" t="s">
        <v>3580</v>
      </c>
      <c r="C2144" s="36" t="s">
        <v>3630</v>
      </c>
      <c r="D2144" s="49"/>
      <c r="E2144" s="49"/>
      <c r="F2144" s="49"/>
      <c r="G2144" s="49"/>
      <c r="H2144" s="49"/>
      <c r="I2144" s="49"/>
    </row>
    <row r="2145" ht="15.75" customHeight="1" spans="1:9">
      <c r="A2145" s="49"/>
      <c r="B2145" s="36" t="s">
        <v>3580</v>
      </c>
      <c r="C2145" s="36" t="s">
        <v>3631</v>
      </c>
      <c r="D2145" s="49"/>
      <c r="E2145" s="49"/>
      <c r="F2145" s="49"/>
      <c r="G2145" s="49"/>
      <c r="H2145" s="49"/>
      <c r="I2145" s="49"/>
    </row>
    <row r="2146" ht="15.75" customHeight="1" spans="1:9">
      <c r="A2146" s="49"/>
      <c r="B2146" s="36" t="s">
        <v>3580</v>
      </c>
      <c r="C2146" s="36" t="s">
        <v>3632</v>
      </c>
      <c r="D2146" s="49"/>
      <c r="E2146" s="49"/>
      <c r="F2146" s="49"/>
      <c r="G2146" s="49"/>
      <c r="H2146" s="49"/>
      <c r="I2146" s="49"/>
    </row>
    <row r="2147" ht="15.75" customHeight="1" spans="1:9">
      <c r="A2147" s="49"/>
      <c r="B2147" s="36" t="s">
        <v>3580</v>
      </c>
      <c r="C2147" s="36" t="s">
        <v>3633</v>
      </c>
      <c r="D2147" s="49"/>
      <c r="E2147" s="49"/>
      <c r="F2147" s="49"/>
      <c r="G2147" s="49"/>
      <c r="H2147" s="49"/>
      <c r="I2147" s="49"/>
    </row>
    <row r="2148" ht="15.75" customHeight="1" spans="1:9">
      <c r="A2148" s="49"/>
      <c r="B2148" s="36" t="s">
        <v>3580</v>
      </c>
      <c r="C2148" s="36" t="s">
        <v>3634</v>
      </c>
      <c r="D2148" s="49"/>
      <c r="E2148" s="49"/>
      <c r="F2148" s="49"/>
      <c r="G2148" s="49"/>
      <c r="H2148" s="49"/>
      <c r="I2148" s="49"/>
    </row>
    <row r="2149" ht="15.75" customHeight="1" spans="1:9">
      <c r="A2149" s="49"/>
      <c r="B2149" s="36" t="s">
        <v>3580</v>
      </c>
      <c r="C2149" s="36" t="s">
        <v>3635</v>
      </c>
      <c r="D2149" s="49"/>
      <c r="E2149" s="49"/>
      <c r="F2149" s="49"/>
      <c r="G2149" s="49"/>
      <c r="H2149" s="49"/>
      <c r="I2149" s="49"/>
    </row>
    <row r="2150" ht="15.75" customHeight="1" spans="1:9">
      <c r="A2150" s="49"/>
      <c r="B2150" s="36" t="s">
        <v>3580</v>
      </c>
      <c r="C2150" s="36" t="s">
        <v>3636</v>
      </c>
      <c r="D2150" s="49"/>
      <c r="E2150" s="49"/>
      <c r="F2150" s="49"/>
      <c r="G2150" s="49"/>
      <c r="H2150" s="49"/>
      <c r="I2150" s="49"/>
    </row>
    <row r="2151" ht="15.75" customHeight="1" spans="1:9">
      <c r="A2151" s="49"/>
      <c r="B2151" s="36" t="s">
        <v>3580</v>
      </c>
      <c r="C2151" s="36" t="s">
        <v>3637</v>
      </c>
      <c r="D2151" s="49"/>
      <c r="E2151" s="49"/>
      <c r="F2151" s="49"/>
      <c r="G2151" s="49"/>
      <c r="H2151" s="49"/>
      <c r="I2151" s="49"/>
    </row>
    <row r="2152" ht="15.75" customHeight="1" spans="1:9">
      <c r="A2152" s="49"/>
      <c r="B2152" s="36" t="s">
        <v>3580</v>
      </c>
      <c r="C2152" s="36" t="s">
        <v>3638</v>
      </c>
      <c r="D2152" s="49"/>
      <c r="E2152" s="49"/>
      <c r="F2152" s="49"/>
      <c r="G2152" s="49"/>
      <c r="H2152" s="49"/>
      <c r="I2152" s="49"/>
    </row>
    <row r="2153" ht="15.75" customHeight="1" spans="1:9">
      <c r="A2153" s="49"/>
      <c r="B2153" s="36" t="s">
        <v>3580</v>
      </c>
      <c r="C2153" s="36" t="s">
        <v>3639</v>
      </c>
      <c r="D2153" s="49"/>
      <c r="E2153" s="49"/>
      <c r="F2153" s="49"/>
      <c r="G2153" s="49"/>
      <c r="H2153" s="49"/>
      <c r="I2153" s="49"/>
    </row>
    <row r="2154" ht="15.75" customHeight="1" spans="1:9">
      <c r="A2154" s="49"/>
      <c r="B2154" s="36" t="s">
        <v>3580</v>
      </c>
      <c r="C2154" s="36" t="s">
        <v>3640</v>
      </c>
      <c r="D2154" s="49"/>
      <c r="E2154" s="49"/>
      <c r="F2154" s="49"/>
      <c r="G2154" s="49"/>
      <c r="H2154" s="49"/>
      <c r="I2154" s="49"/>
    </row>
    <row r="2155" ht="15.75" customHeight="1" spans="1:9">
      <c r="A2155" s="49"/>
      <c r="B2155" s="36" t="s">
        <v>3580</v>
      </c>
      <c r="C2155" s="36" t="s">
        <v>3641</v>
      </c>
      <c r="D2155" s="49"/>
      <c r="E2155" s="49"/>
      <c r="F2155" s="49"/>
      <c r="G2155" s="49"/>
      <c r="H2155" s="49"/>
      <c r="I2155" s="49"/>
    </row>
    <row r="2156" ht="15.75" customHeight="1" spans="1:9">
      <c r="A2156" s="49"/>
      <c r="B2156" s="36" t="s">
        <v>3580</v>
      </c>
      <c r="C2156" s="36" t="s">
        <v>3642</v>
      </c>
      <c r="D2156" s="49"/>
      <c r="E2156" s="49"/>
      <c r="F2156" s="49"/>
      <c r="G2156" s="49"/>
      <c r="H2156" s="49"/>
      <c r="I2156" s="49"/>
    </row>
    <row r="2157" ht="15.75" customHeight="1" spans="1:9">
      <c r="A2157" s="49"/>
      <c r="B2157" s="36" t="s">
        <v>3580</v>
      </c>
      <c r="C2157" s="36" t="s">
        <v>3643</v>
      </c>
      <c r="D2157" s="49"/>
      <c r="E2157" s="49"/>
      <c r="F2157" s="49"/>
      <c r="G2157" s="49"/>
      <c r="H2157" s="49"/>
      <c r="I2157" s="49"/>
    </row>
    <row r="2158" ht="15.75" customHeight="1" spans="1:9">
      <c r="A2158" s="49"/>
      <c r="B2158" s="36" t="s">
        <v>3580</v>
      </c>
      <c r="C2158" s="36" t="s">
        <v>3644</v>
      </c>
      <c r="D2158" s="49"/>
      <c r="E2158" s="49"/>
      <c r="F2158" s="49"/>
      <c r="G2158" s="49"/>
      <c r="H2158" s="49"/>
      <c r="I2158" s="49"/>
    </row>
    <row r="2159" ht="15.75" customHeight="1" spans="1:9">
      <c r="A2159" s="49"/>
      <c r="B2159" s="36" t="s">
        <v>3580</v>
      </c>
      <c r="C2159" s="36" t="s">
        <v>3645</v>
      </c>
      <c r="D2159" s="49"/>
      <c r="E2159" s="49"/>
      <c r="F2159" s="49"/>
      <c r="G2159" s="49"/>
      <c r="H2159" s="49"/>
      <c r="I2159" s="49"/>
    </row>
    <row r="2160" ht="15.75" customHeight="1" spans="1:9">
      <c r="A2160" s="49"/>
      <c r="B2160" s="36" t="s">
        <v>3580</v>
      </c>
      <c r="C2160" s="36" t="s">
        <v>3646</v>
      </c>
      <c r="D2160" s="49"/>
      <c r="E2160" s="49"/>
      <c r="F2160" s="49"/>
      <c r="G2160" s="49"/>
      <c r="H2160" s="49"/>
      <c r="I2160" s="49"/>
    </row>
    <row r="2161" ht="15.75" customHeight="1" spans="1:9">
      <c r="A2161" s="49"/>
      <c r="B2161" s="36" t="s">
        <v>3580</v>
      </c>
      <c r="C2161" s="36" t="s">
        <v>3647</v>
      </c>
      <c r="D2161" s="49"/>
      <c r="E2161" s="49"/>
      <c r="F2161" s="49"/>
      <c r="G2161" s="49"/>
      <c r="H2161" s="49"/>
      <c r="I2161" s="49"/>
    </row>
    <row r="2162" ht="15.75" customHeight="1" spans="1:9">
      <c r="A2162" s="49"/>
      <c r="B2162" s="36" t="s">
        <v>3580</v>
      </c>
      <c r="C2162" s="36" t="s">
        <v>3648</v>
      </c>
      <c r="D2162" s="49"/>
      <c r="E2162" s="49"/>
      <c r="F2162" s="49"/>
      <c r="G2162" s="49"/>
      <c r="H2162" s="49"/>
      <c r="I2162" s="49"/>
    </row>
    <row r="2163" ht="15.75" customHeight="1" spans="1:9">
      <c r="A2163" s="49"/>
      <c r="B2163" s="36" t="s">
        <v>3580</v>
      </c>
      <c r="C2163" s="36" t="s">
        <v>3649</v>
      </c>
      <c r="D2163" s="49"/>
      <c r="E2163" s="49"/>
      <c r="F2163" s="49"/>
      <c r="G2163" s="49"/>
      <c r="H2163" s="49"/>
      <c r="I2163" s="49"/>
    </row>
    <row r="2164" ht="15.75" customHeight="1" spans="1:9">
      <c r="A2164" s="49"/>
      <c r="B2164" s="36" t="s">
        <v>3580</v>
      </c>
      <c r="C2164" s="36" t="s">
        <v>3650</v>
      </c>
      <c r="D2164" s="49"/>
      <c r="E2164" s="49"/>
      <c r="F2164" s="49"/>
      <c r="G2164" s="49"/>
      <c r="H2164" s="49"/>
      <c r="I2164" s="49"/>
    </row>
    <row r="2165" ht="15.75" customHeight="1" spans="1:9">
      <c r="A2165" s="49"/>
      <c r="B2165" s="36" t="s">
        <v>3580</v>
      </c>
      <c r="C2165" s="36" t="s">
        <v>3651</v>
      </c>
      <c r="D2165" s="49"/>
      <c r="E2165" s="49"/>
      <c r="F2165" s="49"/>
      <c r="G2165" s="49"/>
      <c r="H2165" s="49"/>
      <c r="I2165" s="49"/>
    </row>
    <row r="2166" ht="15.75" customHeight="1" spans="1:9">
      <c r="A2166" s="49"/>
      <c r="B2166" s="36" t="s">
        <v>3580</v>
      </c>
      <c r="C2166" s="36" t="s">
        <v>3652</v>
      </c>
      <c r="D2166" s="49"/>
      <c r="E2166" s="49"/>
      <c r="F2166" s="49"/>
      <c r="G2166" s="49"/>
      <c r="H2166" s="49"/>
      <c r="I2166" s="49"/>
    </row>
    <row r="2167" ht="15.75" customHeight="1" spans="1:9">
      <c r="A2167" s="49"/>
      <c r="B2167" s="36" t="s">
        <v>3580</v>
      </c>
      <c r="C2167" s="36" t="s">
        <v>3653</v>
      </c>
      <c r="D2167" s="49"/>
      <c r="E2167" s="49"/>
      <c r="F2167" s="49"/>
      <c r="G2167" s="49"/>
      <c r="H2167" s="49"/>
      <c r="I2167" s="49"/>
    </row>
    <row r="2168" ht="15.75" customHeight="1" spans="1:9">
      <c r="A2168" s="49"/>
      <c r="B2168" s="36" t="s">
        <v>3580</v>
      </c>
      <c r="C2168" s="36" t="s">
        <v>3654</v>
      </c>
      <c r="D2168" s="49"/>
      <c r="E2168" s="49"/>
      <c r="F2168" s="49"/>
      <c r="G2168" s="49"/>
      <c r="H2168" s="49"/>
      <c r="I2168" s="49"/>
    </row>
    <row r="2169" ht="15.75" customHeight="1" spans="1:9">
      <c r="A2169" s="49"/>
      <c r="B2169" s="36" t="s">
        <v>3580</v>
      </c>
      <c r="C2169" s="36" t="s">
        <v>3655</v>
      </c>
      <c r="D2169" s="49"/>
      <c r="E2169" s="49"/>
      <c r="F2169" s="49"/>
      <c r="G2169" s="49"/>
      <c r="H2169" s="49"/>
      <c r="I2169" s="49"/>
    </row>
    <row r="2170" ht="15.75" customHeight="1" spans="1:9">
      <c r="A2170" s="49"/>
      <c r="B2170" s="36" t="s">
        <v>3580</v>
      </c>
      <c r="C2170" s="36" t="s">
        <v>3656</v>
      </c>
      <c r="D2170" s="49"/>
      <c r="E2170" s="49"/>
      <c r="F2170" s="49"/>
      <c r="G2170" s="49"/>
      <c r="H2170" s="49"/>
      <c r="I2170" s="49"/>
    </row>
    <row r="2171" ht="15.75" customHeight="1" spans="1:9">
      <c r="A2171" s="49"/>
      <c r="B2171" s="36" t="s">
        <v>3580</v>
      </c>
      <c r="C2171" s="36" t="s">
        <v>3657</v>
      </c>
      <c r="D2171" s="49"/>
      <c r="E2171" s="49"/>
      <c r="F2171" s="49"/>
      <c r="G2171" s="49"/>
      <c r="H2171" s="49"/>
      <c r="I2171" s="49"/>
    </row>
    <row r="2172" ht="15.75" customHeight="1" spans="1:9">
      <c r="A2172" s="49"/>
      <c r="B2172" s="36" t="s">
        <v>3580</v>
      </c>
      <c r="C2172" s="36" t="s">
        <v>3658</v>
      </c>
      <c r="D2172" s="49"/>
      <c r="E2172" s="49"/>
      <c r="F2172" s="49"/>
      <c r="G2172" s="49"/>
      <c r="H2172" s="49"/>
      <c r="I2172" s="49"/>
    </row>
    <row r="2173" ht="15.75" customHeight="1" spans="1:9">
      <c r="A2173" s="49"/>
      <c r="B2173" s="36" t="s">
        <v>3580</v>
      </c>
      <c r="C2173" s="36" t="s">
        <v>3659</v>
      </c>
      <c r="D2173" s="49"/>
      <c r="E2173" s="49"/>
      <c r="F2173" s="49"/>
      <c r="G2173" s="49"/>
      <c r="H2173" s="49"/>
      <c r="I2173" s="49"/>
    </row>
    <row r="2174" ht="15.75" customHeight="1" spans="1:9">
      <c r="A2174" s="49"/>
      <c r="B2174" s="36" t="s">
        <v>3580</v>
      </c>
      <c r="C2174" s="36" t="s">
        <v>3660</v>
      </c>
      <c r="D2174" s="49"/>
      <c r="E2174" s="49"/>
      <c r="F2174" s="49"/>
      <c r="G2174" s="49"/>
      <c r="H2174" s="49"/>
      <c r="I2174" s="49"/>
    </row>
    <row r="2175" ht="15.75" customHeight="1" spans="1:9">
      <c r="A2175" s="49"/>
      <c r="B2175" s="36" t="s">
        <v>3580</v>
      </c>
      <c r="C2175" s="36" t="s">
        <v>3661</v>
      </c>
      <c r="D2175" s="49"/>
      <c r="E2175" s="49"/>
      <c r="F2175" s="49"/>
      <c r="G2175" s="49"/>
      <c r="H2175" s="49"/>
      <c r="I2175" s="49"/>
    </row>
    <row r="2176" ht="15.75" customHeight="1" spans="1:9">
      <c r="A2176" s="49"/>
      <c r="B2176" s="36" t="s">
        <v>3580</v>
      </c>
      <c r="C2176" s="36" t="s">
        <v>3662</v>
      </c>
      <c r="D2176" s="49"/>
      <c r="E2176" s="49"/>
      <c r="F2176" s="49"/>
      <c r="G2176" s="49"/>
      <c r="H2176" s="49"/>
      <c r="I2176" s="49"/>
    </row>
    <row r="2177" ht="15.75" customHeight="1" spans="1:9">
      <c r="A2177" s="49"/>
      <c r="B2177" s="36" t="s">
        <v>3580</v>
      </c>
      <c r="C2177" s="36" t="s">
        <v>3663</v>
      </c>
      <c r="D2177" s="49"/>
      <c r="E2177" s="49"/>
      <c r="F2177" s="49"/>
      <c r="G2177" s="49"/>
      <c r="H2177" s="49"/>
      <c r="I2177" s="49"/>
    </row>
    <row r="2178" ht="15.75" customHeight="1" spans="1:9">
      <c r="A2178" s="49"/>
      <c r="B2178" s="36" t="s">
        <v>3580</v>
      </c>
      <c r="C2178" s="36" t="s">
        <v>3664</v>
      </c>
      <c r="D2178" s="49"/>
      <c r="E2178" s="49"/>
      <c r="F2178" s="49"/>
      <c r="G2178" s="49"/>
      <c r="H2178" s="49"/>
      <c r="I2178" s="49"/>
    </row>
    <row r="2179" ht="15.75" customHeight="1" spans="1:9">
      <c r="A2179" s="49"/>
      <c r="B2179" s="36" t="s">
        <v>3580</v>
      </c>
      <c r="C2179" s="36" t="s">
        <v>3665</v>
      </c>
      <c r="D2179" s="49"/>
      <c r="E2179" s="49"/>
      <c r="F2179" s="49"/>
      <c r="G2179" s="49"/>
      <c r="H2179" s="49"/>
      <c r="I2179" s="49"/>
    </row>
    <row r="2180" ht="15.75" customHeight="1" spans="1:9">
      <c r="A2180" s="49"/>
      <c r="B2180" s="36" t="s">
        <v>3580</v>
      </c>
      <c r="C2180" s="36" t="s">
        <v>3666</v>
      </c>
      <c r="D2180" s="49"/>
      <c r="E2180" s="49"/>
      <c r="F2180" s="49"/>
      <c r="G2180" s="49"/>
      <c r="H2180" s="49"/>
      <c r="I2180" s="49"/>
    </row>
    <row r="2181" ht="15.75" customHeight="1" spans="1:9">
      <c r="A2181" s="49"/>
      <c r="B2181" s="36" t="s">
        <v>3580</v>
      </c>
      <c r="C2181" s="36" t="s">
        <v>3667</v>
      </c>
      <c r="D2181" s="49"/>
      <c r="E2181" s="49"/>
      <c r="F2181" s="49"/>
      <c r="G2181" s="49"/>
      <c r="H2181" s="49"/>
      <c r="I2181" s="49"/>
    </row>
    <row r="2182" ht="15.75" customHeight="1" spans="1:9">
      <c r="A2182" s="49"/>
      <c r="B2182" s="36" t="s">
        <v>3580</v>
      </c>
      <c r="C2182" s="36" t="s">
        <v>3668</v>
      </c>
      <c r="D2182" s="49"/>
      <c r="E2182" s="49"/>
      <c r="F2182" s="49"/>
      <c r="G2182" s="49"/>
      <c r="H2182" s="49"/>
      <c r="I2182" s="49"/>
    </row>
    <row r="2183" ht="15.75" customHeight="1" spans="1:9">
      <c r="A2183" s="49"/>
      <c r="B2183" s="36" t="s">
        <v>3580</v>
      </c>
      <c r="C2183" s="36" t="s">
        <v>3669</v>
      </c>
      <c r="D2183" s="49"/>
      <c r="E2183" s="49"/>
      <c r="F2183" s="49"/>
      <c r="G2183" s="49"/>
      <c r="H2183" s="49"/>
      <c r="I2183" s="49"/>
    </row>
    <row r="2184" ht="15.75" customHeight="1" spans="1:9">
      <c r="A2184" s="49"/>
      <c r="B2184" s="36" t="s">
        <v>3580</v>
      </c>
      <c r="C2184" s="36" t="s">
        <v>3670</v>
      </c>
      <c r="D2184" s="49"/>
      <c r="E2184" s="49"/>
      <c r="F2184" s="49"/>
      <c r="G2184" s="49"/>
      <c r="H2184" s="49"/>
      <c r="I2184" s="49"/>
    </row>
    <row r="2185" ht="15.75" customHeight="1" spans="1:9">
      <c r="A2185" s="49"/>
      <c r="B2185" s="36" t="s">
        <v>3580</v>
      </c>
      <c r="C2185" s="36" t="s">
        <v>3671</v>
      </c>
      <c r="D2185" s="49"/>
      <c r="E2185" s="49"/>
      <c r="F2185" s="49"/>
      <c r="G2185" s="49"/>
      <c r="H2185" s="49"/>
      <c r="I2185" s="49"/>
    </row>
    <row r="2186" ht="15.75" customHeight="1" spans="1:9">
      <c r="A2186" s="49"/>
      <c r="B2186" s="36" t="s">
        <v>3580</v>
      </c>
      <c r="C2186" s="36" t="s">
        <v>3672</v>
      </c>
      <c r="D2186" s="49"/>
      <c r="E2186" s="49"/>
      <c r="F2186" s="49"/>
      <c r="G2186" s="49"/>
      <c r="H2186" s="49"/>
      <c r="I2186" s="49"/>
    </row>
    <row r="2187" ht="15.75" customHeight="1" spans="1:9">
      <c r="A2187" s="49"/>
      <c r="B2187" s="36" t="s">
        <v>3580</v>
      </c>
      <c r="C2187" s="36" t="s">
        <v>3673</v>
      </c>
      <c r="D2187" s="49"/>
      <c r="E2187" s="49"/>
      <c r="F2187" s="49"/>
      <c r="G2187" s="49"/>
      <c r="H2187" s="49"/>
      <c r="I2187" s="49"/>
    </row>
    <row r="2188" ht="15.75" customHeight="1" spans="1:9">
      <c r="A2188" s="49"/>
      <c r="B2188" s="36" t="s">
        <v>3580</v>
      </c>
      <c r="C2188" s="36" t="s">
        <v>3674</v>
      </c>
      <c r="D2188" s="49"/>
      <c r="E2188" s="49"/>
      <c r="F2188" s="49"/>
      <c r="G2188" s="49"/>
      <c r="H2188" s="49"/>
      <c r="I2188" s="49"/>
    </row>
    <row r="2189" ht="15.75" customHeight="1" spans="1:9">
      <c r="A2189" s="49"/>
      <c r="B2189" s="36" t="s">
        <v>3580</v>
      </c>
      <c r="C2189" s="36" t="s">
        <v>3675</v>
      </c>
      <c r="D2189" s="49"/>
      <c r="E2189" s="49"/>
      <c r="F2189" s="49"/>
      <c r="G2189" s="49"/>
      <c r="H2189" s="49"/>
      <c r="I2189" s="49"/>
    </row>
    <row r="2190" ht="15.75" customHeight="1" spans="1:9">
      <c r="A2190" s="49"/>
      <c r="B2190" s="36" t="s">
        <v>3580</v>
      </c>
      <c r="C2190" s="36" t="s">
        <v>3676</v>
      </c>
      <c r="D2190" s="49"/>
      <c r="E2190" s="49"/>
      <c r="F2190" s="49"/>
      <c r="G2190" s="49"/>
      <c r="H2190" s="49"/>
      <c r="I2190" s="49"/>
    </row>
    <row r="2191" ht="15.75" customHeight="1" spans="1:9">
      <c r="A2191" s="49"/>
      <c r="B2191" s="36" t="s">
        <v>3580</v>
      </c>
      <c r="C2191" s="36" t="s">
        <v>3677</v>
      </c>
      <c r="D2191" s="49"/>
      <c r="E2191" s="49"/>
      <c r="F2191" s="49"/>
      <c r="G2191" s="49"/>
      <c r="H2191" s="49"/>
      <c r="I2191" s="49"/>
    </row>
    <row r="2192" ht="15.75" customHeight="1" spans="1:9">
      <c r="A2192" s="49"/>
      <c r="B2192" s="36" t="s">
        <v>3580</v>
      </c>
      <c r="C2192" s="36" t="s">
        <v>3678</v>
      </c>
      <c r="D2192" s="49"/>
      <c r="E2192" s="49"/>
      <c r="F2192" s="49"/>
      <c r="G2192" s="49"/>
      <c r="H2192" s="49"/>
      <c r="I2192" s="49"/>
    </row>
    <row r="2193" ht="15.75" customHeight="1" spans="1:9">
      <c r="A2193" s="49"/>
      <c r="B2193" s="36" t="s">
        <v>3580</v>
      </c>
      <c r="C2193" s="36" t="s">
        <v>3679</v>
      </c>
      <c r="D2193" s="49"/>
      <c r="E2193" s="49"/>
      <c r="F2193" s="49"/>
      <c r="G2193" s="49"/>
      <c r="H2193" s="49"/>
      <c r="I2193" s="49"/>
    </row>
    <row r="2194" ht="15.75" customHeight="1" spans="1:9">
      <c r="A2194" s="49"/>
      <c r="B2194" s="36" t="s">
        <v>3580</v>
      </c>
      <c r="C2194" s="36" t="s">
        <v>3680</v>
      </c>
      <c r="D2194" s="49"/>
      <c r="E2194" s="49"/>
      <c r="F2194" s="49"/>
      <c r="G2194" s="49"/>
      <c r="H2194" s="49"/>
      <c r="I2194" s="49"/>
    </row>
    <row r="2195" ht="15.75" customHeight="1" spans="1:9">
      <c r="A2195" s="49"/>
      <c r="B2195" s="36" t="s">
        <v>3580</v>
      </c>
      <c r="C2195" s="36" t="s">
        <v>3681</v>
      </c>
      <c r="D2195" s="49"/>
      <c r="E2195" s="49"/>
      <c r="F2195" s="49"/>
      <c r="G2195" s="49"/>
      <c r="H2195" s="49"/>
      <c r="I2195" s="49"/>
    </row>
    <row r="2196" ht="15.75" customHeight="1" spans="1:9">
      <c r="A2196" s="49"/>
      <c r="B2196" s="36" t="s">
        <v>3580</v>
      </c>
      <c r="C2196" s="36" t="s">
        <v>3682</v>
      </c>
      <c r="D2196" s="49"/>
      <c r="E2196" s="49"/>
      <c r="F2196" s="49"/>
      <c r="G2196" s="49"/>
      <c r="H2196" s="49"/>
      <c r="I2196" s="49"/>
    </row>
    <row r="2197" ht="15.75" customHeight="1" spans="1:9">
      <c r="A2197" s="49"/>
      <c r="B2197" s="36" t="s">
        <v>3683</v>
      </c>
      <c r="C2197" s="36" t="s">
        <v>3684</v>
      </c>
      <c r="D2197" s="49"/>
      <c r="E2197" s="49"/>
      <c r="F2197" s="49"/>
      <c r="G2197" s="49"/>
      <c r="H2197" s="49"/>
      <c r="I2197" s="49"/>
    </row>
    <row r="2198" ht="15.75" customHeight="1" spans="1:9">
      <c r="A2198" s="49"/>
      <c r="B2198" s="36" t="s">
        <v>3683</v>
      </c>
      <c r="C2198" s="36" t="s">
        <v>20</v>
      </c>
      <c r="D2198" s="49"/>
      <c r="E2198" s="49"/>
      <c r="F2198" s="49"/>
      <c r="G2198" s="49"/>
      <c r="H2198" s="49"/>
      <c r="I2198" s="49"/>
    </row>
    <row r="2199" ht="15.75" customHeight="1" spans="1:9">
      <c r="A2199" s="49"/>
      <c r="B2199" s="36" t="s">
        <v>3683</v>
      </c>
      <c r="C2199" s="36" t="s">
        <v>3685</v>
      </c>
      <c r="D2199" s="49"/>
      <c r="E2199" s="49"/>
      <c r="F2199" s="49"/>
      <c r="G2199" s="49"/>
      <c r="H2199" s="49"/>
      <c r="I2199" s="49"/>
    </row>
    <row r="2200" ht="15.75" customHeight="1" spans="1:9">
      <c r="A2200" s="49"/>
      <c r="B2200" s="36" t="s">
        <v>3683</v>
      </c>
      <c r="C2200" s="36" t="s">
        <v>3686</v>
      </c>
      <c r="D2200" s="49"/>
      <c r="E2200" s="49"/>
      <c r="F2200" s="49"/>
      <c r="G2200" s="49"/>
      <c r="H2200" s="49"/>
      <c r="I2200" s="49"/>
    </row>
    <row r="2201" ht="15.75" customHeight="1" spans="1:9">
      <c r="A2201" s="49"/>
      <c r="B2201" s="36" t="s">
        <v>3683</v>
      </c>
      <c r="C2201" s="36" t="s">
        <v>3687</v>
      </c>
      <c r="D2201" s="49"/>
      <c r="E2201" s="49"/>
      <c r="F2201" s="49"/>
      <c r="G2201" s="49"/>
      <c r="H2201" s="49"/>
      <c r="I2201" s="49"/>
    </row>
    <row r="2202" ht="15.75" customHeight="1" spans="1:9">
      <c r="A2202" s="49"/>
      <c r="B2202" s="36" t="s">
        <v>3683</v>
      </c>
      <c r="C2202" s="36" t="s">
        <v>3688</v>
      </c>
      <c r="D2202" s="49"/>
      <c r="E2202" s="49"/>
      <c r="F2202" s="49"/>
      <c r="G2202" s="49"/>
      <c r="H2202" s="49"/>
      <c r="I2202" s="49"/>
    </row>
    <row r="2203" ht="15.75" customHeight="1" spans="1:9">
      <c r="A2203" s="49"/>
      <c r="B2203" s="36" t="s">
        <v>3683</v>
      </c>
      <c r="C2203" s="36" t="s">
        <v>3689</v>
      </c>
      <c r="D2203" s="49"/>
      <c r="E2203" s="49"/>
      <c r="F2203" s="49"/>
      <c r="G2203" s="49"/>
      <c r="H2203" s="49"/>
      <c r="I2203" s="49"/>
    </row>
    <row r="2204" ht="15.75" customHeight="1" spans="1:9">
      <c r="A2204" s="49"/>
      <c r="B2204" s="36" t="s">
        <v>3683</v>
      </c>
      <c r="C2204" s="36" t="s">
        <v>3690</v>
      </c>
      <c r="D2204" s="49"/>
      <c r="E2204" s="49"/>
      <c r="F2204" s="49"/>
      <c r="G2204" s="49"/>
      <c r="H2204" s="49"/>
      <c r="I2204" s="49"/>
    </row>
    <row r="2205" ht="15.75" customHeight="1" spans="1:9">
      <c r="A2205" s="49"/>
      <c r="B2205" s="36" t="s">
        <v>3683</v>
      </c>
      <c r="C2205" s="36" t="s">
        <v>3691</v>
      </c>
      <c r="D2205" s="49"/>
      <c r="E2205" s="49"/>
      <c r="F2205" s="49"/>
      <c r="G2205" s="49"/>
      <c r="H2205" s="49"/>
      <c r="I2205" s="49"/>
    </row>
    <row r="2206" ht="15.75" customHeight="1" spans="1:9">
      <c r="A2206" s="49"/>
      <c r="B2206" s="36" t="s">
        <v>3683</v>
      </c>
      <c r="C2206" s="36" t="s">
        <v>3692</v>
      </c>
      <c r="D2206" s="49"/>
      <c r="E2206" s="49"/>
      <c r="F2206" s="49"/>
      <c r="G2206" s="49"/>
      <c r="H2206" s="49"/>
      <c r="I2206" s="49"/>
    </row>
    <row r="2207" ht="15.75" customHeight="1" spans="1:9">
      <c r="A2207" s="49"/>
      <c r="B2207" s="36" t="s">
        <v>3683</v>
      </c>
      <c r="C2207" s="36" t="s">
        <v>3693</v>
      </c>
      <c r="D2207" s="49"/>
      <c r="E2207" s="49"/>
      <c r="F2207" s="49"/>
      <c r="G2207" s="49"/>
      <c r="H2207" s="49"/>
      <c r="I2207" s="49"/>
    </row>
    <row r="2208" ht="15.75" customHeight="1" spans="1:9">
      <c r="A2208" s="49"/>
      <c r="B2208" s="36" t="s">
        <v>3683</v>
      </c>
      <c r="C2208" s="36" t="s">
        <v>3694</v>
      </c>
      <c r="D2208" s="49"/>
      <c r="E2208" s="49"/>
      <c r="F2208" s="49"/>
      <c r="G2208" s="49"/>
      <c r="H2208" s="49"/>
      <c r="I2208" s="49"/>
    </row>
    <row r="2209" ht="15.75" customHeight="1" spans="1:9">
      <c r="A2209" s="49"/>
      <c r="B2209" s="36" t="s">
        <v>3683</v>
      </c>
      <c r="C2209" s="36" t="s">
        <v>3695</v>
      </c>
      <c r="D2209" s="49"/>
      <c r="E2209" s="49"/>
      <c r="F2209" s="49"/>
      <c r="G2209" s="49"/>
      <c r="H2209" s="49"/>
      <c r="I2209" s="49"/>
    </row>
    <row r="2210" ht="15.75" customHeight="1" spans="1:9">
      <c r="A2210" s="49"/>
      <c r="B2210" s="36" t="s">
        <v>3683</v>
      </c>
      <c r="C2210" s="36" t="s">
        <v>3696</v>
      </c>
      <c r="D2210" s="49"/>
      <c r="E2210" s="49"/>
      <c r="F2210" s="49"/>
      <c r="G2210" s="49"/>
      <c r="H2210" s="49"/>
      <c r="I2210" s="49"/>
    </row>
    <row r="2211" ht="15.75" customHeight="1" spans="1:9">
      <c r="A2211" s="49"/>
      <c r="B2211" s="36" t="s">
        <v>3683</v>
      </c>
      <c r="C2211" s="36" t="s">
        <v>3697</v>
      </c>
      <c r="D2211" s="49"/>
      <c r="E2211" s="49"/>
      <c r="F2211" s="49"/>
      <c r="G2211" s="49"/>
      <c r="H2211" s="49"/>
      <c r="I2211" s="49"/>
    </row>
    <row r="2212" ht="15.75" customHeight="1" spans="1:9">
      <c r="A2212" s="49"/>
      <c r="B2212" s="36" t="s">
        <v>3683</v>
      </c>
      <c r="C2212" s="36" t="s">
        <v>3698</v>
      </c>
      <c r="D2212" s="49"/>
      <c r="E2212" s="49"/>
      <c r="F2212" s="49"/>
      <c r="G2212" s="49"/>
      <c r="H2212" s="49"/>
      <c r="I2212" s="49"/>
    </row>
    <row r="2213" ht="15.75" customHeight="1" spans="1:9">
      <c r="A2213" s="49"/>
      <c r="B2213" s="36" t="s">
        <v>3683</v>
      </c>
      <c r="C2213" s="36" t="s">
        <v>3699</v>
      </c>
      <c r="D2213" s="49"/>
      <c r="E2213" s="49"/>
      <c r="F2213" s="49"/>
      <c r="G2213" s="49"/>
      <c r="H2213" s="49"/>
      <c r="I2213" s="49"/>
    </row>
    <row r="2214" ht="15.75" customHeight="1" spans="1:9">
      <c r="A2214" s="49"/>
      <c r="B2214" s="36" t="s">
        <v>3683</v>
      </c>
      <c r="C2214" s="36" t="s">
        <v>3700</v>
      </c>
      <c r="D2214" s="49"/>
      <c r="E2214" s="49"/>
      <c r="F2214" s="49"/>
      <c r="G2214" s="49"/>
      <c r="H2214" s="49"/>
      <c r="I2214" s="49"/>
    </row>
    <row r="2215" ht="15.75" customHeight="1" spans="1:9">
      <c r="A2215" s="49"/>
      <c r="B2215" s="36" t="s">
        <v>3683</v>
      </c>
      <c r="C2215" s="36" t="s">
        <v>3701</v>
      </c>
      <c r="D2215" s="49"/>
      <c r="E2215" s="49"/>
      <c r="F2215" s="49"/>
      <c r="G2215" s="49"/>
      <c r="H2215" s="49"/>
      <c r="I2215" s="49"/>
    </row>
    <row r="2216" ht="15.75" customHeight="1" spans="1:9">
      <c r="A2216" s="49"/>
      <c r="B2216" s="36" t="s">
        <v>3683</v>
      </c>
      <c r="C2216" s="36" t="s">
        <v>3702</v>
      </c>
      <c r="D2216" s="49"/>
      <c r="E2216" s="49"/>
      <c r="F2216" s="49"/>
      <c r="G2216" s="49"/>
      <c r="H2216" s="49"/>
      <c r="I2216" s="49"/>
    </row>
    <row r="2217" ht="15.75" customHeight="1" spans="1:9">
      <c r="A2217" s="49"/>
      <c r="B2217" s="36" t="s">
        <v>3683</v>
      </c>
      <c r="C2217" s="36" t="s">
        <v>3703</v>
      </c>
      <c r="D2217" s="49"/>
      <c r="E2217" s="49"/>
      <c r="F2217" s="49"/>
      <c r="G2217" s="49"/>
      <c r="H2217" s="49"/>
      <c r="I2217" s="49"/>
    </row>
    <row r="2218" ht="15.75" customHeight="1" spans="1:9">
      <c r="A2218" s="49"/>
      <c r="B2218" s="36" t="s">
        <v>3683</v>
      </c>
      <c r="C2218" s="36" t="s">
        <v>3704</v>
      </c>
      <c r="D2218" s="49"/>
      <c r="E2218" s="49"/>
      <c r="F2218" s="49"/>
      <c r="G2218" s="49"/>
      <c r="H2218" s="49"/>
      <c r="I2218" s="49"/>
    </row>
    <row r="2219" ht="15.75" customHeight="1" spans="1:9">
      <c r="A2219" s="49"/>
      <c r="B2219" s="36" t="s">
        <v>3683</v>
      </c>
      <c r="C2219" s="36" t="s">
        <v>3705</v>
      </c>
      <c r="D2219" s="49"/>
      <c r="E2219" s="49"/>
      <c r="F2219" s="49"/>
      <c r="G2219" s="49"/>
      <c r="H2219" s="49"/>
      <c r="I2219" s="49"/>
    </row>
    <row r="2220" ht="15.75" customHeight="1" spans="1:9">
      <c r="A2220" s="49"/>
      <c r="B2220" s="36" t="s">
        <v>3683</v>
      </c>
      <c r="C2220" s="36" t="s">
        <v>3706</v>
      </c>
      <c r="D2220" s="49"/>
      <c r="E2220" s="49"/>
      <c r="F2220" s="49"/>
      <c r="G2220" s="49"/>
      <c r="H2220" s="49"/>
      <c r="I2220" s="49"/>
    </row>
    <row r="2221" ht="15.75" customHeight="1" spans="1:9">
      <c r="A2221" s="49"/>
      <c r="B2221" s="36" t="s">
        <v>3683</v>
      </c>
      <c r="C2221" s="36" t="s">
        <v>3707</v>
      </c>
      <c r="D2221" s="49"/>
      <c r="E2221" s="49"/>
      <c r="F2221" s="49"/>
      <c r="G2221" s="49"/>
      <c r="H2221" s="49"/>
      <c r="I2221" s="49"/>
    </row>
    <row r="2222" ht="15.75" customHeight="1" spans="1:9">
      <c r="A2222" s="49"/>
      <c r="B2222" s="36" t="s">
        <v>3683</v>
      </c>
      <c r="C2222" s="36" t="s">
        <v>3708</v>
      </c>
      <c r="D2222" s="49"/>
      <c r="E2222" s="49"/>
      <c r="F2222" s="49"/>
      <c r="G2222" s="49"/>
      <c r="H2222" s="49"/>
      <c r="I2222" s="49"/>
    </row>
    <row r="2223" ht="15.75" customHeight="1" spans="1:9">
      <c r="A2223" s="49"/>
      <c r="B2223" s="36" t="s">
        <v>3683</v>
      </c>
      <c r="C2223" s="36" t="s">
        <v>3709</v>
      </c>
      <c r="D2223" s="49"/>
      <c r="E2223" s="49"/>
      <c r="F2223" s="49"/>
      <c r="G2223" s="49"/>
      <c r="H2223" s="49"/>
      <c r="I2223" s="49"/>
    </row>
    <row r="2224" ht="15.75" customHeight="1" spans="1:9">
      <c r="A2224" s="49"/>
      <c r="B2224" s="36" t="s">
        <v>3683</v>
      </c>
      <c r="C2224" s="36" t="s">
        <v>3710</v>
      </c>
      <c r="D2224" s="49"/>
      <c r="E2224" s="49"/>
      <c r="F2224" s="49"/>
      <c r="G2224" s="49"/>
      <c r="H2224" s="49"/>
      <c r="I2224" s="49"/>
    </row>
    <row r="2225" ht="15.75" customHeight="1" spans="1:9">
      <c r="A2225" s="49"/>
      <c r="B2225" s="36" t="s">
        <v>3683</v>
      </c>
      <c r="C2225" s="36" t="s">
        <v>3711</v>
      </c>
      <c r="D2225" s="49"/>
      <c r="E2225" s="49"/>
      <c r="F2225" s="49"/>
      <c r="G2225" s="49"/>
      <c r="H2225" s="49"/>
      <c r="I2225" s="49"/>
    </row>
    <row r="2226" ht="15.75" customHeight="1" spans="1:9">
      <c r="A2226" s="49"/>
      <c r="B2226" s="36" t="s">
        <v>3683</v>
      </c>
      <c r="C2226" s="36" t="s">
        <v>3712</v>
      </c>
      <c r="D2226" s="49"/>
      <c r="E2226" s="49"/>
      <c r="F2226" s="49"/>
      <c r="G2226" s="49"/>
      <c r="H2226" s="49"/>
      <c r="I2226" s="49"/>
    </row>
    <row r="2227" ht="15.75" customHeight="1" spans="1:9">
      <c r="A2227" s="49"/>
      <c r="B2227" s="36" t="s">
        <v>3683</v>
      </c>
      <c r="C2227" s="36" t="s">
        <v>3713</v>
      </c>
      <c r="D2227" s="49"/>
      <c r="E2227" s="49"/>
      <c r="F2227" s="49"/>
      <c r="G2227" s="49"/>
      <c r="H2227" s="49"/>
      <c r="I2227" s="49"/>
    </row>
    <row r="2228" ht="15.75" customHeight="1" spans="1:9">
      <c r="A2228" s="49"/>
      <c r="B2228" s="36" t="s">
        <v>3683</v>
      </c>
      <c r="C2228" s="36" t="s">
        <v>3714</v>
      </c>
      <c r="D2228" s="49"/>
      <c r="E2228" s="49"/>
      <c r="F2228" s="49"/>
      <c r="G2228" s="49"/>
      <c r="H2228" s="49"/>
      <c r="I2228" s="49"/>
    </row>
    <row r="2229" ht="15.75" customHeight="1" spans="1:9">
      <c r="A2229" s="49"/>
      <c r="B2229" s="36" t="s">
        <v>3683</v>
      </c>
      <c r="C2229" s="36" t="s">
        <v>3715</v>
      </c>
      <c r="D2229" s="49"/>
      <c r="E2229" s="49"/>
      <c r="F2229" s="49"/>
      <c r="G2229" s="49"/>
      <c r="H2229" s="49"/>
      <c r="I2229" s="49"/>
    </row>
    <row r="2230" ht="15.75" customHeight="1" spans="1:9">
      <c r="A2230" s="49"/>
      <c r="B2230" s="36" t="s">
        <v>3683</v>
      </c>
      <c r="C2230" s="36" t="s">
        <v>3716</v>
      </c>
      <c r="D2230" s="49"/>
      <c r="E2230" s="49"/>
      <c r="F2230" s="49"/>
      <c r="G2230" s="49"/>
      <c r="H2230" s="49"/>
      <c r="I2230" s="49"/>
    </row>
    <row r="2231" ht="15.75" customHeight="1" spans="1:9">
      <c r="A2231" s="49"/>
      <c r="B2231" s="36" t="s">
        <v>3683</v>
      </c>
      <c r="C2231" s="36" t="s">
        <v>3717</v>
      </c>
      <c r="D2231" s="49"/>
      <c r="E2231" s="49"/>
      <c r="F2231" s="49"/>
      <c r="G2231" s="49"/>
      <c r="H2231" s="49"/>
      <c r="I2231" s="49"/>
    </row>
    <row r="2232" ht="15.75" customHeight="1" spans="1:9">
      <c r="A2232" s="49"/>
      <c r="B2232" s="36" t="s">
        <v>3683</v>
      </c>
      <c r="C2232" s="36" t="s">
        <v>3718</v>
      </c>
      <c r="D2232" s="49"/>
      <c r="E2232" s="49"/>
      <c r="F2232" s="49"/>
      <c r="G2232" s="49"/>
      <c r="H2232" s="49"/>
      <c r="I2232" s="49"/>
    </row>
    <row r="2233" ht="15.75" customHeight="1" spans="1:9">
      <c r="A2233" s="49"/>
      <c r="B2233" s="36" t="s">
        <v>3683</v>
      </c>
      <c r="C2233" s="36" t="s">
        <v>3719</v>
      </c>
      <c r="D2233" s="49"/>
      <c r="E2233" s="49"/>
      <c r="F2233" s="49"/>
      <c r="G2233" s="49"/>
      <c r="H2233" s="49"/>
      <c r="I2233" s="49"/>
    </row>
    <row r="2234" ht="15.75" customHeight="1" spans="1:9">
      <c r="A2234" s="49"/>
      <c r="B2234" s="36" t="s">
        <v>3683</v>
      </c>
      <c r="C2234" s="36" t="s">
        <v>3720</v>
      </c>
      <c r="D2234" s="49"/>
      <c r="E2234" s="49"/>
      <c r="F2234" s="49"/>
      <c r="G2234" s="49"/>
      <c r="H2234" s="49"/>
      <c r="I2234" s="49"/>
    </row>
    <row r="2235" ht="15.75" customHeight="1" spans="1:9">
      <c r="A2235" s="49"/>
      <c r="B2235" s="36" t="s">
        <v>3683</v>
      </c>
      <c r="C2235" s="36" t="s">
        <v>3721</v>
      </c>
      <c r="D2235" s="49"/>
      <c r="E2235" s="49"/>
      <c r="F2235" s="49"/>
      <c r="G2235" s="49"/>
      <c r="H2235" s="49"/>
      <c r="I2235" s="49"/>
    </row>
    <row r="2236" ht="15.75" customHeight="1" spans="1:9">
      <c r="A2236" s="49"/>
      <c r="B2236" s="36" t="s">
        <v>3683</v>
      </c>
      <c r="C2236" s="36" t="s">
        <v>3722</v>
      </c>
      <c r="D2236" s="49"/>
      <c r="E2236" s="49"/>
      <c r="F2236" s="49"/>
      <c r="G2236" s="49"/>
      <c r="H2236" s="49"/>
      <c r="I2236" s="49"/>
    </row>
    <row r="2237" ht="15.75" customHeight="1" spans="1:9">
      <c r="A2237" s="49"/>
      <c r="B2237" s="36" t="s">
        <v>3683</v>
      </c>
      <c r="C2237" s="36" t="s">
        <v>3723</v>
      </c>
      <c r="D2237" s="49"/>
      <c r="E2237" s="49"/>
      <c r="F2237" s="49"/>
      <c r="G2237" s="49"/>
      <c r="H2237" s="49"/>
      <c r="I2237" s="49"/>
    </row>
    <row r="2238" ht="15.75" customHeight="1" spans="1:9">
      <c r="A2238" s="49"/>
      <c r="B2238" s="36" t="s">
        <v>3683</v>
      </c>
      <c r="C2238" s="36" t="s">
        <v>3724</v>
      </c>
      <c r="D2238" s="49"/>
      <c r="E2238" s="49"/>
      <c r="F2238" s="49"/>
      <c r="G2238" s="49"/>
      <c r="H2238" s="49"/>
      <c r="I2238" s="49"/>
    </row>
    <row r="2239" ht="15.75" customHeight="1" spans="1:9">
      <c r="A2239" s="49"/>
      <c r="B2239" s="36" t="s">
        <v>3683</v>
      </c>
      <c r="C2239" s="36" t="s">
        <v>3725</v>
      </c>
      <c r="D2239" s="49"/>
      <c r="E2239" s="49"/>
      <c r="F2239" s="49"/>
      <c r="G2239" s="49"/>
      <c r="H2239" s="49"/>
      <c r="I2239" s="49"/>
    </row>
    <row r="2240" ht="15.75" customHeight="1" spans="1:9">
      <c r="A2240" s="49"/>
      <c r="B2240" s="36" t="s">
        <v>3683</v>
      </c>
      <c r="C2240" s="36" t="s">
        <v>3726</v>
      </c>
      <c r="D2240" s="49"/>
      <c r="E2240" s="49"/>
      <c r="F2240" s="49"/>
      <c r="G2240" s="49"/>
      <c r="H2240" s="49"/>
      <c r="I2240" s="49"/>
    </row>
    <row r="2241" ht="15.75" customHeight="1" spans="1:9">
      <c r="A2241" s="49"/>
      <c r="B2241" s="36" t="s">
        <v>3683</v>
      </c>
      <c r="C2241" s="36" t="s">
        <v>3727</v>
      </c>
      <c r="D2241" s="49"/>
      <c r="E2241" s="49"/>
      <c r="F2241" s="49"/>
      <c r="G2241" s="49"/>
      <c r="H2241" s="49"/>
      <c r="I2241" s="49"/>
    </row>
    <row r="2242" ht="15.75" customHeight="1" spans="1:9">
      <c r="A2242" s="49"/>
      <c r="B2242" s="36" t="s">
        <v>3683</v>
      </c>
      <c r="C2242" s="36" t="s">
        <v>3728</v>
      </c>
      <c r="D2242" s="49"/>
      <c r="E2242" s="49"/>
      <c r="F2242" s="49"/>
      <c r="G2242" s="49"/>
      <c r="H2242" s="49"/>
      <c r="I2242" s="49"/>
    </row>
    <row r="2243" ht="15.75" customHeight="1" spans="1:9">
      <c r="A2243" s="49"/>
      <c r="B2243" s="36" t="s">
        <v>3729</v>
      </c>
      <c r="C2243" s="36" t="s">
        <v>21</v>
      </c>
      <c r="D2243" s="49"/>
      <c r="E2243" s="49"/>
      <c r="F2243" s="49"/>
      <c r="G2243" s="49"/>
      <c r="H2243" s="49"/>
      <c r="I2243" s="49"/>
    </row>
    <row r="2244" ht="15.75" customHeight="1" spans="1:9">
      <c r="A2244" s="49"/>
      <c r="B2244" s="36" t="s">
        <v>3729</v>
      </c>
      <c r="C2244" s="36" t="s">
        <v>92</v>
      </c>
      <c r="D2244" s="49"/>
      <c r="E2244" s="49"/>
      <c r="F2244" s="49"/>
      <c r="G2244" s="49"/>
      <c r="H2244" s="49"/>
      <c r="I2244" s="49"/>
    </row>
    <row r="2245" ht="15.75" customHeight="1" spans="1:9">
      <c r="A2245" s="49"/>
      <c r="B2245" s="36" t="s">
        <v>3729</v>
      </c>
      <c r="C2245" s="36" t="s">
        <v>3730</v>
      </c>
      <c r="D2245" s="49"/>
      <c r="E2245" s="49"/>
      <c r="F2245" s="49"/>
      <c r="G2245" s="49"/>
      <c r="H2245" s="49"/>
      <c r="I2245" s="49"/>
    </row>
    <row r="2246" ht="15.75" customHeight="1" spans="1:9">
      <c r="A2246" s="49"/>
      <c r="B2246" s="36" t="s">
        <v>3729</v>
      </c>
      <c r="C2246" s="36" t="s">
        <v>3729</v>
      </c>
      <c r="D2246" s="49"/>
      <c r="E2246" s="49"/>
      <c r="F2246" s="49"/>
      <c r="G2246" s="49"/>
      <c r="H2246" s="49"/>
      <c r="I2246" s="49"/>
    </row>
    <row r="2247" ht="15.75" customHeight="1" spans="1:9">
      <c r="A2247" s="49"/>
      <c r="B2247" s="36" t="s">
        <v>3729</v>
      </c>
      <c r="C2247" s="36" t="s">
        <v>3731</v>
      </c>
      <c r="D2247" s="49"/>
      <c r="E2247" s="49"/>
      <c r="F2247" s="49"/>
      <c r="G2247" s="49"/>
      <c r="H2247" s="49"/>
      <c r="I2247" s="49"/>
    </row>
    <row r="2248" ht="15.75" customHeight="1" spans="1:9">
      <c r="A2248" s="49"/>
      <c r="B2248" s="36" t="s">
        <v>3729</v>
      </c>
      <c r="C2248" s="36" t="s">
        <v>3732</v>
      </c>
      <c r="D2248" s="49"/>
      <c r="E2248" s="49"/>
      <c r="F2248" s="49"/>
      <c r="G2248" s="49"/>
      <c r="H2248" s="49"/>
      <c r="I2248" s="49"/>
    </row>
    <row r="2249" ht="15.75" customHeight="1" spans="1:9">
      <c r="A2249" s="49"/>
      <c r="B2249" s="36" t="s">
        <v>3729</v>
      </c>
      <c r="C2249" s="36" t="s">
        <v>3733</v>
      </c>
      <c r="D2249" s="49"/>
      <c r="E2249" s="49"/>
      <c r="F2249" s="49"/>
      <c r="G2249" s="49"/>
      <c r="H2249" s="49"/>
      <c r="I2249" s="49"/>
    </row>
    <row r="2250" ht="15.75" customHeight="1" spans="1:9">
      <c r="A2250" s="49"/>
      <c r="B2250" s="36" t="s">
        <v>3729</v>
      </c>
      <c r="C2250" s="36" t="s">
        <v>3734</v>
      </c>
      <c r="D2250" s="49"/>
      <c r="E2250" s="49"/>
      <c r="F2250" s="49"/>
      <c r="G2250" s="49"/>
      <c r="H2250" s="49"/>
      <c r="I2250" s="49"/>
    </row>
    <row r="2251" ht="15.75" customHeight="1" spans="1:9">
      <c r="A2251" s="49"/>
      <c r="B2251" s="36" t="s">
        <v>3729</v>
      </c>
      <c r="C2251" s="36" t="s">
        <v>3735</v>
      </c>
      <c r="D2251" s="49"/>
      <c r="E2251" s="49"/>
      <c r="F2251" s="49"/>
      <c r="G2251" s="49"/>
      <c r="H2251" s="49"/>
      <c r="I2251" s="49"/>
    </row>
    <row r="2252" ht="15.75" customHeight="1" spans="1:9">
      <c r="A2252" s="49"/>
      <c r="B2252" s="36" t="s">
        <v>3729</v>
      </c>
      <c r="C2252" s="36" t="s">
        <v>3736</v>
      </c>
      <c r="D2252" s="49"/>
      <c r="E2252" s="49"/>
      <c r="F2252" s="49"/>
      <c r="G2252" s="49"/>
      <c r="H2252" s="49"/>
      <c r="I2252" s="49"/>
    </row>
    <row r="2253" ht="15.75" customHeight="1" spans="1:9">
      <c r="A2253" s="49"/>
      <c r="B2253" s="36" t="s">
        <v>3729</v>
      </c>
      <c r="C2253" s="36" t="s">
        <v>3737</v>
      </c>
      <c r="D2253" s="49"/>
      <c r="E2253" s="49"/>
      <c r="F2253" s="49"/>
      <c r="G2253" s="49"/>
      <c r="H2253" s="49"/>
      <c r="I2253" s="49"/>
    </row>
    <row r="2254" ht="15.75" customHeight="1" spans="1:9">
      <c r="A2254" s="49"/>
      <c r="B2254" s="36" t="s">
        <v>3729</v>
      </c>
      <c r="C2254" s="36" t="s">
        <v>3738</v>
      </c>
      <c r="D2254" s="49"/>
      <c r="E2254" s="49"/>
      <c r="F2254" s="49"/>
      <c r="G2254" s="49"/>
      <c r="H2254" s="49"/>
      <c r="I2254" s="49"/>
    </row>
    <row r="2255" ht="15.75" customHeight="1" spans="1:9">
      <c r="A2255" s="49"/>
      <c r="B2255" s="36" t="s">
        <v>3729</v>
      </c>
      <c r="C2255" s="36" t="s">
        <v>3739</v>
      </c>
      <c r="D2255" s="49"/>
      <c r="E2255" s="49"/>
      <c r="F2255" s="49"/>
      <c r="G2255" s="49"/>
      <c r="H2255" s="49"/>
      <c r="I2255" s="49"/>
    </row>
    <row r="2256" ht="15.75" customHeight="1" spans="1:9">
      <c r="A2256" s="49"/>
      <c r="B2256" s="36" t="s">
        <v>3729</v>
      </c>
      <c r="C2256" s="36" t="s">
        <v>3740</v>
      </c>
      <c r="D2256" s="49"/>
      <c r="E2256" s="49"/>
      <c r="F2256" s="49"/>
      <c r="G2256" s="49"/>
      <c r="H2256" s="49"/>
      <c r="I2256" s="49"/>
    </row>
    <row r="2257" ht="15.75" customHeight="1" spans="1:9">
      <c r="A2257" s="49"/>
      <c r="B2257" s="36" t="s">
        <v>3729</v>
      </c>
      <c r="C2257" s="36" t="s">
        <v>3741</v>
      </c>
      <c r="D2257" s="49"/>
      <c r="E2257" s="49"/>
      <c r="F2257" s="49"/>
      <c r="G2257" s="49"/>
      <c r="H2257" s="49"/>
      <c r="I2257" s="49"/>
    </row>
    <row r="2258" ht="15.75" customHeight="1" spans="1:9">
      <c r="A2258" s="49"/>
      <c r="B2258" s="36" t="s">
        <v>3729</v>
      </c>
      <c r="C2258" s="36" t="s">
        <v>3742</v>
      </c>
      <c r="D2258" s="49"/>
      <c r="E2258" s="49"/>
      <c r="F2258" s="49"/>
      <c r="G2258" s="49"/>
      <c r="H2258" s="49"/>
      <c r="I2258" s="49"/>
    </row>
    <row r="2259" ht="15.75" customHeight="1" spans="1:9">
      <c r="A2259" s="49"/>
      <c r="B2259" s="36" t="s">
        <v>3729</v>
      </c>
      <c r="C2259" s="36" t="s">
        <v>3743</v>
      </c>
      <c r="D2259" s="49"/>
      <c r="E2259" s="49"/>
      <c r="F2259" s="49"/>
      <c r="G2259" s="49"/>
      <c r="H2259" s="49"/>
      <c r="I2259" s="49"/>
    </row>
    <row r="2260" ht="15.75" customHeight="1" spans="1:9">
      <c r="A2260" s="49"/>
      <c r="B2260" s="36" t="s">
        <v>3729</v>
      </c>
      <c r="C2260" s="36" t="s">
        <v>3744</v>
      </c>
      <c r="D2260" s="49"/>
      <c r="E2260" s="49"/>
      <c r="F2260" s="49"/>
      <c r="G2260" s="49"/>
      <c r="H2260" s="49"/>
      <c r="I2260" s="49"/>
    </row>
    <row r="2261" ht="15.75" customHeight="1" spans="1:9">
      <c r="A2261" s="49"/>
      <c r="B2261" s="36" t="s">
        <v>3729</v>
      </c>
      <c r="C2261" s="36" t="s">
        <v>3745</v>
      </c>
      <c r="D2261" s="49"/>
      <c r="E2261" s="49"/>
      <c r="F2261" s="49"/>
      <c r="G2261" s="49"/>
      <c r="H2261" s="49"/>
      <c r="I2261" s="49"/>
    </row>
    <row r="2262" ht="15.75" customHeight="1" spans="1:9">
      <c r="A2262" s="49"/>
      <c r="B2262" s="36" t="s">
        <v>3729</v>
      </c>
      <c r="C2262" s="36" t="s">
        <v>3746</v>
      </c>
      <c r="D2262" s="49"/>
      <c r="E2262" s="49"/>
      <c r="F2262" s="49"/>
      <c r="G2262" s="49"/>
      <c r="H2262" s="49"/>
      <c r="I2262" s="49"/>
    </row>
    <row r="2263" ht="15.75" customHeight="1" spans="1:9">
      <c r="A2263" s="49"/>
      <c r="B2263" s="36" t="s">
        <v>3729</v>
      </c>
      <c r="C2263" s="36" t="s">
        <v>3747</v>
      </c>
      <c r="D2263" s="49"/>
      <c r="E2263" s="49"/>
      <c r="F2263" s="49"/>
      <c r="G2263" s="49"/>
      <c r="H2263" s="49"/>
      <c r="I2263" s="49"/>
    </row>
    <row r="2264" ht="15.75" customHeight="1" spans="1:9">
      <c r="A2264" s="49"/>
      <c r="B2264" s="36" t="s">
        <v>3729</v>
      </c>
      <c r="C2264" s="36" t="s">
        <v>3748</v>
      </c>
      <c r="D2264" s="49"/>
      <c r="E2264" s="49"/>
      <c r="F2264" s="49"/>
      <c r="G2264" s="49"/>
      <c r="H2264" s="49"/>
      <c r="I2264" s="49"/>
    </row>
    <row r="2265" ht="15.75" customHeight="1" spans="1:9">
      <c r="A2265" s="49"/>
      <c r="B2265" s="36" t="s">
        <v>3729</v>
      </c>
      <c r="C2265" s="36" t="s">
        <v>3749</v>
      </c>
      <c r="D2265" s="49"/>
      <c r="E2265" s="49"/>
      <c r="F2265" s="49"/>
      <c r="G2265" s="49"/>
      <c r="H2265" s="49"/>
      <c r="I2265" s="49"/>
    </row>
    <row r="2266" ht="15.75" customHeight="1" spans="1:9">
      <c r="A2266" s="49"/>
      <c r="B2266" s="36" t="s">
        <v>3729</v>
      </c>
      <c r="C2266" s="36" t="s">
        <v>3750</v>
      </c>
      <c r="D2266" s="49"/>
      <c r="E2266" s="49"/>
      <c r="F2266" s="49"/>
      <c r="G2266" s="49"/>
      <c r="H2266" s="49"/>
      <c r="I2266" s="49"/>
    </row>
    <row r="2267" ht="15.75" customHeight="1" spans="1:9">
      <c r="A2267" s="49"/>
      <c r="B2267" s="36" t="s">
        <v>3729</v>
      </c>
      <c r="C2267" s="36" t="s">
        <v>3751</v>
      </c>
      <c r="D2267" s="49"/>
      <c r="E2267" s="49"/>
      <c r="F2267" s="49"/>
      <c r="G2267" s="49"/>
      <c r="H2267" s="49"/>
      <c r="I2267" s="49"/>
    </row>
    <row r="2268" ht="15.75" customHeight="1" spans="1:9">
      <c r="A2268" s="49"/>
      <c r="B2268" s="36" t="s">
        <v>3729</v>
      </c>
      <c r="C2268" s="36" t="s">
        <v>3752</v>
      </c>
      <c r="D2268" s="49"/>
      <c r="E2268" s="49"/>
      <c r="F2268" s="49"/>
      <c r="G2268" s="49"/>
      <c r="H2268" s="49"/>
      <c r="I2268" s="49"/>
    </row>
    <row r="2269" ht="15.75" customHeight="1" spans="1:9">
      <c r="A2269" s="49"/>
      <c r="B2269" s="36" t="s">
        <v>3729</v>
      </c>
      <c r="C2269" s="36" t="s">
        <v>3753</v>
      </c>
      <c r="D2269" s="49"/>
      <c r="E2269" s="49"/>
      <c r="F2269" s="49"/>
      <c r="G2269" s="49"/>
      <c r="H2269" s="49"/>
      <c r="I2269" s="49"/>
    </row>
    <row r="2270" ht="15.75" customHeight="1" spans="1:9">
      <c r="A2270" s="49"/>
      <c r="B2270" s="36" t="s">
        <v>3729</v>
      </c>
      <c r="C2270" s="36" t="s">
        <v>3754</v>
      </c>
      <c r="D2270" s="49"/>
      <c r="E2270" s="49"/>
      <c r="F2270" s="49"/>
      <c r="G2270" s="49"/>
      <c r="H2270" s="49"/>
      <c r="I2270" s="49"/>
    </row>
    <row r="2271" ht="15.75" customHeight="1" spans="1:9">
      <c r="A2271" s="49"/>
      <c r="B2271" s="36" t="s">
        <v>3729</v>
      </c>
      <c r="C2271" s="36" t="s">
        <v>3755</v>
      </c>
      <c r="D2271" s="49"/>
      <c r="E2271" s="49"/>
      <c r="F2271" s="49"/>
      <c r="G2271" s="49"/>
      <c r="H2271" s="49"/>
      <c r="I2271" s="49"/>
    </row>
    <row r="2272" ht="15.75" customHeight="1" spans="1:9">
      <c r="A2272" s="49"/>
      <c r="B2272" s="36" t="s">
        <v>3729</v>
      </c>
      <c r="C2272" s="36" t="s">
        <v>3756</v>
      </c>
      <c r="D2272" s="49"/>
      <c r="E2272" s="49"/>
      <c r="F2272" s="49"/>
      <c r="G2272" s="49"/>
      <c r="H2272" s="49"/>
      <c r="I2272" s="49"/>
    </row>
    <row r="2273" ht="15.75" customHeight="1" spans="1:9">
      <c r="A2273" s="49"/>
      <c r="B2273" s="36" t="s">
        <v>3729</v>
      </c>
      <c r="C2273" s="36" t="s">
        <v>3757</v>
      </c>
      <c r="D2273" s="49"/>
      <c r="E2273" s="49"/>
      <c r="F2273" s="49"/>
      <c r="G2273" s="49"/>
      <c r="H2273" s="49"/>
      <c r="I2273" s="49"/>
    </row>
    <row r="2274" ht="15.75" customHeight="1" spans="1:9">
      <c r="A2274" s="49"/>
      <c r="B2274" s="36" t="s">
        <v>3729</v>
      </c>
      <c r="C2274" s="36" t="s">
        <v>3758</v>
      </c>
      <c r="D2274" s="49"/>
      <c r="E2274" s="49"/>
      <c r="F2274" s="49"/>
      <c r="G2274" s="49"/>
      <c r="H2274" s="49"/>
      <c r="I2274" s="49"/>
    </row>
    <row r="2275" ht="15.75" customHeight="1" spans="1:9">
      <c r="A2275" s="49"/>
      <c r="B2275" s="36" t="s">
        <v>3729</v>
      </c>
      <c r="C2275" s="36" t="s">
        <v>3759</v>
      </c>
      <c r="D2275" s="49"/>
      <c r="E2275" s="49"/>
      <c r="F2275" s="49"/>
      <c r="G2275" s="49"/>
      <c r="H2275" s="49"/>
      <c r="I2275" s="49"/>
    </row>
    <row r="2276" ht="15.75" customHeight="1" spans="1:9">
      <c r="A2276" s="49"/>
      <c r="B2276" s="36" t="s">
        <v>3729</v>
      </c>
      <c r="C2276" s="36" t="s">
        <v>3760</v>
      </c>
      <c r="D2276" s="49"/>
      <c r="E2276" s="49"/>
      <c r="F2276" s="49"/>
      <c r="G2276" s="49"/>
      <c r="H2276" s="49"/>
      <c r="I2276" s="49"/>
    </row>
    <row r="2277" ht="15.75" customHeight="1" spans="1:9">
      <c r="A2277" s="49"/>
      <c r="B2277" s="36" t="s">
        <v>3729</v>
      </c>
      <c r="C2277" s="36" t="s">
        <v>3761</v>
      </c>
      <c r="D2277" s="49"/>
      <c r="E2277" s="49"/>
      <c r="F2277" s="49"/>
      <c r="G2277" s="49"/>
      <c r="H2277" s="49"/>
      <c r="I2277" s="49"/>
    </row>
    <row r="2278" ht="15.75" customHeight="1" spans="1:9">
      <c r="A2278" s="49"/>
      <c r="B2278" s="36" t="s">
        <v>3729</v>
      </c>
      <c r="C2278" s="36" t="s">
        <v>3762</v>
      </c>
      <c r="D2278" s="49"/>
      <c r="E2278" s="49"/>
      <c r="F2278" s="49"/>
      <c r="G2278" s="49"/>
      <c r="H2278" s="49"/>
      <c r="I2278" s="49"/>
    </row>
    <row r="2279" ht="15.75" customHeight="1" spans="1:9">
      <c r="A2279" s="49"/>
      <c r="B2279" s="36" t="s">
        <v>3729</v>
      </c>
      <c r="C2279" s="36" t="s">
        <v>3763</v>
      </c>
      <c r="D2279" s="49"/>
      <c r="E2279" s="49"/>
      <c r="F2279" s="49"/>
      <c r="G2279" s="49"/>
      <c r="H2279" s="49"/>
      <c r="I2279" s="49"/>
    </row>
    <row r="2280" ht="15.75" customHeight="1" spans="1:9">
      <c r="A2280" s="49"/>
      <c r="B2280" s="36" t="s">
        <v>3729</v>
      </c>
      <c r="C2280" s="36" t="s">
        <v>3764</v>
      </c>
      <c r="D2280" s="49"/>
      <c r="E2280" s="49"/>
      <c r="F2280" s="49"/>
      <c r="G2280" s="49"/>
      <c r="H2280" s="49"/>
      <c r="I2280" s="49"/>
    </row>
    <row r="2281" ht="15.75" customHeight="1" spans="1:9">
      <c r="A2281" s="49"/>
      <c r="B2281" s="36" t="s">
        <v>3729</v>
      </c>
      <c r="C2281" s="36" t="s">
        <v>3765</v>
      </c>
      <c r="D2281" s="49"/>
      <c r="E2281" s="49"/>
      <c r="F2281" s="49"/>
      <c r="G2281" s="49"/>
      <c r="H2281" s="49"/>
      <c r="I2281" s="49"/>
    </row>
    <row r="2282" ht="15.75" customHeight="1" spans="1:9">
      <c r="A2282" s="49"/>
      <c r="B2282" s="36" t="s">
        <v>3729</v>
      </c>
      <c r="C2282" s="36" t="s">
        <v>3766</v>
      </c>
      <c r="D2282" s="49"/>
      <c r="E2282" s="49"/>
      <c r="F2282" s="49"/>
      <c r="G2282" s="49"/>
      <c r="H2282" s="49"/>
      <c r="I2282" s="49"/>
    </row>
    <row r="2283" ht="15.75" customHeight="1" spans="1:9">
      <c r="A2283" s="49"/>
      <c r="B2283" s="36" t="s">
        <v>3729</v>
      </c>
      <c r="C2283" s="36" t="s">
        <v>3767</v>
      </c>
      <c r="D2283" s="49"/>
      <c r="E2283" s="49"/>
      <c r="F2283" s="49"/>
      <c r="G2283" s="49"/>
      <c r="H2283" s="49"/>
      <c r="I2283" s="49"/>
    </row>
    <row r="2284" ht="15.75" customHeight="1" spans="1:9">
      <c r="A2284" s="49"/>
      <c r="B2284" s="36" t="s">
        <v>3729</v>
      </c>
      <c r="C2284" s="36" t="s">
        <v>3768</v>
      </c>
      <c r="D2284" s="49"/>
      <c r="E2284" s="49"/>
      <c r="F2284" s="49"/>
      <c r="G2284" s="49"/>
      <c r="H2284" s="49"/>
      <c r="I2284" s="49"/>
    </row>
    <row r="2285" ht="15.75" customHeight="1" spans="1:9">
      <c r="A2285" s="49"/>
      <c r="B2285" s="36" t="s">
        <v>3729</v>
      </c>
      <c r="C2285" s="36" t="s">
        <v>3769</v>
      </c>
      <c r="D2285" s="49"/>
      <c r="E2285" s="49"/>
      <c r="F2285" s="49"/>
      <c r="G2285" s="49"/>
      <c r="H2285" s="49"/>
      <c r="I2285" s="49"/>
    </row>
    <row r="2286" ht="15.75" customHeight="1" spans="1:9">
      <c r="A2286" s="49"/>
      <c r="B2286" s="36" t="s">
        <v>3729</v>
      </c>
      <c r="C2286" s="36" t="s">
        <v>3770</v>
      </c>
      <c r="D2286" s="49"/>
      <c r="E2286" s="49"/>
      <c r="F2286" s="49"/>
      <c r="G2286" s="49"/>
      <c r="H2286" s="49"/>
      <c r="I2286" s="49"/>
    </row>
    <row r="2287" ht="15.75" customHeight="1" spans="1:9">
      <c r="A2287" s="49"/>
      <c r="B2287" s="36" t="s">
        <v>3729</v>
      </c>
      <c r="C2287" s="36" t="s">
        <v>3771</v>
      </c>
      <c r="D2287" s="49"/>
      <c r="E2287" s="49"/>
      <c r="F2287" s="49"/>
      <c r="G2287" s="49"/>
      <c r="H2287" s="49"/>
      <c r="I2287" s="49"/>
    </row>
    <row r="2288" ht="15.75" customHeight="1" spans="1:9">
      <c r="A2288" s="49"/>
      <c r="B2288" s="36" t="s">
        <v>3729</v>
      </c>
      <c r="C2288" s="36" t="s">
        <v>3772</v>
      </c>
      <c r="D2288" s="49"/>
      <c r="E2288" s="49"/>
      <c r="F2288" s="49"/>
      <c r="G2288" s="49"/>
      <c r="H2288" s="49"/>
      <c r="I2288" s="49"/>
    </row>
    <row r="2289" ht="15.75" customHeight="1" spans="1:9">
      <c r="A2289" s="49"/>
      <c r="B2289" s="36" t="s">
        <v>3729</v>
      </c>
      <c r="C2289" s="36" t="s">
        <v>3773</v>
      </c>
      <c r="D2289" s="49"/>
      <c r="E2289" s="49"/>
      <c r="F2289" s="49"/>
      <c r="G2289" s="49"/>
      <c r="H2289" s="49"/>
      <c r="I2289" s="49"/>
    </row>
    <row r="2290" ht="15.75" customHeight="1" spans="1:9">
      <c r="A2290" s="49"/>
      <c r="B2290" s="36" t="s">
        <v>3729</v>
      </c>
      <c r="C2290" s="36" t="s">
        <v>3774</v>
      </c>
      <c r="D2290" s="49"/>
      <c r="E2290" s="49"/>
      <c r="F2290" s="49"/>
      <c r="G2290" s="49"/>
      <c r="H2290" s="49"/>
      <c r="I2290" s="49"/>
    </row>
    <row r="2291" ht="15.75" customHeight="1" spans="1:9">
      <c r="A2291" s="49"/>
      <c r="B2291" s="36" t="s">
        <v>3729</v>
      </c>
      <c r="C2291" s="36" t="s">
        <v>3775</v>
      </c>
      <c r="D2291" s="49"/>
      <c r="E2291" s="49"/>
      <c r="F2291" s="49"/>
      <c r="G2291" s="49"/>
      <c r="H2291" s="49"/>
      <c r="I2291" s="49"/>
    </row>
    <row r="2292" ht="15.75" customHeight="1" spans="1:9">
      <c r="A2292" s="49"/>
      <c r="B2292" s="36" t="s">
        <v>3729</v>
      </c>
      <c r="C2292" s="36" t="s">
        <v>3776</v>
      </c>
      <c r="D2292" s="49"/>
      <c r="E2292" s="49"/>
      <c r="F2292" s="49"/>
      <c r="G2292" s="49"/>
      <c r="H2292" s="49"/>
      <c r="I2292" s="49"/>
    </row>
    <row r="2293" ht="15.75" customHeight="1" spans="1:9">
      <c r="A2293" s="49"/>
      <c r="B2293" s="36" t="s">
        <v>3729</v>
      </c>
      <c r="C2293" s="36" t="s">
        <v>3777</v>
      </c>
      <c r="D2293" s="49"/>
      <c r="E2293" s="49"/>
      <c r="F2293" s="49"/>
      <c r="G2293" s="49"/>
      <c r="H2293" s="49"/>
      <c r="I2293" s="49"/>
    </row>
    <row r="2294" ht="15.75" customHeight="1" spans="1:9">
      <c r="A2294" s="49"/>
      <c r="B2294" s="36" t="s">
        <v>3729</v>
      </c>
      <c r="C2294" s="36" t="s">
        <v>3778</v>
      </c>
      <c r="D2294" s="49"/>
      <c r="E2294" s="49"/>
      <c r="F2294" s="49"/>
      <c r="G2294" s="49"/>
      <c r="H2294" s="49"/>
      <c r="I2294" s="49"/>
    </row>
    <row r="2295" ht="15.75" customHeight="1" spans="1:9">
      <c r="A2295" s="49"/>
      <c r="B2295" s="36" t="s">
        <v>3729</v>
      </c>
      <c r="C2295" s="36" t="s">
        <v>3779</v>
      </c>
      <c r="D2295" s="49"/>
      <c r="E2295" s="49"/>
      <c r="F2295" s="49"/>
      <c r="G2295" s="49"/>
      <c r="H2295" s="49"/>
      <c r="I2295" s="49"/>
    </row>
    <row r="2296" ht="15.75" customHeight="1" spans="1:9">
      <c r="A2296" s="49"/>
      <c r="B2296" s="36" t="s">
        <v>3729</v>
      </c>
      <c r="C2296" s="36" t="s">
        <v>3780</v>
      </c>
      <c r="D2296" s="49"/>
      <c r="E2296" s="49"/>
      <c r="F2296" s="49"/>
      <c r="G2296" s="49"/>
      <c r="H2296" s="49"/>
      <c r="I2296" s="49"/>
    </row>
    <row r="2297" ht="15.75" customHeight="1" spans="1:9">
      <c r="A2297" s="49"/>
      <c r="B2297" s="36" t="s">
        <v>3729</v>
      </c>
      <c r="C2297" s="36" t="s">
        <v>3781</v>
      </c>
      <c r="D2297" s="49"/>
      <c r="E2297" s="49"/>
      <c r="F2297" s="49"/>
      <c r="G2297" s="49"/>
      <c r="H2297" s="49"/>
      <c r="I2297" s="49"/>
    </row>
    <row r="2298" ht="15.75" customHeight="1" spans="1:9">
      <c r="A2298" s="49"/>
      <c r="B2298" s="36" t="s">
        <v>3729</v>
      </c>
      <c r="C2298" s="36" t="s">
        <v>3782</v>
      </c>
      <c r="D2298" s="49"/>
      <c r="E2298" s="49"/>
      <c r="F2298" s="49"/>
      <c r="G2298" s="49"/>
      <c r="H2298" s="49"/>
      <c r="I2298" s="49"/>
    </row>
    <row r="2299" ht="15.75" customHeight="1" spans="1:9">
      <c r="A2299" s="49"/>
      <c r="B2299" s="36" t="s">
        <v>3729</v>
      </c>
      <c r="C2299" s="36" t="s">
        <v>3783</v>
      </c>
      <c r="D2299" s="49"/>
      <c r="E2299" s="49"/>
      <c r="F2299" s="49"/>
      <c r="G2299" s="49"/>
      <c r="H2299" s="49"/>
      <c r="I2299" s="49"/>
    </row>
    <row r="2300" ht="15.75" customHeight="1" spans="1:9">
      <c r="A2300" s="49"/>
      <c r="B2300" s="36" t="s">
        <v>3729</v>
      </c>
      <c r="C2300" s="36" t="s">
        <v>3784</v>
      </c>
      <c r="D2300" s="49"/>
      <c r="E2300" s="49"/>
      <c r="F2300" s="49"/>
      <c r="G2300" s="49"/>
      <c r="H2300" s="49"/>
      <c r="I2300" s="49"/>
    </row>
    <row r="2301" ht="15.75" customHeight="1" spans="1:9">
      <c r="A2301" s="49"/>
      <c r="B2301" s="36" t="s">
        <v>3729</v>
      </c>
      <c r="C2301" s="36" t="s">
        <v>3785</v>
      </c>
      <c r="D2301" s="49"/>
      <c r="E2301" s="49"/>
      <c r="F2301" s="49"/>
      <c r="G2301" s="49"/>
      <c r="H2301" s="49"/>
      <c r="I2301" s="49"/>
    </row>
    <row r="2302" ht="15.75" customHeight="1" spans="1:9">
      <c r="A2302" s="49"/>
      <c r="B2302" s="36" t="s">
        <v>3729</v>
      </c>
      <c r="C2302" s="36" t="s">
        <v>3786</v>
      </c>
      <c r="D2302" s="49"/>
      <c r="E2302" s="49"/>
      <c r="F2302" s="49"/>
      <c r="G2302" s="49"/>
      <c r="H2302" s="49"/>
      <c r="I2302" s="49"/>
    </row>
    <row r="2303" ht="15.75" customHeight="1" spans="1:9">
      <c r="A2303" s="49"/>
      <c r="B2303" s="36" t="s">
        <v>3729</v>
      </c>
      <c r="C2303" s="36" t="s">
        <v>3787</v>
      </c>
      <c r="D2303" s="49"/>
      <c r="E2303" s="49"/>
      <c r="F2303" s="49"/>
      <c r="G2303" s="49"/>
      <c r="H2303" s="49"/>
      <c r="I2303" s="49"/>
    </row>
    <row r="2304" ht="15.75" customHeight="1" spans="1:9">
      <c r="A2304" s="49"/>
      <c r="B2304" s="36" t="s">
        <v>3729</v>
      </c>
      <c r="C2304" s="36" t="s">
        <v>3788</v>
      </c>
      <c r="D2304" s="49"/>
      <c r="E2304" s="49"/>
      <c r="F2304" s="49"/>
      <c r="G2304" s="49"/>
      <c r="H2304" s="49"/>
      <c r="I2304" s="49"/>
    </row>
    <row r="2305" ht="15.75" customHeight="1" spans="1:9">
      <c r="A2305" s="49"/>
      <c r="B2305" s="36" t="s">
        <v>3729</v>
      </c>
      <c r="C2305" s="36" t="s">
        <v>3789</v>
      </c>
      <c r="D2305" s="49"/>
      <c r="E2305" s="49"/>
      <c r="F2305" s="49"/>
      <c r="G2305" s="49"/>
      <c r="H2305" s="49"/>
      <c r="I2305" s="49"/>
    </row>
    <row r="2306" ht="15.75" customHeight="1" spans="1:9">
      <c r="A2306" s="49"/>
      <c r="B2306" s="36" t="s">
        <v>3729</v>
      </c>
      <c r="C2306" s="36" t="s">
        <v>3790</v>
      </c>
      <c r="D2306" s="49"/>
      <c r="E2306" s="49"/>
      <c r="F2306" s="49"/>
      <c r="G2306" s="49"/>
      <c r="H2306" s="49"/>
      <c r="I2306" s="49"/>
    </row>
    <row r="2307" ht="15.75" customHeight="1" spans="1:9">
      <c r="A2307" s="49"/>
      <c r="B2307" s="36" t="s">
        <v>3729</v>
      </c>
      <c r="C2307" s="36" t="s">
        <v>3791</v>
      </c>
      <c r="D2307" s="49"/>
      <c r="E2307" s="49"/>
      <c r="F2307" s="49"/>
      <c r="G2307" s="49"/>
      <c r="H2307" s="49"/>
      <c r="I2307" s="49"/>
    </row>
    <row r="2308" ht="15.75" customHeight="1" spans="1:9">
      <c r="A2308" s="49"/>
      <c r="B2308" s="36" t="s">
        <v>3729</v>
      </c>
      <c r="C2308" s="36" t="s">
        <v>3792</v>
      </c>
      <c r="D2308" s="49"/>
      <c r="E2308" s="49"/>
      <c r="F2308" s="49"/>
      <c r="G2308" s="49"/>
      <c r="H2308" s="49"/>
      <c r="I2308" s="49"/>
    </row>
    <row r="2309" ht="15.75" customHeight="1" spans="1:9">
      <c r="A2309" s="49"/>
      <c r="B2309" s="36" t="s">
        <v>3729</v>
      </c>
      <c r="C2309" s="36" t="s">
        <v>3793</v>
      </c>
      <c r="D2309" s="49"/>
      <c r="E2309" s="49"/>
      <c r="F2309" s="49"/>
      <c r="G2309" s="49"/>
      <c r="H2309" s="49"/>
      <c r="I2309" s="49"/>
    </row>
    <row r="2310" ht="15.75" customHeight="1" spans="1:9">
      <c r="A2310" s="49"/>
      <c r="B2310" s="36" t="s">
        <v>3729</v>
      </c>
      <c r="C2310" s="36" t="s">
        <v>3794</v>
      </c>
      <c r="D2310" s="49"/>
      <c r="E2310" s="49"/>
      <c r="F2310" s="49"/>
      <c r="G2310" s="49"/>
      <c r="H2310" s="49"/>
      <c r="I2310" s="49"/>
    </row>
    <row r="2311" ht="15.75" customHeight="1" spans="1:9">
      <c r="A2311" s="49"/>
      <c r="B2311" s="36" t="s">
        <v>3729</v>
      </c>
      <c r="C2311" s="36" t="s">
        <v>3795</v>
      </c>
      <c r="D2311" s="49"/>
      <c r="E2311" s="49"/>
      <c r="F2311" s="49"/>
      <c r="G2311" s="49"/>
      <c r="H2311" s="49"/>
      <c r="I2311" s="49"/>
    </row>
    <row r="2312" ht="15.75" customHeight="1" spans="1:9">
      <c r="A2312" s="49"/>
      <c r="B2312" s="36" t="s">
        <v>3729</v>
      </c>
      <c r="C2312" s="36" t="s">
        <v>3796</v>
      </c>
      <c r="D2312" s="49"/>
      <c r="E2312" s="49"/>
      <c r="F2312" s="49"/>
      <c r="G2312" s="49"/>
      <c r="H2312" s="49"/>
      <c r="I2312" s="49"/>
    </row>
    <row r="2313" ht="15.75" customHeight="1" spans="1:9">
      <c r="A2313" s="49"/>
      <c r="B2313" s="36" t="s">
        <v>3729</v>
      </c>
      <c r="C2313" s="36" t="s">
        <v>3797</v>
      </c>
      <c r="D2313" s="49"/>
      <c r="E2313" s="49"/>
      <c r="F2313" s="49"/>
      <c r="G2313" s="49"/>
      <c r="H2313" s="49"/>
      <c r="I2313" s="49"/>
    </row>
    <row r="2314" ht="15.75" customHeight="1" spans="1:9">
      <c r="A2314" s="49"/>
      <c r="B2314" s="36" t="s">
        <v>3729</v>
      </c>
      <c r="C2314" s="36" t="s">
        <v>3798</v>
      </c>
      <c r="D2314" s="49"/>
      <c r="E2314" s="49"/>
      <c r="F2314" s="49"/>
      <c r="G2314" s="49"/>
      <c r="H2314" s="49"/>
      <c r="I2314" s="49"/>
    </row>
    <row r="2315" ht="15.75" customHeight="1" spans="1:9">
      <c r="A2315" s="49"/>
      <c r="B2315" s="36" t="s">
        <v>3729</v>
      </c>
      <c r="C2315" s="36" t="s">
        <v>3799</v>
      </c>
      <c r="D2315" s="49"/>
      <c r="E2315" s="49"/>
      <c r="F2315" s="49"/>
      <c r="G2315" s="49"/>
      <c r="H2315" s="49"/>
      <c r="I2315" s="49"/>
    </row>
    <row r="2316" ht="15.75" customHeight="1" spans="1:9">
      <c r="A2316" s="49"/>
      <c r="B2316" s="36" t="s">
        <v>3729</v>
      </c>
      <c r="C2316" s="36" t="s">
        <v>3800</v>
      </c>
      <c r="D2316" s="49"/>
      <c r="E2316" s="49"/>
      <c r="F2316" s="49"/>
      <c r="G2316" s="49"/>
      <c r="H2316" s="49"/>
      <c r="I2316" s="49"/>
    </row>
    <row r="2317" ht="15.75" customHeight="1" spans="1:9">
      <c r="A2317" s="49"/>
      <c r="B2317" s="36" t="s">
        <v>3729</v>
      </c>
      <c r="C2317" s="36" t="s">
        <v>3801</v>
      </c>
      <c r="D2317" s="49"/>
      <c r="E2317" s="49"/>
      <c r="F2317" s="49"/>
      <c r="G2317" s="49"/>
      <c r="H2317" s="49"/>
      <c r="I2317" s="49"/>
    </row>
    <row r="2318" ht="15.75" customHeight="1" spans="1:9">
      <c r="A2318" s="49"/>
      <c r="B2318" s="36" t="s">
        <v>3729</v>
      </c>
      <c r="C2318" s="36" t="s">
        <v>3802</v>
      </c>
      <c r="D2318" s="49"/>
      <c r="E2318" s="49"/>
      <c r="F2318" s="49"/>
      <c r="G2318" s="49"/>
      <c r="H2318" s="49"/>
      <c r="I2318" s="49"/>
    </row>
    <row r="2319" ht="15.75" customHeight="1" spans="1:9">
      <c r="A2319" s="49"/>
      <c r="B2319" s="36" t="s">
        <v>3729</v>
      </c>
      <c r="C2319" s="36" t="s">
        <v>3803</v>
      </c>
      <c r="D2319" s="49"/>
      <c r="E2319" s="49"/>
      <c r="F2319" s="49"/>
      <c r="G2319" s="49"/>
      <c r="H2319" s="49"/>
      <c r="I2319" s="49"/>
    </row>
    <row r="2320" ht="15.75" customHeight="1" spans="1:9">
      <c r="A2320" s="49"/>
      <c r="B2320" s="36" t="s">
        <v>3729</v>
      </c>
      <c r="C2320" s="36" t="s">
        <v>3804</v>
      </c>
      <c r="D2320" s="49"/>
      <c r="E2320" s="49"/>
      <c r="F2320" s="49"/>
      <c r="G2320" s="49"/>
      <c r="H2320" s="49"/>
      <c r="I2320" s="49"/>
    </row>
    <row r="2321" ht="15.75" customHeight="1" spans="1:9">
      <c r="A2321" s="49"/>
      <c r="B2321" s="36" t="s">
        <v>3729</v>
      </c>
      <c r="C2321" s="36" t="s">
        <v>3805</v>
      </c>
      <c r="D2321" s="49"/>
      <c r="E2321" s="49"/>
      <c r="F2321" s="49"/>
      <c r="G2321" s="49"/>
      <c r="H2321" s="49"/>
      <c r="I2321" s="49"/>
    </row>
    <row r="2322" ht="15.75" customHeight="1" spans="1:9">
      <c r="A2322" s="49"/>
      <c r="B2322" s="36" t="s">
        <v>3729</v>
      </c>
      <c r="C2322" s="36" t="s">
        <v>3806</v>
      </c>
      <c r="D2322" s="49"/>
      <c r="E2322" s="49"/>
      <c r="F2322" s="49"/>
      <c r="G2322" s="49"/>
      <c r="H2322" s="49"/>
      <c r="I2322" s="49"/>
    </row>
    <row r="2323" ht="15.75" customHeight="1" spans="1:9">
      <c r="A2323" s="49"/>
      <c r="B2323" s="36" t="s">
        <v>3729</v>
      </c>
      <c r="C2323" s="36" t="s">
        <v>3807</v>
      </c>
      <c r="D2323" s="49"/>
      <c r="E2323" s="49"/>
      <c r="F2323" s="49"/>
      <c r="G2323" s="49"/>
      <c r="H2323" s="49"/>
      <c r="I2323" s="49"/>
    </row>
    <row r="2324" ht="15.75" customHeight="1" spans="1:9">
      <c r="A2324" s="49"/>
      <c r="B2324" s="36" t="s">
        <v>3729</v>
      </c>
      <c r="C2324" s="36" t="s">
        <v>3808</v>
      </c>
      <c r="D2324" s="49"/>
      <c r="E2324" s="49"/>
      <c r="F2324" s="49"/>
      <c r="G2324" s="49"/>
      <c r="H2324" s="49"/>
      <c r="I2324" s="49"/>
    </row>
    <row r="2325" ht="15.75" customHeight="1" spans="1:9">
      <c r="A2325" s="49"/>
      <c r="B2325" s="36" t="s">
        <v>3729</v>
      </c>
      <c r="C2325" s="36" t="s">
        <v>3809</v>
      </c>
      <c r="D2325" s="49"/>
      <c r="E2325" s="49"/>
      <c r="F2325" s="49"/>
      <c r="G2325" s="49"/>
      <c r="H2325" s="49"/>
      <c r="I2325" s="49"/>
    </row>
    <row r="2326" ht="15.75" customHeight="1" spans="1:9">
      <c r="A2326" s="49"/>
      <c r="B2326" s="36" t="s">
        <v>3729</v>
      </c>
      <c r="C2326" s="36" t="s">
        <v>3810</v>
      </c>
      <c r="D2326" s="49"/>
      <c r="E2326" s="49"/>
      <c r="F2326" s="49"/>
      <c r="G2326" s="49"/>
      <c r="H2326" s="49"/>
      <c r="I2326" s="49"/>
    </row>
    <row r="2327" ht="15.75" customHeight="1" spans="1:9">
      <c r="A2327" s="49"/>
      <c r="B2327" s="36" t="s">
        <v>3729</v>
      </c>
      <c r="C2327" s="36" t="s">
        <v>3811</v>
      </c>
      <c r="D2327" s="49"/>
      <c r="E2327" s="49"/>
      <c r="F2327" s="49"/>
      <c r="G2327" s="49"/>
      <c r="H2327" s="49"/>
      <c r="I2327" s="49"/>
    </row>
    <row r="2328" ht="15.75" customHeight="1" spans="1:9">
      <c r="A2328" s="49"/>
      <c r="B2328" s="36" t="s">
        <v>3729</v>
      </c>
      <c r="C2328" s="36" t="s">
        <v>3812</v>
      </c>
      <c r="D2328" s="49"/>
      <c r="E2328" s="49"/>
      <c r="F2328" s="49"/>
      <c r="G2328" s="49"/>
      <c r="H2328" s="49"/>
      <c r="I2328" s="49"/>
    </row>
    <row r="2329" ht="15.75" customHeight="1" spans="1:9">
      <c r="A2329" s="49"/>
      <c r="B2329" s="36" t="s">
        <v>3729</v>
      </c>
      <c r="C2329" s="36" t="s">
        <v>3813</v>
      </c>
      <c r="D2329" s="49"/>
      <c r="E2329" s="49"/>
      <c r="F2329" s="49"/>
      <c r="G2329" s="49"/>
      <c r="H2329" s="49"/>
      <c r="I2329" s="49"/>
    </row>
    <row r="2330" ht="15.75" customHeight="1" spans="1:9">
      <c r="A2330" s="49"/>
      <c r="B2330" s="36" t="s">
        <v>3729</v>
      </c>
      <c r="C2330" s="36" t="s">
        <v>3814</v>
      </c>
      <c r="D2330" s="49"/>
      <c r="E2330" s="49"/>
      <c r="F2330" s="49"/>
      <c r="G2330" s="49"/>
      <c r="H2330" s="49"/>
      <c r="I2330" s="49"/>
    </row>
    <row r="2331" ht="15.75" customHeight="1" spans="1:9">
      <c r="A2331" s="49"/>
      <c r="B2331" s="36" t="s">
        <v>3729</v>
      </c>
      <c r="C2331" s="36" t="s">
        <v>3815</v>
      </c>
      <c r="D2331" s="49"/>
      <c r="E2331" s="49"/>
      <c r="F2331" s="49"/>
      <c r="G2331" s="49"/>
      <c r="H2331" s="49"/>
      <c r="I2331" s="49"/>
    </row>
    <row r="2332" ht="15.75" customHeight="1" spans="1:9">
      <c r="A2332" s="49"/>
      <c r="B2332" s="36" t="s">
        <v>3729</v>
      </c>
      <c r="C2332" s="36" t="s">
        <v>3816</v>
      </c>
      <c r="D2332" s="49"/>
      <c r="E2332" s="49"/>
      <c r="F2332" s="49"/>
      <c r="G2332" s="49"/>
      <c r="H2332" s="49"/>
      <c r="I2332" s="49"/>
    </row>
    <row r="2333" ht="15.75" customHeight="1" spans="1:9">
      <c r="A2333" s="49"/>
      <c r="B2333" s="36" t="s">
        <v>3729</v>
      </c>
      <c r="C2333" s="36" t="s">
        <v>3817</v>
      </c>
      <c r="D2333" s="49"/>
      <c r="E2333" s="49"/>
      <c r="F2333" s="49"/>
      <c r="G2333" s="49"/>
      <c r="H2333" s="49"/>
      <c r="I2333" s="49"/>
    </row>
    <row r="2334" ht="15.75" customHeight="1" spans="1:9">
      <c r="A2334" s="49"/>
      <c r="B2334" s="36" t="s">
        <v>3729</v>
      </c>
      <c r="C2334" s="36" t="s">
        <v>3818</v>
      </c>
      <c r="D2334" s="49"/>
      <c r="E2334" s="49"/>
      <c r="F2334" s="49"/>
      <c r="G2334" s="49"/>
      <c r="H2334" s="49"/>
      <c r="I2334" s="49"/>
    </row>
    <row r="2335" ht="15.75" customHeight="1" spans="1:9">
      <c r="A2335" s="49"/>
      <c r="B2335" s="36" t="s">
        <v>3729</v>
      </c>
      <c r="C2335" s="36" t="s">
        <v>3819</v>
      </c>
      <c r="D2335" s="49"/>
      <c r="E2335" s="49"/>
      <c r="F2335" s="49"/>
      <c r="G2335" s="49"/>
      <c r="H2335" s="49"/>
      <c r="I2335" s="49"/>
    </row>
    <row r="2336" ht="15.75" customHeight="1" spans="1:9">
      <c r="A2336" s="49"/>
      <c r="B2336" s="36" t="s">
        <v>3729</v>
      </c>
      <c r="C2336" s="36" t="s">
        <v>3820</v>
      </c>
      <c r="D2336" s="49"/>
      <c r="E2336" s="49"/>
      <c r="F2336" s="49"/>
      <c r="G2336" s="49"/>
      <c r="H2336" s="49"/>
      <c r="I2336" s="49"/>
    </row>
    <row r="2337" ht="15.75" customHeight="1" spans="1:9">
      <c r="A2337" s="49"/>
      <c r="B2337" s="36" t="s">
        <v>3729</v>
      </c>
      <c r="C2337" s="36" t="s">
        <v>3821</v>
      </c>
      <c r="D2337" s="49"/>
      <c r="E2337" s="49"/>
      <c r="F2337" s="49"/>
      <c r="G2337" s="49"/>
      <c r="H2337" s="49"/>
      <c r="I2337" s="49"/>
    </row>
    <row r="2338" ht="15.75" customHeight="1" spans="1:9">
      <c r="A2338" s="49"/>
      <c r="B2338" s="36" t="s">
        <v>3729</v>
      </c>
      <c r="C2338" s="36" t="s">
        <v>3822</v>
      </c>
      <c r="D2338" s="49"/>
      <c r="E2338" s="49"/>
      <c r="F2338" s="49"/>
      <c r="G2338" s="49"/>
      <c r="H2338" s="49"/>
      <c r="I2338" s="49"/>
    </row>
    <row r="2339" ht="15.75" customHeight="1" spans="1:9">
      <c r="A2339" s="49"/>
      <c r="B2339" s="36" t="s">
        <v>3729</v>
      </c>
      <c r="C2339" s="36" t="s">
        <v>3823</v>
      </c>
      <c r="D2339" s="49"/>
      <c r="E2339" s="49"/>
      <c r="F2339" s="49"/>
      <c r="G2339" s="49"/>
      <c r="H2339" s="49"/>
      <c r="I2339" s="49"/>
    </row>
    <row r="2340" ht="15.75" customHeight="1" spans="1:9">
      <c r="A2340" s="49"/>
      <c r="B2340" s="36" t="s">
        <v>3729</v>
      </c>
      <c r="C2340" s="36" t="s">
        <v>3824</v>
      </c>
      <c r="D2340" s="49"/>
      <c r="E2340" s="49"/>
      <c r="F2340" s="49"/>
      <c r="G2340" s="49"/>
      <c r="H2340" s="49"/>
      <c r="I2340" s="49"/>
    </row>
    <row r="2341" ht="15.75" customHeight="1" spans="1:9">
      <c r="A2341" s="49"/>
      <c r="B2341" s="36" t="s">
        <v>3729</v>
      </c>
      <c r="C2341" s="36" t="s">
        <v>3825</v>
      </c>
      <c r="D2341" s="49"/>
      <c r="E2341" s="49"/>
      <c r="F2341" s="49"/>
      <c r="G2341" s="49"/>
      <c r="H2341" s="49"/>
      <c r="I2341" s="49"/>
    </row>
    <row r="2342" ht="15.75" customHeight="1" spans="1:9">
      <c r="A2342" s="49"/>
      <c r="B2342" s="36" t="s">
        <v>3729</v>
      </c>
      <c r="C2342" s="36" t="s">
        <v>3826</v>
      </c>
      <c r="D2342" s="49"/>
      <c r="E2342" s="49"/>
      <c r="F2342" s="49"/>
      <c r="G2342" s="49"/>
      <c r="H2342" s="49"/>
      <c r="I2342" s="49"/>
    </row>
    <row r="2343" ht="15.75" customHeight="1" spans="1:9">
      <c r="A2343" s="49"/>
      <c r="B2343" s="36" t="s">
        <v>3729</v>
      </c>
      <c r="C2343" s="36" t="s">
        <v>3827</v>
      </c>
      <c r="D2343" s="49"/>
      <c r="E2343" s="49"/>
      <c r="F2343" s="49"/>
      <c r="G2343" s="49"/>
      <c r="H2343" s="49"/>
      <c r="I2343" s="49"/>
    </row>
    <row r="2344" ht="15.75" customHeight="1" spans="1:9">
      <c r="A2344" s="49"/>
      <c r="B2344" s="36" t="s">
        <v>3729</v>
      </c>
      <c r="C2344" s="36" t="s">
        <v>3828</v>
      </c>
      <c r="D2344" s="49"/>
      <c r="E2344" s="49"/>
      <c r="F2344" s="49"/>
      <c r="G2344" s="49"/>
      <c r="H2344" s="49"/>
      <c r="I2344" s="49"/>
    </row>
    <row r="2345" ht="15.75" customHeight="1" spans="1:9">
      <c r="A2345" s="49"/>
      <c r="B2345" s="36" t="s">
        <v>3729</v>
      </c>
      <c r="C2345" s="36" t="s">
        <v>3829</v>
      </c>
      <c r="D2345" s="49"/>
      <c r="E2345" s="49"/>
      <c r="F2345" s="49"/>
      <c r="G2345" s="49"/>
      <c r="H2345" s="49"/>
      <c r="I2345" s="49"/>
    </row>
    <row r="2346" ht="15.75" customHeight="1" spans="1:9">
      <c r="A2346" s="49"/>
      <c r="B2346" s="36" t="s">
        <v>3729</v>
      </c>
      <c r="C2346" s="36" t="s">
        <v>3830</v>
      </c>
      <c r="D2346" s="49"/>
      <c r="E2346" s="49"/>
      <c r="F2346" s="49"/>
      <c r="G2346" s="49"/>
      <c r="H2346" s="49"/>
      <c r="I2346" s="49"/>
    </row>
    <row r="2347" ht="15.75" customHeight="1" spans="1:9">
      <c r="A2347" s="49"/>
      <c r="B2347" s="36" t="s">
        <v>3729</v>
      </c>
      <c r="C2347" s="36" t="s">
        <v>3831</v>
      </c>
      <c r="D2347" s="49"/>
      <c r="E2347" s="49"/>
      <c r="F2347" s="49"/>
      <c r="G2347" s="49"/>
      <c r="H2347" s="49"/>
      <c r="I2347" s="49"/>
    </row>
    <row r="2348" ht="15.75" customHeight="1" spans="1:9">
      <c r="A2348" s="49"/>
      <c r="B2348" s="36" t="s">
        <v>3729</v>
      </c>
      <c r="C2348" s="36" t="s">
        <v>3832</v>
      </c>
      <c r="D2348" s="49"/>
      <c r="E2348" s="49"/>
      <c r="F2348" s="49"/>
      <c r="G2348" s="49"/>
      <c r="H2348" s="49"/>
      <c r="I2348" s="49"/>
    </row>
    <row r="2349" ht="15.75" customHeight="1" spans="1:9">
      <c r="A2349" s="49"/>
      <c r="B2349" s="36" t="s">
        <v>3729</v>
      </c>
      <c r="C2349" s="36" t="s">
        <v>3833</v>
      </c>
      <c r="D2349" s="49"/>
      <c r="E2349" s="49"/>
      <c r="F2349" s="49"/>
      <c r="G2349" s="49"/>
      <c r="H2349" s="49"/>
      <c r="I2349" s="49"/>
    </row>
    <row r="2350" ht="15.75" customHeight="1" spans="1:9">
      <c r="A2350" s="49"/>
      <c r="B2350" s="36" t="s">
        <v>3729</v>
      </c>
      <c r="C2350" s="36" t="s">
        <v>3834</v>
      </c>
      <c r="D2350" s="49"/>
      <c r="E2350" s="49"/>
      <c r="F2350" s="49"/>
      <c r="G2350" s="49"/>
      <c r="H2350" s="49"/>
      <c r="I2350" s="49"/>
    </row>
    <row r="2351" ht="15.75" customHeight="1" spans="1:9">
      <c r="A2351" s="49"/>
      <c r="B2351" s="36" t="s">
        <v>3729</v>
      </c>
      <c r="C2351" s="36" t="s">
        <v>3835</v>
      </c>
      <c r="D2351" s="49"/>
      <c r="E2351" s="49"/>
      <c r="F2351" s="49"/>
      <c r="G2351" s="49"/>
      <c r="H2351" s="49"/>
      <c r="I2351" s="49"/>
    </row>
    <row r="2352" ht="15.75" customHeight="1" spans="1:9">
      <c r="A2352" s="49"/>
      <c r="B2352" s="36" t="s">
        <v>3729</v>
      </c>
      <c r="C2352" s="36" t="s">
        <v>3836</v>
      </c>
      <c r="D2352" s="49"/>
      <c r="E2352" s="49"/>
      <c r="F2352" s="49"/>
      <c r="G2352" s="49"/>
      <c r="H2352" s="49"/>
      <c r="I2352" s="49"/>
    </row>
    <row r="2353" ht="15.75" customHeight="1" spans="1:9">
      <c r="A2353" s="49"/>
      <c r="B2353" s="36" t="s">
        <v>3729</v>
      </c>
      <c r="C2353" s="36" t="s">
        <v>3837</v>
      </c>
      <c r="D2353" s="49"/>
      <c r="E2353" s="49"/>
      <c r="F2353" s="49"/>
      <c r="G2353" s="49"/>
      <c r="H2353" s="49"/>
      <c r="I2353" s="49"/>
    </row>
    <row r="2354" ht="15.75" customHeight="1" spans="1:9">
      <c r="A2354" s="49"/>
      <c r="B2354" s="36" t="s">
        <v>3729</v>
      </c>
      <c r="C2354" s="36" t="s">
        <v>3838</v>
      </c>
      <c r="D2354" s="49"/>
      <c r="E2354" s="49"/>
      <c r="F2354" s="49"/>
      <c r="G2354" s="49"/>
      <c r="H2354" s="49"/>
      <c r="I2354" s="49"/>
    </row>
    <row r="2355" ht="15.75" customHeight="1" spans="1:9">
      <c r="A2355" s="49"/>
      <c r="B2355" s="36" t="s">
        <v>3729</v>
      </c>
      <c r="C2355" s="36" t="s">
        <v>3839</v>
      </c>
      <c r="D2355" s="49"/>
      <c r="E2355" s="49"/>
      <c r="F2355" s="49"/>
      <c r="G2355" s="49"/>
      <c r="H2355" s="49"/>
      <c r="I2355" s="49"/>
    </row>
    <row r="2356" ht="15.75" customHeight="1" spans="1:9">
      <c r="A2356" s="49"/>
      <c r="B2356" s="36" t="s">
        <v>3729</v>
      </c>
      <c r="C2356" s="36" t="s">
        <v>3840</v>
      </c>
      <c r="D2356" s="49"/>
      <c r="E2356" s="49"/>
      <c r="F2356" s="49"/>
      <c r="G2356" s="49"/>
      <c r="H2356" s="49"/>
      <c r="I2356" s="49"/>
    </row>
    <row r="2357" ht="15.75" customHeight="1" spans="1:9">
      <c r="A2357" s="49"/>
      <c r="B2357" s="36" t="s">
        <v>3729</v>
      </c>
      <c r="C2357" s="36" t="s">
        <v>3841</v>
      </c>
      <c r="D2357" s="49"/>
      <c r="E2357" s="49"/>
      <c r="F2357" s="49"/>
      <c r="G2357" s="49"/>
      <c r="H2357" s="49"/>
      <c r="I2357" s="49"/>
    </row>
    <row r="2358" ht="15.75" customHeight="1" spans="1:9">
      <c r="A2358" s="49"/>
      <c r="B2358" s="36" t="s">
        <v>3729</v>
      </c>
      <c r="C2358" s="36" t="s">
        <v>3842</v>
      </c>
      <c r="D2358" s="49"/>
      <c r="E2358" s="49"/>
      <c r="F2358" s="49"/>
      <c r="G2358" s="49"/>
      <c r="H2358" s="49"/>
      <c r="I2358" s="49"/>
    </row>
    <row r="2359" ht="15.75" customHeight="1" spans="1:9">
      <c r="A2359" s="49"/>
      <c r="B2359" s="36" t="s">
        <v>3729</v>
      </c>
      <c r="C2359" s="36" t="s">
        <v>3843</v>
      </c>
      <c r="D2359" s="49"/>
      <c r="E2359" s="49"/>
      <c r="F2359" s="49"/>
      <c r="G2359" s="49"/>
      <c r="H2359" s="49"/>
      <c r="I2359" s="49"/>
    </row>
    <row r="2360" ht="15.75" customHeight="1" spans="1:9">
      <c r="A2360" s="49"/>
      <c r="B2360" s="36" t="s">
        <v>3729</v>
      </c>
      <c r="C2360" s="36" t="s">
        <v>3844</v>
      </c>
      <c r="D2360" s="49"/>
      <c r="E2360" s="49"/>
      <c r="F2360" s="49"/>
      <c r="G2360" s="49"/>
      <c r="H2360" s="49"/>
      <c r="I2360" s="49"/>
    </row>
    <row r="2361" ht="15.75" customHeight="1" spans="1:9">
      <c r="A2361" s="49"/>
      <c r="B2361" s="36" t="s">
        <v>3729</v>
      </c>
      <c r="C2361" s="36" t="s">
        <v>3845</v>
      </c>
      <c r="D2361" s="49"/>
      <c r="E2361" s="49"/>
      <c r="F2361" s="49"/>
      <c r="G2361" s="49"/>
      <c r="H2361" s="49"/>
      <c r="I2361" s="49"/>
    </row>
    <row r="2362" ht="15.75" customHeight="1" spans="1:9">
      <c r="A2362" s="49"/>
      <c r="B2362" s="36" t="s">
        <v>3729</v>
      </c>
      <c r="C2362" s="36" t="s">
        <v>3846</v>
      </c>
      <c r="D2362" s="49"/>
      <c r="E2362" s="49"/>
      <c r="F2362" s="49"/>
      <c r="G2362" s="49"/>
      <c r="H2362" s="49"/>
      <c r="I2362" s="49"/>
    </row>
    <row r="2363" ht="15.75" customHeight="1" spans="1:9">
      <c r="A2363" s="49"/>
      <c r="B2363" s="36" t="s">
        <v>3729</v>
      </c>
      <c r="C2363" s="36" t="s">
        <v>3847</v>
      </c>
      <c r="D2363" s="49"/>
      <c r="E2363" s="49"/>
      <c r="F2363" s="49"/>
      <c r="G2363" s="49"/>
      <c r="H2363" s="49"/>
      <c r="I2363" s="49"/>
    </row>
    <row r="2364" ht="15.75" customHeight="1" spans="1:9">
      <c r="A2364" s="49"/>
      <c r="B2364" s="36" t="s">
        <v>3729</v>
      </c>
      <c r="C2364" s="36" t="s">
        <v>3848</v>
      </c>
      <c r="D2364" s="49"/>
      <c r="E2364" s="49"/>
      <c r="F2364" s="49"/>
      <c r="G2364" s="49"/>
      <c r="H2364" s="49"/>
      <c r="I2364" s="49"/>
    </row>
    <row r="2365" ht="15.75" customHeight="1" spans="1:9">
      <c r="A2365" s="49"/>
      <c r="B2365" s="36" t="s">
        <v>3729</v>
      </c>
      <c r="C2365" s="36" t="s">
        <v>3849</v>
      </c>
      <c r="D2365" s="49"/>
      <c r="E2365" s="49"/>
      <c r="F2365" s="49"/>
      <c r="G2365" s="49"/>
      <c r="H2365" s="49"/>
      <c r="I2365" s="49"/>
    </row>
    <row r="2366" ht="15.75" customHeight="1" spans="1:9">
      <c r="A2366" s="49"/>
      <c r="B2366" s="36" t="s">
        <v>3729</v>
      </c>
      <c r="C2366" s="36" t="s">
        <v>3850</v>
      </c>
      <c r="D2366" s="49"/>
      <c r="E2366" s="49"/>
      <c r="F2366" s="49"/>
      <c r="G2366" s="49"/>
      <c r="H2366" s="49"/>
      <c r="I2366" s="49"/>
    </row>
    <row r="2367" ht="15.75" customHeight="1" spans="1:9">
      <c r="A2367" s="49"/>
      <c r="B2367" s="36" t="s">
        <v>3729</v>
      </c>
      <c r="C2367" s="36" t="s">
        <v>3851</v>
      </c>
      <c r="D2367" s="49"/>
      <c r="E2367" s="49"/>
      <c r="F2367" s="49"/>
      <c r="G2367" s="49"/>
      <c r="H2367" s="49"/>
      <c r="I2367" s="49"/>
    </row>
    <row r="2368" ht="15.75" customHeight="1" spans="1:9">
      <c r="A2368" s="49"/>
      <c r="B2368" s="36" t="s">
        <v>3729</v>
      </c>
      <c r="C2368" s="36" t="s">
        <v>3852</v>
      </c>
      <c r="D2368" s="49"/>
      <c r="E2368" s="49"/>
      <c r="F2368" s="49"/>
      <c r="G2368" s="49"/>
      <c r="H2368" s="49"/>
      <c r="I2368" s="49"/>
    </row>
    <row r="2369" ht="15.75" customHeight="1" spans="1:9">
      <c r="A2369" s="49"/>
      <c r="B2369" s="36" t="s">
        <v>3729</v>
      </c>
      <c r="C2369" s="36" t="s">
        <v>3853</v>
      </c>
      <c r="D2369" s="49"/>
      <c r="E2369" s="49"/>
      <c r="F2369" s="49"/>
      <c r="G2369" s="49"/>
      <c r="H2369" s="49"/>
      <c r="I2369" s="49"/>
    </row>
    <row r="2370" ht="15.75" customHeight="1" spans="1:9">
      <c r="A2370" s="49"/>
      <c r="B2370" s="36" t="s">
        <v>3729</v>
      </c>
      <c r="C2370" s="36" t="s">
        <v>3854</v>
      </c>
      <c r="D2370" s="49"/>
      <c r="E2370" s="49"/>
      <c r="F2370" s="49"/>
      <c r="G2370" s="49"/>
      <c r="H2370" s="49"/>
      <c r="I2370" s="49"/>
    </row>
    <row r="2371" ht="15.75" customHeight="1" spans="1:9">
      <c r="A2371" s="49"/>
      <c r="B2371" s="36" t="s">
        <v>3729</v>
      </c>
      <c r="C2371" s="36" t="s">
        <v>3855</v>
      </c>
      <c r="D2371" s="49"/>
      <c r="E2371" s="49"/>
      <c r="F2371" s="49"/>
      <c r="G2371" s="49"/>
      <c r="H2371" s="49"/>
      <c r="I2371" s="49"/>
    </row>
    <row r="2372" ht="15.75" customHeight="1" spans="1:9">
      <c r="A2372" s="49"/>
      <c r="B2372" s="36" t="s">
        <v>3729</v>
      </c>
      <c r="C2372" s="36" t="s">
        <v>3856</v>
      </c>
      <c r="D2372" s="49"/>
      <c r="E2372" s="49"/>
      <c r="F2372" s="49"/>
      <c r="G2372" s="49"/>
      <c r="H2372" s="49"/>
      <c r="I2372" s="49"/>
    </row>
    <row r="2373" ht="15.75" customHeight="1" spans="1:9">
      <c r="A2373" s="49"/>
      <c r="B2373" s="36" t="s">
        <v>3729</v>
      </c>
      <c r="C2373" s="36" t="s">
        <v>3857</v>
      </c>
      <c r="D2373" s="49"/>
      <c r="E2373" s="49"/>
      <c r="F2373" s="49"/>
      <c r="G2373" s="49"/>
      <c r="H2373" s="49"/>
      <c r="I2373" s="49"/>
    </row>
    <row r="2374" ht="15.75" customHeight="1" spans="1:9">
      <c r="A2374" s="49"/>
      <c r="B2374" s="36" t="s">
        <v>3729</v>
      </c>
      <c r="C2374" s="36" t="s">
        <v>3858</v>
      </c>
      <c r="D2374" s="49"/>
      <c r="E2374" s="49"/>
      <c r="F2374" s="49"/>
      <c r="G2374" s="49"/>
      <c r="H2374" s="49"/>
      <c r="I2374" s="49"/>
    </row>
    <row r="2375" ht="15.75" customHeight="1" spans="1:9">
      <c r="A2375" s="49"/>
      <c r="B2375" s="36" t="s">
        <v>3729</v>
      </c>
      <c r="C2375" s="36" t="s">
        <v>3859</v>
      </c>
      <c r="D2375" s="49"/>
      <c r="E2375" s="49"/>
      <c r="F2375" s="49"/>
      <c r="G2375" s="49"/>
      <c r="H2375" s="49"/>
      <c r="I2375" s="49"/>
    </row>
    <row r="2376" ht="15.75" customHeight="1" spans="1:9">
      <c r="A2376" s="49"/>
      <c r="B2376" s="36" t="s">
        <v>3729</v>
      </c>
      <c r="C2376" s="36" t="s">
        <v>3860</v>
      </c>
      <c r="D2376" s="49"/>
      <c r="E2376" s="49"/>
      <c r="F2376" s="49"/>
      <c r="G2376" s="49"/>
      <c r="H2376" s="49"/>
      <c r="I2376" s="49"/>
    </row>
    <row r="2377" ht="15.75" customHeight="1" spans="1:9">
      <c r="A2377" s="49"/>
      <c r="B2377" s="36" t="s">
        <v>3729</v>
      </c>
      <c r="C2377" s="36" t="s">
        <v>3861</v>
      </c>
      <c r="D2377" s="49"/>
      <c r="E2377" s="49"/>
      <c r="F2377" s="49"/>
      <c r="G2377" s="49"/>
      <c r="H2377" s="49"/>
      <c r="I2377" s="49"/>
    </row>
    <row r="2378" ht="15.75" customHeight="1" spans="1:9">
      <c r="A2378" s="49"/>
      <c r="B2378" s="36" t="s">
        <v>3729</v>
      </c>
      <c r="C2378" s="36" t="s">
        <v>3862</v>
      </c>
      <c r="D2378" s="49"/>
      <c r="E2378" s="49"/>
      <c r="F2378" s="49"/>
      <c r="G2378" s="49"/>
      <c r="H2378" s="49"/>
      <c r="I2378" s="49"/>
    </row>
    <row r="2379" ht="15.75" customHeight="1" spans="1:9">
      <c r="A2379" s="49"/>
      <c r="B2379" s="36" t="s">
        <v>3729</v>
      </c>
      <c r="C2379" s="36" t="s">
        <v>3863</v>
      </c>
      <c r="D2379" s="49"/>
      <c r="E2379" s="49"/>
      <c r="F2379" s="49"/>
      <c r="G2379" s="49"/>
      <c r="H2379" s="49"/>
      <c r="I2379" s="49"/>
    </row>
    <row r="2380" ht="15.75" customHeight="1" spans="1:9">
      <c r="A2380" s="49"/>
      <c r="B2380" s="36" t="s">
        <v>3729</v>
      </c>
      <c r="C2380" s="36" t="s">
        <v>3864</v>
      </c>
      <c r="D2380" s="49"/>
      <c r="E2380" s="49"/>
      <c r="F2380" s="49"/>
      <c r="G2380" s="49"/>
      <c r="H2380" s="49"/>
      <c r="I2380" s="49"/>
    </row>
    <row r="2381" ht="15.75" customHeight="1" spans="1:9">
      <c r="A2381" s="49"/>
      <c r="B2381" s="36" t="s">
        <v>3865</v>
      </c>
      <c r="C2381" s="36" t="s">
        <v>3866</v>
      </c>
      <c r="D2381" s="49"/>
      <c r="E2381" s="49"/>
      <c r="F2381" s="49"/>
      <c r="G2381" s="49"/>
      <c r="H2381" s="49"/>
      <c r="I2381" s="49"/>
    </row>
    <row r="2382" ht="15.75" customHeight="1" spans="1:9">
      <c r="A2382" s="49"/>
      <c r="B2382" s="36" t="s">
        <v>3865</v>
      </c>
      <c r="C2382" s="36" t="s">
        <v>22</v>
      </c>
      <c r="D2382" s="49"/>
      <c r="E2382" s="49"/>
      <c r="F2382" s="49"/>
      <c r="G2382" s="49"/>
      <c r="H2382" s="49"/>
      <c r="I2382" s="49"/>
    </row>
    <row r="2383" ht="15.75" customHeight="1" spans="1:9">
      <c r="A2383" s="49"/>
      <c r="B2383" s="36" t="s">
        <v>3865</v>
      </c>
      <c r="C2383" s="36" t="s">
        <v>3867</v>
      </c>
      <c r="D2383" s="49"/>
      <c r="E2383" s="49"/>
      <c r="F2383" s="49"/>
      <c r="G2383" s="49"/>
      <c r="H2383" s="49"/>
      <c r="I2383" s="49"/>
    </row>
    <row r="2384" ht="15.75" customHeight="1" spans="1:9">
      <c r="A2384" s="49"/>
      <c r="B2384" s="36" t="s">
        <v>3865</v>
      </c>
      <c r="C2384" s="36" t="s">
        <v>3868</v>
      </c>
      <c r="D2384" s="49"/>
      <c r="E2384" s="49"/>
      <c r="F2384" s="49"/>
      <c r="G2384" s="49"/>
      <c r="H2384" s="49"/>
      <c r="I2384" s="49"/>
    </row>
    <row r="2385" ht="15.75" customHeight="1" spans="1:9">
      <c r="A2385" s="49"/>
      <c r="B2385" s="36" t="s">
        <v>3865</v>
      </c>
      <c r="C2385" s="36" t="s">
        <v>3869</v>
      </c>
      <c r="D2385" s="49"/>
      <c r="E2385" s="49"/>
      <c r="F2385" s="49"/>
      <c r="G2385" s="49"/>
      <c r="H2385" s="49"/>
      <c r="I2385" s="49"/>
    </row>
    <row r="2386" ht="15.75" customHeight="1" spans="1:9">
      <c r="A2386" s="49"/>
      <c r="B2386" s="36" t="s">
        <v>3865</v>
      </c>
      <c r="C2386" s="36" t="s">
        <v>3870</v>
      </c>
      <c r="D2386" s="49"/>
      <c r="E2386" s="49"/>
      <c r="F2386" s="49"/>
      <c r="G2386" s="49"/>
      <c r="H2386" s="49"/>
      <c r="I2386" s="49"/>
    </row>
    <row r="2387" ht="15.75" customHeight="1" spans="1:9">
      <c r="A2387" s="49"/>
      <c r="B2387" s="36" t="s">
        <v>3865</v>
      </c>
      <c r="C2387" s="36" t="s">
        <v>3871</v>
      </c>
      <c r="D2387" s="49"/>
      <c r="E2387" s="49"/>
      <c r="F2387" s="49"/>
      <c r="G2387" s="49"/>
      <c r="H2387" s="49"/>
      <c r="I2387" s="49"/>
    </row>
    <row r="2388" ht="15.75" customHeight="1" spans="1:9">
      <c r="A2388" s="49"/>
      <c r="B2388" s="36" t="s">
        <v>3865</v>
      </c>
      <c r="C2388" s="36" t="s">
        <v>3865</v>
      </c>
      <c r="D2388" s="49"/>
      <c r="E2388" s="49"/>
      <c r="F2388" s="49"/>
      <c r="G2388" s="49"/>
      <c r="H2388" s="49"/>
      <c r="I2388" s="49"/>
    </row>
    <row r="2389" ht="15.75" customHeight="1" spans="1:9">
      <c r="A2389" s="49"/>
      <c r="B2389" s="36" t="s">
        <v>3865</v>
      </c>
      <c r="C2389" s="36" t="s">
        <v>3872</v>
      </c>
      <c r="D2389" s="49"/>
      <c r="E2389" s="49"/>
      <c r="F2389" s="49"/>
      <c r="G2389" s="49"/>
      <c r="H2389" s="49"/>
      <c r="I2389" s="49"/>
    </row>
    <row r="2390" ht="15.75" customHeight="1" spans="1:9">
      <c r="A2390" s="49"/>
      <c r="B2390" s="36" t="s">
        <v>3865</v>
      </c>
      <c r="C2390" s="36" t="s">
        <v>3873</v>
      </c>
      <c r="D2390" s="49"/>
      <c r="E2390" s="49"/>
      <c r="F2390" s="49"/>
      <c r="G2390" s="49"/>
      <c r="H2390" s="49"/>
      <c r="I2390" s="49"/>
    </row>
    <row r="2391" ht="15.75" customHeight="1" spans="1:9">
      <c r="A2391" s="49"/>
      <c r="B2391" s="36" t="s">
        <v>3865</v>
      </c>
      <c r="C2391" s="36" t="s">
        <v>3874</v>
      </c>
      <c r="D2391" s="49"/>
      <c r="E2391" s="49"/>
      <c r="F2391" s="49"/>
      <c r="G2391" s="49"/>
      <c r="H2391" s="49"/>
      <c r="I2391" s="49"/>
    </row>
    <row r="2392" ht="15.75" customHeight="1" spans="1:9">
      <c r="A2392" s="49"/>
      <c r="B2392" s="36" t="s">
        <v>3865</v>
      </c>
      <c r="C2392" s="36" t="s">
        <v>3875</v>
      </c>
      <c r="D2392" s="49"/>
      <c r="E2392" s="49"/>
      <c r="F2392" s="49"/>
      <c r="G2392" s="49"/>
      <c r="H2392" s="49"/>
      <c r="I2392" s="49"/>
    </row>
    <row r="2393" ht="15.75" customHeight="1" spans="1:9">
      <c r="A2393" s="49"/>
      <c r="B2393" s="36" t="s">
        <v>3865</v>
      </c>
      <c r="C2393" s="36" t="s">
        <v>3876</v>
      </c>
      <c r="D2393" s="49"/>
      <c r="E2393" s="49"/>
      <c r="F2393" s="49"/>
      <c r="G2393" s="49"/>
      <c r="H2393" s="49"/>
      <c r="I2393" s="49"/>
    </row>
    <row r="2394" ht="15.75" customHeight="1" spans="1:9">
      <c r="A2394" s="49"/>
      <c r="B2394" s="36" t="s">
        <v>3865</v>
      </c>
      <c r="C2394" s="36" t="s">
        <v>3877</v>
      </c>
      <c r="D2394" s="49"/>
      <c r="E2394" s="49"/>
      <c r="F2394" s="49"/>
      <c r="G2394" s="49"/>
      <c r="H2394" s="49"/>
      <c r="I2394" s="49"/>
    </row>
    <row r="2395" ht="15.75" customHeight="1" spans="1:9">
      <c r="A2395" s="49"/>
      <c r="B2395" s="36" t="s">
        <v>3865</v>
      </c>
      <c r="C2395" s="36" t="s">
        <v>3878</v>
      </c>
      <c r="D2395" s="49"/>
      <c r="E2395" s="49"/>
      <c r="F2395" s="49"/>
      <c r="G2395" s="49"/>
      <c r="H2395" s="49"/>
      <c r="I2395" s="49"/>
    </row>
    <row r="2396" ht="15.75" customHeight="1" spans="1:9">
      <c r="A2396" s="49"/>
      <c r="B2396" s="36" t="s">
        <v>3865</v>
      </c>
      <c r="C2396" s="36" t="s">
        <v>3879</v>
      </c>
      <c r="D2396" s="49"/>
      <c r="E2396" s="49"/>
      <c r="F2396" s="49"/>
      <c r="G2396" s="49"/>
      <c r="H2396" s="49"/>
      <c r="I2396" s="49"/>
    </row>
    <row r="2397" ht="15.75" customHeight="1" spans="1:9">
      <c r="A2397" s="49"/>
      <c r="B2397" s="36" t="s">
        <v>3865</v>
      </c>
      <c r="C2397" s="36" t="s">
        <v>3880</v>
      </c>
      <c r="D2397" s="49"/>
      <c r="E2397" s="49"/>
      <c r="F2397" s="49"/>
      <c r="G2397" s="49"/>
      <c r="H2397" s="49"/>
      <c r="I2397" s="49"/>
    </row>
    <row r="2398" ht="15.75" customHeight="1" spans="1:9">
      <c r="A2398" s="49"/>
      <c r="B2398" s="36" t="s">
        <v>3865</v>
      </c>
      <c r="C2398" s="36" t="s">
        <v>3881</v>
      </c>
      <c r="D2398" s="49"/>
      <c r="E2398" s="49"/>
      <c r="F2398" s="49"/>
      <c r="G2398" s="49"/>
      <c r="H2398" s="49"/>
      <c r="I2398" s="49"/>
    </row>
    <row r="2399" ht="15.75" customHeight="1" spans="1:9">
      <c r="A2399" s="49"/>
      <c r="B2399" s="36" t="s">
        <v>3865</v>
      </c>
      <c r="C2399" s="36" t="s">
        <v>3882</v>
      </c>
      <c r="D2399" s="49"/>
      <c r="E2399" s="49"/>
      <c r="F2399" s="49"/>
      <c r="G2399" s="49"/>
      <c r="H2399" s="49"/>
      <c r="I2399" s="49"/>
    </row>
    <row r="2400" ht="15.75" customHeight="1" spans="1:9">
      <c r="A2400" s="49"/>
      <c r="B2400" s="36" t="s">
        <v>3865</v>
      </c>
      <c r="C2400" s="36" t="s">
        <v>3883</v>
      </c>
      <c r="D2400" s="49"/>
      <c r="E2400" s="49"/>
      <c r="F2400" s="49"/>
      <c r="G2400" s="49"/>
      <c r="H2400" s="49"/>
      <c r="I2400" s="49"/>
    </row>
    <row r="2401" ht="15.75" customHeight="1" spans="1:9">
      <c r="A2401" s="49"/>
      <c r="B2401" s="36" t="s">
        <v>3865</v>
      </c>
      <c r="C2401" s="36" t="s">
        <v>3884</v>
      </c>
      <c r="D2401" s="49"/>
      <c r="E2401" s="49"/>
      <c r="F2401" s="49"/>
      <c r="G2401" s="49"/>
      <c r="H2401" s="49"/>
      <c r="I2401" s="49"/>
    </row>
    <row r="2402" ht="15.75" customHeight="1" spans="1:9">
      <c r="A2402" s="49"/>
      <c r="B2402" s="36" t="s">
        <v>3865</v>
      </c>
      <c r="C2402" s="36" t="s">
        <v>3885</v>
      </c>
      <c r="D2402" s="49"/>
      <c r="E2402" s="49"/>
      <c r="F2402" s="49"/>
      <c r="G2402" s="49"/>
      <c r="H2402" s="49"/>
      <c r="I2402" s="49"/>
    </row>
    <row r="2403" ht="15.75" customHeight="1" spans="1:9">
      <c r="A2403" s="49"/>
      <c r="B2403" s="36" t="s">
        <v>3865</v>
      </c>
      <c r="C2403" s="36" t="s">
        <v>3886</v>
      </c>
      <c r="D2403" s="49"/>
      <c r="E2403" s="49"/>
      <c r="F2403" s="49"/>
      <c r="G2403" s="49"/>
      <c r="H2403" s="49"/>
      <c r="I2403" s="49"/>
    </row>
    <row r="2404" ht="15.75" customHeight="1" spans="1:9">
      <c r="A2404" s="49"/>
      <c r="B2404" s="36" t="s">
        <v>3865</v>
      </c>
      <c r="C2404" s="36" t="s">
        <v>3887</v>
      </c>
      <c r="D2404" s="49"/>
      <c r="E2404" s="49"/>
      <c r="F2404" s="49"/>
      <c r="G2404" s="49"/>
      <c r="H2404" s="49"/>
      <c r="I2404" s="49"/>
    </row>
    <row r="2405" ht="15.75" customHeight="1" spans="1:9">
      <c r="A2405" s="49"/>
      <c r="B2405" s="36" t="s">
        <v>3865</v>
      </c>
      <c r="C2405" s="36" t="s">
        <v>3888</v>
      </c>
      <c r="D2405" s="49"/>
      <c r="E2405" s="49"/>
      <c r="F2405" s="49"/>
      <c r="G2405" s="49"/>
      <c r="H2405" s="49"/>
      <c r="I2405" s="49"/>
    </row>
    <row r="2406" ht="15.75" customHeight="1" spans="1:9">
      <c r="A2406" s="49"/>
      <c r="B2406" s="36" t="s">
        <v>3865</v>
      </c>
      <c r="C2406" s="36" t="s">
        <v>3889</v>
      </c>
      <c r="D2406" s="49"/>
      <c r="E2406" s="49"/>
      <c r="F2406" s="49"/>
      <c r="G2406" s="49"/>
      <c r="H2406" s="49"/>
      <c r="I2406" s="49"/>
    </row>
    <row r="2407" ht="15.75" customHeight="1" spans="1:9">
      <c r="A2407" s="49"/>
      <c r="B2407" s="36" t="s">
        <v>3865</v>
      </c>
      <c r="C2407" s="36" t="s">
        <v>3890</v>
      </c>
      <c r="D2407" s="49"/>
      <c r="E2407" s="49"/>
      <c r="F2407" s="49"/>
      <c r="G2407" s="49"/>
      <c r="H2407" s="49"/>
      <c r="I2407" s="49"/>
    </row>
    <row r="2408" ht="15.75" customHeight="1" spans="1:9">
      <c r="A2408" s="49"/>
      <c r="B2408" s="36" t="s">
        <v>3865</v>
      </c>
      <c r="C2408" s="36" t="s">
        <v>3891</v>
      </c>
      <c r="D2408" s="49"/>
      <c r="E2408" s="49"/>
      <c r="F2408" s="49"/>
      <c r="G2408" s="49"/>
      <c r="H2408" s="49"/>
      <c r="I2408" s="49"/>
    </row>
    <row r="2409" ht="15.75" customHeight="1" spans="1:9">
      <c r="A2409" s="49"/>
      <c r="B2409" s="36" t="s">
        <v>3865</v>
      </c>
      <c r="C2409" s="36" t="s">
        <v>3892</v>
      </c>
      <c r="D2409" s="49"/>
      <c r="E2409" s="49"/>
      <c r="F2409" s="49"/>
      <c r="G2409" s="49"/>
      <c r="H2409" s="49"/>
      <c r="I2409" s="49"/>
    </row>
    <row r="2410" ht="15.75" customHeight="1" spans="1:9">
      <c r="A2410" s="49"/>
      <c r="B2410" s="36" t="s">
        <v>3865</v>
      </c>
      <c r="C2410" s="36" t="s">
        <v>3893</v>
      </c>
      <c r="D2410" s="49"/>
      <c r="E2410" s="49"/>
      <c r="F2410" s="49"/>
      <c r="G2410" s="49"/>
      <c r="H2410" s="49"/>
      <c r="I2410" s="49"/>
    </row>
    <row r="2411" ht="15.75" customHeight="1" spans="1:9">
      <c r="A2411" s="49"/>
      <c r="B2411" s="36" t="s">
        <v>3865</v>
      </c>
      <c r="C2411" s="36" t="s">
        <v>3894</v>
      </c>
      <c r="D2411" s="49"/>
      <c r="E2411" s="49"/>
      <c r="F2411" s="49"/>
      <c r="G2411" s="49"/>
      <c r="H2411" s="49"/>
      <c r="I2411" s="49"/>
    </row>
    <row r="2412" ht="15.75" customHeight="1" spans="1:9">
      <c r="A2412" s="49"/>
      <c r="B2412" s="36" t="s">
        <v>3865</v>
      </c>
      <c r="C2412" s="36" t="s">
        <v>3895</v>
      </c>
      <c r="D2412" s="49"/>
      <c r="E2412" s="49"/>
      <c r="F2412" s="49"/>
      <c r="G2412" s="49"/>
      <c r="H2412" s="49"/>
      <c r="I2412" s="49"/>
    </row>
    <row r="2413" ht="15.75" customHeight="1" spans="1:9">
      <c r="A2413" s="49"/>
      <c r="B2413" s="36" t="s">
        <v>3865</v>
      </c>
      <c r="C2413" s="36" t="s">
        <v>3896</v>
      </c>
      <c r="D2413" s="49"/>
      <c r="E2413" s="49"/>
      <c r="F2413" s="49"/>
      <c r="G2413" s="49"/>
      <c r="H2413" s="49"/>
      <c r="I2413" s="49"/>
    </row>
    <row r="2414" ht="15.75" customHeight="1" spans="1:9">
      <c r="A2414" s="49"/>
      <c r="B2414" s="36" t="s">
        <v>3865</v>
      </c>
      <c r="C2414" s="36" t="s">
        <v>3897</v>
      </c>
      <c r="D2414" s="49"/>
      <c r="E2414" s="49"/>
      <c r="F2414" s="49"/>
      <c r="G2414" s="49"/>
      <c r="H2414" s="49"/>
      <c r="I2414" s="49"/>
    </row>
    <row r="2415" ht="15.75" customHeight="1" spans="1:9">
      <c r="A2415" s="49"/>
      <c r="B2415" s="36" t="s">
        <v>3865</v>
      </c>
      <c r="C2415" s="36" t="s">
        <v>3898</v>
      </c>
      <c r="D2415" s="49"/>
      <c r="E2415" s="49"/>
      <c r="F2415" s="49"/>
      <c r="G2415" s="49"/>
      <c r="H2415" s="49"/>
      <c r="I2415" s="49"/>
    </row>
    <row r="2416" ht="15.75" customHeight="1" spans="1:9">
      <c r="A2416" s="49"/>
      <c r="B2416" s="36" t="s">
        <v>3865</v>
      </c>
      <c r="C2416" s="36" t="s">
        <v>3899</v>
      </c>
      <c r="D2416" s="49"/>
      <c r="E2416" s="49"/>
      <c r="F2416" s="49"/>
      <c r="G2416" s="49"/>
      <c r="H2416" s="49"/>
      <c r="I2416" s="49"/>
    </row>
    <row r="2417" ht="15.75" customHeight="1" spans="1:9">
      <c r="A2417" s="49"/>
      <c r="B2417" s="36" t="s">
        <v>3865</v>
      </c>
      <c r="C2417" s="36" t="s">
        <v>3900</v>
      </c>
      <c r="D2417" s="49"/>
      <c r="E2417" s="49"/>
      <c r="F2417" s="49"/>
      <c r="G2417" s="49"/>
      <c r="H2417" s="49"/>
      <c r="I2417" s="49"/>
    </row>
    <row r="2418" ht="15.75" customHeight="1" spans="1:9">
      <c r="A2418" s="49"/>
      <c r="B2418" s="36" t="s">
        <v>3865</v>
      </c>
      <c r="C2418" s="36" t="s">
        <v>3871</v>
      </c>
      <c r="D2418" s="49"/>
      <c r="E2418" s="49"/>
      <c r="F2418" s="49"/>
      <c r="G2418" s="49"/>
      <c r="H2418" s="49"/>
      <c r="I2418" s="49"/>
    </row>
    <row r="2419" ht="15.75" customHeight="1" spans="1:9">
      <c r="A2419" s="49"/>
      <c r="B2419" s="36" t="s">
        <v>3865</v>
      </c>
      <c r="C2419" s="36" t="s">
        <v>3901</v>
      </c>
      <c r="D2419" s="49"/>
      <c r="E2419" s="49"/>
      <c r="F2419" s="49"/>
      <c r="G2419" s="49"/>
      <c r="H2419" s="49"/>
      <c r="I2419" s="49"/>
    </row>
    <row r="2420" ht="15.75" customHeight="1" spans="1:9">
      <c r="A2420" s="49"/>
      <c r="B2420" s="36" t="s">
        <v>3865</v>
      </c>
      <c r="C2420" s="36" t="s">
        <v>3869</v>
      </c>
      <c r="D2420" s="49"/>
      <c r="E2420" s="49"/>
      <c r="F2420" s="49"/>
      <c r="G2420" s="49"/>
      <c r="H2420" s="49"/>
      <c r="I2420" s="49"/>
    </row>
    <row r="2421" ht="15.75" customHeight="1" spans="1:9">
      <c r="A2421" s="49"/>
      <c r="B2421" s="36" t="s">
        <v>3865</v>
      </c>
      <c r="C2421" s="36" t="s">
        <v>22</v>
      </c>
      <c r="D2421" s="49"/>
      <c r="E2421" s="49"/>
      <c r="F2421" s="49"/>
      <c r="G2421" s="49"/>
      <c r="H2421" s="49"/>
      <c r="I2421" s="49"/>
    </row>
    <row r="2422" ht="15.75" customHeight="1" spans="1:9">
      <c r="A2422" s="49"/>
      <c r="B2422" s="36" t="s">
        <v>3865</v>
      </c>
      <c r="C2422" s="36" t="s">
        <v>3876</v>
      </c>
      <c r="D2422" s="49"/>
      <c r="E2422" s="49"/>
      <c r="F2422" s="49"/>
      <c r="G2422" s="49"/>
      <c r="H2422" s="49"/>
      <c r="I2422" s="49"/>
    </row>
    <row r="2423" ht="15.75" customHeight="1" spans="1:9">
      <c r="A2423" s="49"/>
      <c r="B2423" s="36" t="s">
        <v>3865</v>
      </c>
      <c r="C2423" s="36" t="s">
        <v>3902</v>
      </c>
      <c r="D2423" s="49"/>
      <c r="E2423" s="49"/>
      <c r="F2423" s="49"/>
      <c r="G2423" s="49"/>
      <c r="H2423" s="49"/>
      <c r="I2423" s="49"/>
    </row>
    <row r="2424" ht="15.75" customHeight="1" spans="1:9">
      <c r="A2424" s="49"/>
      <c r="B2424" s="36" t="s">
        <v>3865</v>
      </c>
      <c r="C2424" s="36" t="s">
        <v>3872</v>
      </c>
      <c r="D2424" s="49"/>
      <c r="E2424" s="49"/>
      <c r="F2424" s="49"/>
      <c r="G2424" s="49"/>
      <c r="H2424" s="49"/>
      <c r="I2424" s="49"/>
    </row>
    <row r="2425" ht="15.75" customHeight="1" spans="1:9">
      <c r="A2425" s="49"/>
      <c r="B2425" s="36" t="s">
        <v>3865</v>
      </c>
      <c r="C2425" s="36" t="s">
        <v>3903</v>
      </c>
      <c r="D2425" s="49"/>
      <c r="E2425" s="49"/>
      <c r="F2425" s="49"/>
      <c r="G2425" s="49"/>
      <c r="H2425" s="49"/>
      <c r="I2425" s="49"/>
    </row>
    <row r="2426" ht="15.75" customHeight="1" spans="1:9">
      <c r="A2426" s="49"/>
      <c r="B2426" s="36" t="s">
        <v>3865</v>
      </c>
      <c r="C2426" s="36" t="s">
        <v>3904</v>
      </c>
      <c r="D2426" s="49"/>
      <c r="E2426" s="49"/>
      <c r="F2426" s="49"/>
      <c r="G2426" s="49"/>
      <c r="H2426" s="49"/>
      <c r="I2426" s="49"/>
    </row>
    <row r="2427" ht="15.75" customHeight="1" spans="1:9">
      <c r="A2427" s="49"/>
      <c r="B2427" s="36" t="s">
        <v>3865</v>
      </c>
      <c r="C2427" s="36" t="s">
        <v>3889</v>
      </c>
      <c r="D2427" s="49"/>
      <c r="E2427" s="49"/>
      <c r="F2427" s="49"/>
      <c r="G2427" s="49"/>
      <c r="H2427" s="49"/>
      <c r="I2427" s="49"/>
    </row>
    <row r="2428" ht="15.75" customHeight="1" spans="1:9">
      <c r="A2428" s="49"/>
      <c r="B2428" s="36" t="s">
        <v>3865</v>
      </c>
      <c r="C2428" s="36" t="s">
        <v>3905</v>
      </c>
      <c r="D2428" s="49"/>
      <c r="E2428" s="49"/>
      <c r="F2428" s="49"/>
      <c r="G2428" s="49"/>
      <c r="H2428" s="49"/>
      <c r="I2428" s="49"/>
    </row>
    <row r="2429" ht="15.75" customHeight="1" spans="1:9">
      <c r="A2429" s="49"/>
      <c r="B2429" s="36" t="s">
        <v>3865</v>
      </c>
      <c r="C2429" s="36" t="s">
        <v>3906</v>
      </c>
      <c r="D2429" s="49"/>
      <c r="E2429" s="49"/>
      <c r="F2429" s="49"/>
      <c r="G2429" s="49"/>
      <c r="H2429" s="49"/>
      <c r="I2429" s="49"/>
    </row>
    <row r="2430" ht="15.75" customHeight="1" spans="1:9">
      <c r="A2430" s="49"/>
      <c r="B2430" s="36" t="s">
        <v>3865</v>
      </c>
      <c r="C2430" s="36" t="s">
        <v>3907</v>
      </c>
      <c r="D2430" s="49"/>
      <c r="E2430" s="49"/>
      <c r="F2430" s="49"/>
      <c r="G2430" s="49"/>
      <c r="H2430" s="49"/>
      <c r="I2430" s="49"/>
    </row>
    <row r="2431" ht="15.75" customHeight="1" spans="1:9">
      <c r="A2431" s="49"/>
      <c r="B2431" s="36" t="s">
        <v>3865</v>
      </c>
      <c r="C2431" s="36" t="s">
        <v>3908</v>
      </c>
      <c r="D2431" s="49"/>
      <c r="E2431" s="49"/>
      <c r="F2431" s="49"/>
      <c r="G2431" s="49"/>
      <c r="H2431" s="49"/>
      <c r="I2431" s="49"/>
    </row>
    <row r="2432" ht="15.75" customHeight="1" spans="1:9">
      <c r="A2432" s="49"/>
      <c r="B2432" s="36" t="s">
        <v>3865</v>
      </c>
      <c r="C2432" s="36" t="s">
        <v>3870</v>
      </c>
      <c r="D2432" s="49"/>
      <c r="E2432" s="49"/>
      <c r="F2432" s="49"/>
      <c r="G2432" s="49"/>
      <c r="H2432" s="49"/>
      <c r="I2432" s="49"/>
    </row>
    <row r="2433" ht="15.75" customHeight="1" spans="1:9">
      <c r="A2433" s="49"/>
      <c r="B2433" s="36" t="s">
        <v>3865</v>
      </c>
      <c r="C2433" s="36" t="s">
        <v>3874</v>
      </c>
      <c r="D2433" s="49"/>
      <c r="E2433" s="49"/>
      <c r="F2433" s="49"/>
      <c r="G2433" s="49"/>
      <c r="H2433" s="49"/>
      <c r="I2433" s="49"/>
    </row>
    <row r="2434" ht="15.75" customHeight="1" spans="1:9">
      <c r="A2434" s="49"/>
      <c r="B2434" s="36" t="s">
        <v>3865</v>
      </c>
      <c r="C2434" s="36" t="s">
        <v>3909</v>
      </c>
      <c r="D2434" s="49"/>
      <c r="E2434" s="49"/>
      <c r="F2434" s="49"/>
      <c r="G2434" s="49"/>
      <c r="H2434" s="49"/>
      <c r="I2434" s="49"/>
    </row>
    <row r="2435" ht="15.75" customHeight="1" spans="1:9">
      <c r="A2435" s="49"/>
      <c r="B2435" s="36" t="s">
        <v>3865</v>
      </c>
      <c r="C2435" s="36" t="s">
        <v>3910</v>
      </c>
      <c r="D2435" s="49"/>
      <c r="E2435" s="49"/>
      <c r="F2435" s="49"/>
      <c r="G2435" s="49"/>
      <c r="H2435" s="49"/>
      <c r="I2435" s="49"/>
    </row>
    <row r="2436" ht="15.75" customHeight="1" spans="1:9">
      <c r="A2436" s="49"/>
      <c r="B2436" s="36" t="s">
        <v>3865</v>
      </c>
      <c r="C2436" s="36" t="s">
        <v>3911</v>
      </c>
      <c r="D2436" s="49"/>
      <c r="E2436" s="49"/>
      <c r="F2436" s="49"/>
      <c r="G2436" s="49"/>
      <c r="H2436" s="49"/>
      <c r="I2436" s="49"/>
    </row>
    <row r="2437" ht="15.75" customHeight="1" spans="1:9">
      <c r="A2437" s="49"/>
      <c r="B2437" s="36" t="s">
        <v>3865</v>
      </c>
      <c r="C2437" s="36" t="s">
        <v>3912</v>
      </c>
      <c r="D2437" s="49"/>
      <c r="E2437" s="49"/>
      <c r="F2437" s="49"/>
      <c r="G2437" s="49"/>
      <c r="H2437" s="49"/>
      <c r="I2437" s="49"/>
    </row>
    <row r="2438" ht="15.75" customHeight="1" spans="1:9">
      <c r="A2438" s="49"/>
      <c r="B2438" s="36" t="s">
        <v>3865</v>
      </c>
      <c r="C2438" s="36" t="s">
        <v>3913</v>
      </c>
      <c r="D2438" s="49"/>
      <c r="E2438" s="49"/>
      <c r="F2438" s="49"/>
      <c r="G2438" s="49"/>
      <c r="H2438" s="49"/>
      <c r="I2438" s="49"/>
    </row>
    <row r="2439" ht="15.75" customHeight="1" spans="1:9">
      <c r="A2439" s="49"/>
      <c r="B2439" s="36" t="s">
        <v>3865</v>
      </c>
      <c r="C2439" s="36" t="s">
        <v>3914</v>
      </c>
      <c r="D2439" s="49"/>
      <c r="E2439" s="49"/>
      <c r="F2439" s="49"/>
      <c r="G2439" s="49"/>
      <c r="H2439" s="49"/>
      <c r="I2439" s="49"/>
    </row>
    <row r="2440" ht="15.75" customHeight="1" spans="1:9">
      <c r="A2440" s="49"/>
      <c r="B2440" s="36" t="s">
        <v>3865</v>
      </c>
      <c r="C2440" s="36" t="s">
        <v>3915</v>
      </c>
      <c r="D2440" s="49"/>
      <c r="E2440" s="49"/>
      <c r="F2440" s="49"/>
      <c r="G2440" s="49"/>
      <c r="H2440" s="49"/>
      <c r="I2440" s="49"/>
    </row>
    <row r="2441" ht="15.75" customHeight="1" spans="1:9">
      <c r="A2441" s="49"/>
      <c r="B2441" s="36" t="s">
        <v>3865</v>
      </c>
      <c r="C2441" s="36" t="s">
        <v>3916</v>
      </c>
      <c r="D2441" s="49"/>
      <c r="E2441" s="49"/>
      <c r="F2441" s="49"/>
      <c r="G2441" s="49"/>
      <c r="H2441" s="49"/>
      <c r="I2441" s="49"/>
    </row>
    <row r="2442" ht="15.75" customHeight="1" spans="1:9">
      <c r="A2442" s="49"/>
      <c r="B2442" s="36" t="s">
        <v>3865</v>
      </c>
      <c r="C2442" s="36" t="s">
        <v>3917</v>
      </c>
      <c r="D2442" s="49"/>
      <c r="E2442" s="49"/>
      <c r="F2442" s="49"/>
      <c r="G2442" s="49"/>
      <c r="H2442" s="49"/>
      <c r="I2442" s="49"/>
    </row>
    <row r="2443" ht="15.75" customHeight="1" spans="1:9">
      <c r="A2443" s="49"/>
      <c r="B2443" s="36" t="s">
        <v>3865</v>
      </c>
      <c r="C2443" s="36" t="s">
        <v>3918</v>
      </c>
      <c r="D2443" s="49"/>
      <c r="E2443" s="49"/>
      <c r="F2443" s="49"/>
      <c r="G2443" s="49"/>
      <c r="H2443" s="49"/>
      <c r="I2443" s="49"/>
    </row>
    <row r="2444" ht="15.75" customHeight="1" spans="1:9">
      <c r="A2444" s="49"/>
      <c r="B2444" s="36" t="s">
        <v>3865</v>
      </c>
      <c r="C2444" s="36" t="s">
        <v>3919</v>
      </c>
      <c r="D2444" s="49"/>
      <c r="E2444" s="49"/>
      <c r="F2444" s="49"/>
      <c r="G2444" s="49"/>
      <c r="H2444" s="49"/>
      <c r="I2444" s="49"/>
    </row>
    <row r="2445" ht="15.75" customHeight="1" spans="1:9">
      <c r="A2445" s="49"/>
      <c r="B2445" s="36" t="s">
        <v>3865</v>
      </c>
      <c r="C2445" s="36" t="s">
        <v>3920</v>
      </c>
      <c r="D2445" s="49"/>
      <c r="E2445" s="49"/>
      <c r="F2445" s="49"/>
      <c r="G2445" s="49"/>
      <c r="H2445" s="49"/>
      <c r="I2445" s="49"/>
    </row>
    <row r="2446" ht="15.75" customHeight="1" spans="1:9">
      <c r="A2446" s="49"/>
      <c r="B2446" s="36" t="s">
        <v>3865</v>
      </c>
      <c r="C2446" s="36" t="s">
        <v>3921</v>
      </c>
      <c r="D2446" s="49"/>
      <c r="E2446" s="49"/>
      <c r="F2446" s="49"/>
      <c r="G2446" s="49"/>
      <c r="H2446" s="49"/>
      <c r="I2446" s="49"/>
    </row>
    <row r="2447" ht="15.75" customHeight="1" spans="1:9">
      <c r="A2447" s="49"/>
      <c r="B2447" s="36" t="s">
        <v>3865</v>
      </c>
      <c r="C2447" s="36" t="s">
        <v>3922</v>
      </c>
      <c r="D2447" s="49"/>
      <c r="E2447" s="49"/>
      <c r="F2447" s="49"/>
      <c r="G2447" s="49"/>
      <c r="H2447" s="49"/>
      <c r="I2447" s="49"/>
    </row>
    <row r="2448" ht="15.75" customHeight="1" spans="1:9">
      <c r="A2448" s="49"/>
      <c r="B2448" s="36" t="s">
        <v>3865</v>
      </c>
      <c r="C2448" s="36" t="s">
        <v>3923</v>
      </c>
      <c r="D2448" s="49"/>
      <c r="E2448" s="49"/>
      <c r="F2448" s="49"/>
      <c r="G2448" s="49"/>
      <c r="H2448" s="49"/>
      <c r="I2448" s="49"/>
    </row>
    <row r="2449" ht="15.75" customHeight="1" spans="1:9">
      <c r="A2449" s="49"/>
      <c r="B2449" s="36" t="s">
        <v>3865</v>
      </c>
      <c r="C2449" s="36" t="s">
        <v>3924</v>
      </c>
      <c r="D2449" s="49"/>
      <c r="E2449" s="49"/>
      <c r="F2449" s="49"/>
      <c r="G2449" s="49"/>
      <c r="H2449" s="49"/>
      <c r="I2449" s="49"/>
    </row>
    <row r="2450" ht="15.75" customHeight="1" spans="1:9">
      <c r="A2450" s="49"/>
      <c r="B2450" s="36" t="s">
        <v>3865</v>
      </c>
      <c r="C2450" s="36" t="s">
        <v>3925</v>
      </c>
      <c r="D2450" s="49"/>
      <c r="E2450" s="49"/>
      <c r="F2450" s="49"/>
      <c r="G2450" s="49"/>
      <c r="H2450" s="49"/>
      <c r="I2450" s="49"/>
    </row>
    <row r="2451" ht="15.75" customHeight="1" spans="1:9">
      <c r="A2451" s="49"/>
      <c r="B2451" s="36" t="s">
        <v>3865</v>
      </c>
      <c r="C2451" s="36" t="s">
        <v>3926</v>
      </c>
      <c r="D2451" s="49"/>
      <c r="E2451" s="49"/>
      <c r="F2451" s="49"/>
      <c r="G2451" s="49"/>
      <c r="H2451" s="49"/>
      <c r="I2451" s="49"/>
    </row>
    <row r="2452" ht="15.75" customHeight="1" spans="1:9">
      <c r="A2452" s="49"/>
      <c r="B2452" s="36" t="s">
        <v>3865</v>
      </c>
      <c r="C2452" s="36" t="s">
        <v>3927</v>
      </c>
      <c r="D2452" s="49"/>
      <c r="E2452" s="49"/>
      <c r="F2452" s="49"/>
      <c r="G2452" s="49"/>
      <c r="H2452" s="49"/>
      <c r="I2452" s="49"/>
    </row>
    <row r="2453" ht="15.75" customHeight="1" spans="1:9">
      <c r="A2453" s="49"/>
      <c r="B2453" s="36" t="s">
        <v>3865</v>
      </c>
      <c r="C2453" s="36" t="s">
        <v>3928</v>
      </c>
      <c r="D2453" s="49"/>
      <c r="E2453" s="49"/>
      <c r="F2453" s="49"/>
      <c r="G2453" s="49"/>
      <c r="H2453" s="49"/>
      <c r="I2453" s="49"/>
    </row>
    <row r="2454" ht="15.75" customHeight="1" spans="1:9">
      <c r="A2454" s="49"/>
      <c r="B2454" s="36" t="s">
        <v>3865</v>
      </c>
      <c r="C2454" s="36" t="s">
        <v>3929</v>
      </c>
      <c r="D2454" s="49"/>
      <c r="E2454" s="49"/>
      <c r="F2454" s="49"/>
      <c r="G2454" s="49"/>
      <c r="H2454" s="49"/>
      <c r="I2454" s="49"/>
    </row>
    <row r="2455" ht="15.75" customHeight="1" spans="1:9">
      <c r="A2455" s="49"/>
      <c r="B2455" s="36" t="s">
        <v>3865</v>
      </c>
      <c r="C2455" s="36" t="s">
        <v>3930</v>
      </c>
      <c r="D2455" s="49"/>
      <c r="E2455" s="49"/>
      <c r="F2455" s="49"/>
      <c r="G2455" s="49"/>
      <c r="H2455" s="49"/>
      <c r="I2455" s="49"/>
    </row>
    <row r="2456" ht="15.75" customHeight="1" spans="1:9">
      <c r="A2456" s="49"/>
      <c r="B2456" s="36" t="s">
        <v>3865</v>
      </c>
      <c r="C2456" s="36" t="s">
        <v>3931</v>
      </c>
      <c r="D2456" s="49"/>
      <c r="E2456" s="49"/>
      <c r="F2456" s="49"/>
      <c r="G2456" s="49"/>
      <c r="H2456" s="49"/>
      <c r="I2456" s="49"/>
    </row>
    <row r="2457" ht="15.75" customHeight="1" spans="1:9">
      <c r="A2457" s="49"/>
      <c r="B2457" s="36" t="s">
        <v>3865</v>
      </c>
      <c r="C2457" s="36" t="s">
        <v>3932</v>
      </c>
      <c r="D2457" s="49"/>
      <c r="E2457" s="49"/>
      <c r="F2457" s="49"/>
      <c r="G2457" s="49"/>
      <c r="H2457" s="49"/>
      <c r="I2457" s="49"/>
    </row>
    <row r="2458" ht="15.75" customHeight="1" spans="1:9">
      <c r="A2458" s="49"/>
      <c r="B2458" s="36" t="s">
        <v>3865</v>
      </c>
      <c r="C2458" s="36" t="s">
        <v>3933</v>
      </c>
      <c r="D2458" s="49"/>
      <c r="E2458" s="49"/>
      <c r="F2458" s="49"/>
      <c r="G2458" s="49"/>
      <c r="H2458" s="49"/>
      <c r="I2458" s="49"/>
    </row>
    <row r="2459" ht="15.75" customHeight="1" spans="1:9">
      <c r="A2459" s="49"/>
      <c r="B2459" s="36" t="s">
        <v>3865</v>
      </c>
      <c r="C2459" s="36" t="s">
        <v>3934</v>
      </c>
      <c r="D2459" s="49"/>
      <c r="E2459" s="49"/>
      <c r="F2459" s="49"/>
      <c r="G2459" s="49"/>
      <c r="H2459" s="49"/>
      <c r="I2459" s="49"/>
    </row>
    <row r="2460" ht="15.75" customHeight="1" spans="1:9">
      <c r="A2460" s="49"/>
      <c r="B2460" s="36" t="s">
        <v>3865</v>
      </c>
      <c r="C2460" s="36" t="s">
        <v>3935</v>
      </c>
      <c r="D2460" s="49"/>
      <c r="E2460" s="49"/>
      <c r="F2460" s="49"/>
      <c r="G2460" s="49"/>
      <c r="H2460" s="49"/>
      <c r="I2460" s="49"/>
    </row>
    <row r="2461" ht="15.75" customHeight="1" spans="1:9">
      <c r="A2461" s="49"/>
      <c r="B2461" s="36" t="s">
        <v>3865</v>
      </c>
      <c r="C2461" s="36" t="s">
        <v>3936</v>
      </c>
      <c r="D2461" s="49"/>
      <c r="E2461" s="49"/>
      <c r="F2461" s="49"/>
      <c r="G2461" s="49"/>
      <c r="H2461" s="49"/>
      <c r="I2461" s="49"/>
    </row>
    <row r="2462" ht="15.75" customHeight="1" spans="1:9">
      <c r="A2462" s="49"/>
      <c r="B2462" s="36" t="s">
        <v>3865</v>
      </c>
      <c r="C2462" s="36" t="s">
        <v>3937</v>
      </c>
      <c r="D2462" s="49"/>
      <c r="E2462" s="49"/>
      <c r="F2462" s="49"/>
      <c r="G2462" s="49"/>
      <c r="H2462" s="49"/>
      <c r="I2462" s="49"/>
    </row>
    <row r="2463" ht="15.75" customHeight="1" spans="1:9">
      <c r="A2463" s="49"/>
      <c r="B2463" s="36" t="s">
        <v>3865</v>
      </c>
      <c r="C2463" s="36" t="s">
        <v>3938</v>
      </c>
      <c r="D2463" s="49"/>
      <c r="E2463" s="49"/>
      <c r="F2463" s="49"/>
      <c r="G2463" s="49"/>
      <c r="H2463" s="49"/>
      <c r="I2463" s="49"/>
    </row>
    <row r="2464" ht="15.75" customHeight="1" spans="1:9">
      <c r="A2464" s="49"/>
      <c r="B2464" s="36" t="s">
        <v>3865</v>
      </c>
      <c r="C2464" s="36" t="s">
        <v>3939</v>
      </c>
      <c r="D2464" s="49"/>
      <c r="E2464" s="49"/>
      <c r="F2464" s="49"/>
      <c r="G2464" s="49"/>
      <c r="H2464" s="49"/>
      <c r="I2464" s="49"/>
    </row>
    <row r="2465" ht="15.75" customHeight="1" spans="1:9">
      <c r="A2465" s="49"/>
      <c r="B2465" s="36" t="s">
        <v>3865</v>
      </c>
      <c r="C2465" s="36" t="s">
        <v>3940</v>
      </c>
      <c r="D2465" s="49"/>
      <c r="E2465" s="49"/>
      <c r="F2465" s="49"/>
      <c r="G2465" s="49"/>
      <c r="H2465" s="49"/>
      <c r="I2465" s="49"/>
    </row>
    <row r="2466" ht="15.75" customHeight="1" spans="1:9">
      <c r="A2466" s="49"/>
      <c r="B2466" s="36" t="s">
        <v>3865</v>
      </c>
      <c r="C2466" s="36" t="s">
        <v>3941</v>
      </c>
      <c r="D2466" s="49"/>
      <c r="E2466" s="49"/>
      <c r="F2466" s="49"/>
      <c r="G2466" s="49"/>
      <c r="H2466" s="49"/>
      <c r="I2466" s="49"/>
    </row>
    <row r="2467" ht="15.75" customHeight="1" spans="1:9">
      <c r="A2467" s="49"/>
      <c r="B2467" s="36" t="s">
        <v>3865</v>
      </c>
      <c r="C2467" s="36" t="s">
        <v>3942</v>
      </c>
      <c r="D2467" s="49"/>
      <c r="E2467" s="49"/>
      <c r="F2467" s="49"/>
      <c r="G2467" s="49"/>
      <c r="H2467" s="49"/>
      <c r="I2467" s="49"/>
    </row>
    <row r="2468" ht="15.75" customHeight="1" spans="1:9">
      <c r="A2468" s="49"/>
      <c r="B2468" s="36" t="s">
        <v>3865</v>
      </c>
      <c r="C2468" s="36" t="s">
        <v>3943</v>
      </c>
      <c r="D2468" s="49"/>
      <c r="E2468" s="49"/>
      <c r="F2468" s="49"/>
      <c r="G2468" s="49"/>
      <c r="H2468" s="49"/>
      <c r="I2468" s="49"/>
    </row>
    <row r="2469" ht="15.75" customHeight="1" spans="1:9">
      <c r="A2469" s="49"/>
      <c r="B2469" s="36" t="s">
        <v>3865</v>
      </c>
      <c r="C2469" s="36" t="s">
        <v>3944</v>
      </c>
      <c r="D2469" s="49"/>
      <c r="E2469" s="49"/>
      <c r="F2469" s="49"/>
      <c r="G2469" s="49"/>
      <c r="H2469" s="49"/>
      <c r="I2469" s="49"/>
    </row>
    <row r="2470" ht="15.75" customHeight="1" spans="1:9">
      <c r="A2470" s="49"/>
      <c r="B2470" s="36" t="s">
        <v>23</v>
      </c>
      <c r="C2470" s="36" t="s">
        <v>23</v>
      </c>
      <c r="D2470" s="49"/>
      <c r="E2470" s="49"/>
      <c r="F2470" s="49"/>
      <c r="G2470" s="49"/>
      <c r="H2470" s="49"/>
      <c r="I2470" s="49"/>
    </row>
    <row r="2471" ht="15.75" customHeight="1" spans="1:9">
      <c r="A2471" s="49"/>
      <c r="B2471" s="36" t="s">
        <v>23</v>
      </c>
      <c r="C2471" s="36" t="s">
        <v>3945</v>
      </c>
      <c r="D2471" s="49"/>
      <c r="E2471" s="49"/>
      <c r="F2471" s="49"/>
      <c r="G2471" s="49"/>
      <c r="H2471" s="49"/>
      <c r="I2471" s="49"/>
    </row>
    <row r="2472" ht="15.75" customHeight="1" spans="1:9">
      <c r="A2472" s="49"/>
      <c r="B2472" s="36" t="s">
        <v>23</v>
      </c>
      <c r="C2472" s="36" t="s">
        <v>3946</v>
      </c>
      <c r="D2472" s="49"/>
      <c r="E2472" s="49"/>
      <c r="F2472" s="49"/>
      <c r="G2472" s="49"/>
      <c r="H2472" s="49"/>
      <c r="I2472" s="49"/>
    </row>
    <row r="2473" ht="15.75" customHeight="1" spans="1:9">
      <c r="A2473" s="49"/>
      <c r="B2473" s="36" t="s">
        <v>23</v>
      </c>
      <c r="C2473" s="36" t="s">
        <v>3947</v>
      </c>
      <c r="D2473" s="49"/>
      <c r="E2473" s="49"/>
      <c r="F2473" s="49"/>
      <c r="G2473" s="49"/>
      <c r="H2473" s="49"/>
      <c r="I2473" s="49"/>
    </row>
    <row r="2474" ht="15.75" customHeight="1" spans="1:9">
      <c r="A2474" s="49"/>
      <c r="B2474" s="36" t="s">
        <v>23</v>
      </c>
      <c r="C2474" s="36" t="s">
        <v>3948</v>
      </c>
      <c r="D2474" s="49"/>
      <c r="E2474" s="49"/>
      <c r="F2474" s="49"/>
      <c r="G2474" s="49"/>
      <c r="H2474" s="49"/>
      <c r="I2474" s="49"/>
    </row>
    <row r="2475" ht="15.75" customHeight="1" spans="1:9">
      <c r="A2475" s="49"/>
      <c r="B2475" s="36" t="s">
        <v>23</v>
      </c>
      <c r="C2475" s="36" t="s">
        <v>3949</v>
      </c>
      <c r="D2475" s="49"/>
      <c r="E2475" s="49"/>
      <c r="F2475" s="49"/>
      <c r="G2475" s="49"/>
      <c r="H2475" s="49"/>
      <c r="I2475" s="49"/>
    </row>
    <row r="2476" ht="15.75" customHeight="1" spans="1:9">
      <c r="A2476" s="49"/>
      <c r="B2476" s="36" t="s">
        <v>23</v>
      </c>
      <c r="C2476" s="36" t="s">
        <v>3950</v>
      </c>
      <c r="D2476" s="49"/>
      <c r="E2476" s="49"/>
      <c r="F2476" s="49"/>
      <c r="G2476" s="49"/>
      <c r="H2476" s="49"/>
      <c r="I2476" s="49"/>
    </row>
    <row r="2477" ht="15.75" customHeight="1" spans="1:9">
      <c r="A2477" s="49"/>
      <c r="B2477" s="36" t="s">
        <v>23</v>
      </c>
      <c r="C2477" s="36" t="s">
        <v>3951</v>
      </c>
      <c r="D2477" s="49"/>
      <c r="E2477" s="49"/>
      <c r="F2477" s="49"/>
      <c r="G2477" s="49"/>
      <c r="H2477" s="49"/>
      <c r="I2477" s="49"/>
    </row>
    <row r="2478" ht="15.75" customHeight="1" spans="1:9">
      <c r="A2478" s="49"/>
      <c r="B2478" s="36" t="s">
        <v>23</v>
      </c>
      <c r="C2478" s="36" t="s">
        <v>3952</v>
      </c>
      <c r="D2478" s="49"/>
      <c r="E2478" s="49"/>
      <c r="F2478" s="49"/>
      <c r="G2478" s="49"/>
      <c r="H2478" s="49"/>
      <c r="I2478" s="49"/>
    </row>
    <row r="2479" ht="15.75" customHeight="1" spans="1:9">
      <c r="A2479" s="49"/>
      <c r="B2479" s="36" t="s">
        <v>23</v>
      </c>
      <c r="C2479" s="36" t="s">
        <v>3953</v>
      </c>
      <c r="D2479" s="49"/>
      <c r="E2479" s="49"/>
      <c r="F2479" s="49"/>
      <c r="G2479" s="49"/>
      <c r="H2479" s="49"/>
      <c r="I2479" s="49"/>
    </row>
    <row r="2480" ht="15.75" customHeight="1" spans="1:9">
      <c r="A2480" s="49"/>
      <c r="B2480" s="36" t="s">
        <v>23</v>
      </c>
      <c r="C2480" s="36" t="s">
        <v>3954</v>
      </c>
      <c r="D2480" s="49"/>
      <c r="E2480" s="49"/>
      <c r="F2480" s="49"/>
      <c r="G2480" s="49"/>
      <c r="H2480" s="49"/>
      <c r="I2480" s="49"/>
    </row>
    <row r="2481" ht="15.75" customHeight="1" spans="1:9">
      <c r="A2481" s="49"/>
      <c r="B2481" s="36" t="s">
        <v>23</v>
      </c>
      <c r="C2481" s="36" t="s">
        <v>3955</v>
      </c>
      <c r="D2481" s="49"/>
      <c r="E2481" s="49"/>
      <c r="F2481" s="49"/>
      <c r="G2481" s="49"/>
      <c r="H2481" s="49"/>
      <c r="I2481" s="49"/>
    </row>
    <row r="2482" ht="15.75" customHeight="1" spans="1:9">
      <c r="A2482" s="49"/>
      <c r="B2482" s="36" t="s">
        <v>23</v>
      </c>
      <c r="C2482" s="36" t="s">
        <v>3956</v>
      </c>
      <c r="D2482" s="49"/>
      <c r="E2482" s="49"/>
      <c r="F2482" s="49"/>
      <c r="G2482" s="49"/>
      <c r="H2482" s="49"/>
      <c r="I2482" s="49"/>
    </row>
    <row r="2483" ht="15.75" customHeight="1" spans="1:9">
      <c r="A2483" s="49"/>
      <c r="B2483" s="36" t="s">
        <v>23</v>
      </c>
      <c r="C2483" s="36" t="s">
        <v>3957</v>
      </c>
      <c r="D2483" s="49"/>
      <c r="E2483" s="49"/>
      <c r="F2483" s="49"/>
      <c r="G2483" s="49"/>
      <c r="H2483" s="49"/>
      <c r="I2483" s="49"/>
    </row>
    <row r="2484" ht="15.75" customHeight="1" spans="1:9">
      <c r="A2484" s="49"/>
      <c r="B2484" s="36" t="s">
        <v>23</v>
      </c>
      <c r="C2484" s="36" t="s">
        <v>3958</v>
      </c>
      <c r="D2484" s="49"/>
      <c r="E2484" s="49"/>
      <c r="F2484" s="49"/>
      <c r="G2484" s="49"/>
      <c r="H2484" s="49"/>
      <c r="I2484" s="49"/>
    </row>
    <row r="2485" ht="15.75" customHeight="1" spans="1:9">
      <c r="A2485" s="49"/>
      <c r="B2485" s="36" t="s">
        <v>23</v>
      </c>
      <c r="C2485" s="36" t="s">
        <v>3959</v>
      </c>
      <c r="D2485" s="49"/>
      <c r="E2485" s="49"/>
      <c r="F2485" s="49"/>
      <c r="G2485" s="49"/>
      <c r="H2485" s="49"/>
      <c r="I2485" s="49"/>
    </row>
    <row r="2486" ht="15.75" customHeight="1" spans="1:9">
      <c r="A2486" s="49"/>
      <c r="B2486" s="36" t="s">
        <v>23</v>
      </c>
      <c r="C2486" s="36" t="s">
        <v>3960</v>
      </c>
      <c r="D2486" s="49"/>
      <c r="E2486" s="49"/>
      <c r="F2486" s="49"/>
      <c r="G2486" s="49"/>
      <c r="H2486" s="49"/>
      <c r="I2486" s="49"/>
    </row>
    <row r="2487" ht="15.75" customHeight="1" spans="1:9">
      <c r="A2487" s="49"/>
      <c r="B2487" s="36" t="s">
        <v>23</v>
      </c>
      <c r="C2487" s="36" t="s">
        <v>3961</v>
      </c>
      <c r="D2487" s="49"/>
      <c r="E2487" s="49"/>
      <c r="F2487" s="49"/>
      <c r="G2487" s="49"/>
      <c r="H2487" s="49"/>
      <c r="I2487" s="49"/>
    </row>
    <row r="2488" ht="15.75" customHeight="1" spans="1:9">
      <c r="A2488" s="49"/>
      <c r="B2488" s="36" t="s">
        <v>23</v>
      </c>
      <c r="C2488" s="36" t="s">
        <v>3962</v>
      </c>
      <c r="D2488" s="49"/>
      <c r="E2488" s="49"/>
      <c r="F2488" s="49"/>
      <c r="G2488" s="49"/>
      <c r="H2488" s="49"/>
      <c r="I2488" s="49"/>
    </row>
    <row r="2489" ht="15.75" customHeight="1" spans="1:9">
      <c r="A2489" s="49"/>
      <c r="B2489" s="36" t="s">
        <v>23</v>
      </c>
      <c r="C2489" s="36" t="s">
        <v>3963</v>
      </c>
      <c r="D2489" s="49"/>
      <c r="E2489" s="49"/>
      <c r="F2489" s="49"/>
      <c r="G2489" s="49"/>
      <c r="H2489" s="49"/>
      <c r="I2489" s="49"/>
    </row>
    <row r="2490" ht="15.75" customHeight="1" spans="1:9">
      <c r="A2490" s="49"/>
      <c r="B2490" s="36" t="s">
        <v>23</v>
      </c>
      <c r="C2490" s="36" t="s">
        <v>3964</v>
      </c>
      <c r="D2490" s="49"/>
      <c r="E2490" s="49"/>
      <c r="F2490" s="49"/>
      <c r="G2490" s="49"/>
      <c r="H2490" s="49"/>
      <c r="I2490" s="49"/>
    </row>
    <row r="2491" ht="15.75" customHeight="1" spans="1:9">
      <c r="A2491" s="49"/>
      <c r="B2491" s="36" t="s">
        <v>23</v>
      </c>
      <c r="C2491" s="36" t="s">
        <v>3965</v>
      </c>
      <c r="D2491" s="49"/>
      <c r="E2491" s="49"/>
      <c r="F2491" s="49"/>
      <c r="G2491" s="49"/>
      <c r="H2491" s="49"/>
      <c r="I2491" s="49"/>
    </row>
    <row r="2492" ht="15.75" customHeight="1" spans="1:9">
      <c r="A2492" s="49"/>
      <c r="B2492" s="36" t="s">
        <v>23</v>
      </c>
      <c r="C2492" s="36" t="s">
        <v>3966</v>
      </c>
      <c r="D2492" s="49"/>
      <c r="E2492" s="49"/>
      <c r="F2492" s="49"/>
      <c r="G2492" s="49"/>
      <c r="H2492" s="49"/>
      <c r="I2492" s="49"/>
    </row>
    <row r="2493" ht="15.75" customHeight="1" spans="1:9">
      <c r="A2493" s="49"/>
      <c r="B2493" s="36" t="s">
        <v>23</v>
      </c>
      <c r="C2493" s="36" t="s">
        <v>3967</v>
      </c>
      <c r="D2493" s="49"/>
      <c r="E2493" s="49"/>
      <c r="F2493" s="49"/>
      <c r="G2493" s="49"/>
      <c r="H2493" s="49"/>
      <c r="I2493" s="49"/>
    </row>
    <row r="2494" ht="15.75" customHeight="1" spans="1:9">
      <c r="A2494" s="49"/>
      <c r="B2494" s="36" t="s">
        <v>23</v>
      </c>
      <c r="C2494" s="36" t="s">
        <v>3968</v>
      </c>
      <c r="D2494" s="49"/>
      <c r="E2494" s="49"/>
      <c r="F2494" s="49"/>
      <c r="G2494" s="49"/>
      <c r="H2494" s="49"/>
      <c r="I2494" s="49"/>
    </row>
    <row r="2495" ht="15.75" customHeight="1" spans="1:9">
      <c r="A2495" s="49"/>
      <c r="B2495" s="36" t="s">
        <v>23</v>
      </c>
      <c r="C2495" s="36" t="s">
        <v>3969</v>
      </c>
      <c r="D2495" s="49"/>
      <c r="E2495" s="49"/>
      <c r="F2495" s="49"/>
      <c r="G2495" s="49"/>
      <c r="H2495" s="49"/>
      <c r="I2495" s="49"/>
    </row>
    <row r="2496" ht="15.75" customHeight="1" spans="1:9">
      <c r="A2496" s="49"/>
      <c r="B2496" s="36" t="s">
        <v>23</v>
      </c>
      <c r="C2496" s="36" t="s">
        <v>3970</v>
      </c>
      <c r="D2496" s="49"/>
      <c r="E2496" s="49"/>
      <c r="F2496" s="49"/>
      <c r="G2496" s="49"/>
      <c r="H2496" s="49"/>
      <c r="I2496" s="49"/>
    </row>
    <row r="2497" ht="15.75" customHeight="1" spans="1:9">
      <c r="A2497" s="49"/>
      <c r="B2497" s="36" t="s">
        <v>23</v>
      </c>
      <c r="C2497" s="36" t="s">
        <v>3971</v>
      </c>
      <c r="D2497" s="49"/>
      <c r="E2497" s="49"/>
      <c r="F2497" s="49"/>
      <c r="G2497" s="49"/>
      <c r="H2497" s="49"/>
      <c r="I2497" s="49"/>
    </row>
    <row r="2498" ht="15.75" customHeight="1" spans="1:9">
      <c r="A2498" s="49"/>
      <c r="B2498" s="36" t="s">
        <v>23</v>
      </c>
      <c r="C2498" s="36" t="s">
        <v>3972</v>
      </c>
      <c r="D2498" s="49"/>
      <c r="E2498" s="49"/>
      <c r="F2498" s="49"/>
      <c r="G2498" s="49"/>
      <c r="H2498" s="49"/>
      <c r="I2498" s="49"/>
    </row>
    <row r="2499" ht="15.75" customHeight="1" spans="1:9">
      <c r="A2499" s="49"/>
      <c r="B2499" s="36" t="s">
        <v>23</v>
      </c>
      <c r="C2499" s="36" t="s">
        <v>3973</v>
      </c>
      <c r="D2499" s="49"/>
      <c r="E2499" s="49"/>
      <c r="F2499" s="49"/>
      <c r="G2499" s="49"/>
      <c r="H2499" s="49"/>
      <c r="I2499" s="49"/>
    </row>
    <row r="2500" ht="15.75" customHeight="1" spans="1:9">
      <c r="A2500" s="49"/>
      <c r="B2500" s="36" t="s">
        <v>23</v>
      </c>
      <c r="C2500" s="36" t="s">
        <v>3974</v>
      </c>
      <c r="D2500" s="49"/>
      <c r="E2500" s="49"/>
      <c r="F2500" s="49"/>
      <c r="G2500" s="49"/>
      <c r="H2500" s="49"/>
      <c r="I2500" s="49"/>
    </row>
    <row r="2501" ht="15.75" customHeight="1" spans="1:9">
      <c r="A2501" s="49"/>
      <c r="B2501" s="36" t="s">
        <v>23</v>
      </c>
      <c r="C2501" s="36" t="s">
        <v>3975</v>
      </c>
      <c r="D2501" s="49"/>
      <c r="E2501" s="49"/>
      <c r="F2501" s="49"/>
      <c r="G2501" s="49"/>
      <c r="H2501" s="49"/>
      <c r="I2501" s="49"/>
    </row>
    <row r="2502" ht="15.75" customHeight="1" spans="1:9">
      <c r="A2502" s="49"/>
      <c r="B2502" s="36" t="s">
        <v>23</v>
      </c>
      <c r="C2502" s="36" t="s">
        <v>3976</v>
      </c>
      <c r="D2502" s="49"/>
      <c r="E2502" s="49"/>
      <c r="F2502" s="49"/>
      <c r="G2502" s="49"/>
      <c r="H2502" s="49"/>
      <c r="I2502" s="49"/>
    </row>
    <row r="2503" ht="15.75" customHeight="1" spans="1:9">
      <c r="A2503" s="49"/>
      <c r="B2503" s="36" t="s">
        <v>23</v>
      </c>
      <c r="C2503" s="36" t="s">
        <v>3977</v>
      </c>
      <c r="D2503" s="49"/>
      <c r="E2503" s="49"/>
      <c r="F2503" s="49"/>
      <c r="G2503" s="49"/>
      <c r="H2503" s="49"/>
      <c r="I2503" s="49"/>
    </row>
    <row r="2504" ht="15.75" customHeight="1" spans="1:9">
      <c r="A2504" s="49"/>
      <c r="B2504" s="36" t="s">
        <v>23</v>
      </c>
      <c r="C2504" s="36" t="s">
        <v>3978</v>
      </c>
      <c r="D2504" s="49"/>
      <c r="E2504" s="49"/>
      <c r="F2504" s="49"/>
      <c r="G2504" s="49"/>
      <c r="H2504" s="49"/>
      <c r="I2504" s="49"/>
    </row>
    <row r="2505" ht="15.75" customHeight="1" spans="1:9">
      <c r="A2505" s="49"/>
      <c r="B2505" s="36" t="s">
        <v>23</v>
      </c>
      <c r="C2505" s="36" t="s">
        <v>3979</v>
      </c>
      <c r="D2505" s="49"/>
      <c r="E2505" s="49"/>
      <c r="F2505" s="49"/>
      <c r="G2505" s="49"/>
      <c r="H2505" s="49"/>
      <c r="I2505" s="49"/>
    </row>
    <row r="2506" ht="15.75" customHeight="1" spans="1:9">
      <c r="A2506" s="49"/>
      <c r="B2506" s="36" t="s">
        <v>23</v>
      </c>
      <c r="C2506" s="36" t="s">
        <v>3980</v>
      </c>
      <c r="D2506" s="49"/>
      <c r="E2506" s="49"/>
      <c r="F2506" s="49"/>
      <c r="G2506" s="49"/>
      <c r="H2506" s="49"/>
      <c r="I2506" s="49"/>
    </row>
    <row r="2507" ht="15.75" customHeight="1" spans="1:9">
      <c r="A2507" s="49"/>
      <c r="B2507" s="36" t="s">
        <v>23</v>
      </c>
      <c r="C2507" s="36" t="s">
        <v>3981</v>
      </c>
      <c r="D2507" s="49"/>
      <c r="E2507" s="49"/>
      <c r="F2507" s="49"/>
      <c r="G2507" s="49"/>
      <c r="H2507" s="49"/>
      <c r="I2507" s="49"/>
    </row>
    <row r="2508" ht="15.75" customHeight="1" spans="1:9">
      <c r="A2508" s="49"/>
      <c r="B2508" s="36" t="s">
        <v>23</v>
      </c>
      <c r="C2508" s="36" t="s">
        <v>3982</v>
      </c>
      <c r="D2508" s="49"/>
      <c r="E2508" s="49"/>
      <c r="F2508" s="49"/>
      <c r="G2508" s="49"/>
      <c r="H2508" s="49"/>
      <c r="I2508" s="49"/>
    </row>
    <row r="2509" ht="15.75" customHeight="1" spans="1:9">
      <c r="A2509" s="49"/>
      <c r="B2509" s="36" t="s">
        <v>23</v>
      </c>
      <c r="C2509" s="36" t="s">
        <v>3983</v>
      </c>
      <c r="D2509" s="49"/>
      <c r="E2509" s="49"/>
      <c r="F2509" s="49"/>
      <c r="G2509" s="49"/>
      <c r="H2509" s="49"/>
      <c r="I2509" s="49"/>
    </row>
    <row r="2510" ht="15.75" customHeight="1" spans="1:9">
      <c r="A2510" s="49"/>
      <c r="B2510" s="36" t="s">
        <v>23</v>
      </c>
      <c r="C2510" s="36" t="s">
        <v>3984</v>
      </c>
      <c r="D2510" s="49"/>
      <c r="E2510" s="49"/>
      <c r="F2510" s="49"/>
      <c r="G2510" s="49"/>
      <c r="H2510" s="49"/>
      <c r="I2510" s="49"/>
    </row>
    <row r="2511" ht="15.75" customHeight="1" spans="1:9">
      <c r="A2511" s="49"/>
      <c r="B2511" s="36" t="s">
        <v>23</v>
      </c>
      <c r="C2511" s="36" t="s">
        <v>3985</v>
      </c>
      <c r="D2511" s="49"/>
      <c r="E2511" s="49"/>
      <c r="F2511" s="49"/>
      <c r="G2511" s="49"/>
      <c r="H2511" s="49"/>
      <c r="I2511" s="49"/>
    </row>
    <row r="2512" ht="15.75" customHeight="1" spans="1:9">
      <c r="A2512" s="49"/>
      <c r="B2512" s="36" t="s">
        <v>23</v>
      </c>
      <c r="C2512" s="36" t="s">
        <v>3986</v>
      </c>
      <c r="D2512" s="49"/>
      <c r="E2512" s="49"/>
      <c r="F2512" s="49"/>
      <c r="G2512" s="49"/>
      <c r="H2512" s="49"/>
      <c r="I2512" s="49"/>
    </row>
    <row r="2513" ht="15.75" customHeight="1" spans="1:9">
      <c r="A2513" s="49"/>
      <c r="B2513" s="36" t="s">
        <v>23</v>
      </c>
      <c r="C2513" s="36" t="s">
        <v>3987</v>
      </c>
      <c r="D2513" s="49"/>
      <c r="E2513" s="49"/>
      <c r="F2513" s="49"/>
      <c r="G2513" s="49"/>
      <c r="H2513" s="49"/>
      <c r="I2513" s="49"/>
    </row>
    <row r="2514" ht="15.75" customHeight="1" spans="1:9">
      <c r="A2514" s="49"/>
      <c r="B2514" s="36" t="s">
        <v>23</v>
      </c>
      <c r="C2514" s="36" t="s">
        <v>3988</v>
      </c>
      <c r="D2514" s="49"/>
      <c r="E2514" s="49"/>
      <c r="F2514" s="49"/>
      <c r="G2514" s="49"/>
      <c r="H2514" s="49"/>
      <c r="I2514" s="49"/>
    </row>
    <row r="2515" ht="15.75" customHeight="1" spans="1:9">
      <c r="A2515" s="49"/>
      <c r="B2515" s="36" t="s">
        <v>23</v>
      </c>
      <c r="C2515" s="36" t="s">
        <v>3989</v>
      </c>
      <c r="D2515" s="49"/>
      <c r="E2515" s="49"/>
      <c r="F2515" s="49"/>
      <c r="G2515" s="49"/>
      <c r="H2515" s="49"/>
      <c r="I2515" s="49"/>
    </row>
    <row r="2516" ht="15.75" customHeight="1" spans="1:9">
      <c r="A2516" s="49"/>
      <c r="B2516" s="36" t="s">
        <v>23</v>
      </c>
      <c r="C2516" s="36" t="s">
        <v>3990</v>
      </c>
      <c r="D2516" s="49"/>
      <c r="E2516" s="49"/>
      <c r="F2516" s="49"/>
      <c r="G2516" s="49"/>
      <c r="H2516" s="49"/>
      <c r="I2516" s="49"/>
    </row>
    <row r="2517" ht="15.75" customHeight="1" spans="1:9">
      <c r="A2517" s="49"/>
      <c r="B2517" s="36" t="s">
        <v>23</v>
      </c>
      <c r="C2517" s="36" t="s">
        <v>3991</v>
      </c>
      <c r="D2517" s="49"/>
      <c r="E2517" s="49"/>
      <c r="F2517" s="49"/>
      <c r="G2517" s="49"/>
      <c r="H2517" s="49"/>
      <c r="I2517" s="49"/>
    </row>
    <row r="2518" ht="15.75" customHeight="1" spans="1:9">
      <c r="A2518" s="49"/>
      <c r="B2518" s="36" t="s">
        <v>23</v>
      </c>
      <c r="C2518" s="36" t="s">
        <v>3992</v>
      </c>
      <c r="D2518" s="49"/>
      <c r="E2518" s="49"/>
      <c r="F2518" s="49"/>
      <c r="G2518" s="49"/>
      <c r="H2518" s="49"/>
      <c r="I2518" s="49"/>
    </row>
    <row r="2519" ht="15.75" customHeight="1" spans="1:9">
      <c r="A2519" s="49"/>
      <c r="B2519" s="36" t="s">
        <v>23</v>
      </c>
      <c r="C2519" s="36" t="s">
        <v>3993</v>
      </c>
      <c r="D2519" s="49"/>
      <c r="E2519" s="49"/>
      <c r="F2519" s="49"/>
      <c r="G2519" s="49"/>
      <c r="H2519" s="49"/>
      <c r="I2519" s="49"/>
    </row>
    <row r="2520" ht="15.75" customHeight="1" spans="1:9">
      <c r="A2520" s="49"/>
      <c r="B2520" s="36" t="s">
        <v>23</v>
      </c>
      <c r="C2520" s="36" t="s">
        <v>3994</v>
      </c>
      <c r="D2520" s="49"/>
      <c r="E2520" s="49"/>
      <c r="F2520" s="49"/>
      <c r="G2520" s="49"/>
      <c r="H2520" s="49"/>
      <c r="I2520" s="49"/>
    </row>
    <row r="2521" ht="15.75" customHeight="1" spans="1:9">
      <c r="A2521" s="49"/>
      <c r="B2521" s="36" t="s">
        <v>23</v>
      </c>
      <c r="C2521" s="36" t="s">
        <v>3995</v>
      </c>
      <c r="D2521" s="49"/>
      <c r="E2521" s="49"/>
      <c r="F2521" s="49"/>
      <c r="G2521" s="49"/>
      <c r="H2521" s="49"/>
      <c r="I2521" s="49"/>
    </row>
    <row r="2522" ht="15.75" customHeight="1" spans="1:9">
      <c r="A2522" s="49"/>
      <c r="B2522" s="36" t="s">
        <v>23</v>
      </c>
      <c r="C2522" s="36" t="s">
        <v>3996</v>
      </c>
      <c r="D2522" s="49"/>
      <c r="E2522" s="49"/>
      <c r="F2522" s="49"/>
      <c r="G2522" s="49"/>
      <c r="H2522" s="49"/>
      <c r="I2522" s="49"/>
    </row>
    <row r="2523" ht="15.75" customHeight="1" spans="1:9">
      <c r="A2523" s="49"/>
      <c r="B2523" s="36" t="s">
        <v>23</v>
      </c>
      <c r="C2523" s="36" t="s">
        <v>3997</v>
      </c>
      <c r="D2523" s="49"/>
      <c r="E2523" s="49"/>
      <c r="F2523" s="49"/>
      <c r="G2523" s="49"/>
      <c r="H2523" s="49"/>
      <c r="I2523" s="49"/>
    </row>
    <row r="2524" ht="15.75" customHeight="1" spans="1:9">
      <c r="A2524" s="49"/>
      <c r="B2524" s="36" t="s">
        <v>23</v>
      </c>
      <c r="C2524" s="36" t="s">
        <v>3998</v>
      </c>
      <c r="D2524" s="49"/>
      <c r="E2524" s="49"/>
      <c r="F2524" s="49"/>
      <c r="G2524" s="49"/>
      <c r="H2524" s="49"/>
      <c r="I2524" s="49"/>
    </row>
    <row r="2525" ht="15.75" customHeight="1" spans="1:9">
      <c r="A2525" s="49"/>
      <c r="B2525" s="36" t="s">
        <v>23</v>
      </c>
      <c r="C2525" s="36" t="s">
        <v>3999</v>
      </c>
      <c r="D2525" s="49"/>
      <c r="E2525" s="49"/>
      <c r="F2525" s="49"/>
      <c r="G2525" s="49"/>
      <c r="H2525" s="49"/>
      <c r="I2525" s="49"/>
    </row>
    <row r="2526" ht="15.75" customHeight="1" spans="1:9">
      <c r="A2526" s="49"/>
      <c r="B2526" s="36" t="s">
        <v>23</v>
      </c>
      <c r="C2526" s="36" t="s">
        <v>4000</v>
      </c>
      <c r="D2526" s="49"/>
      <c r="E2526" s="49"/>
      <c r="F2526" s="49"/>
      <c r="G2526" s="49"/>
      <c r="H2526" s="49"/>
      <c r="I2526" s="49"/>
    </row>
    <row r="2527" ht="15.75" customHeight="1" spans="1:9">
      <c r="A2527" s="49"/>
      <c r="B2527" s="36" t="s">
        <v>23</v>
      </c>
      <c r="C2527" s="36" t="s">
        <v>4001</v>
      </c>
      <c r="D2527" s="49"/>
      <c r="E2527" s="49"/>
      <c r="F2527" s="49"/>
      <c r="G2527" s="49"/>
      <c r="H2527" s="49"/>
      <c r="I2527" s="49"/>
    </row>
    <row r="2528" ht="15.75" customHeight="1" spans="1:9">
      <c r="A2528" s="49"/>
      <c r="B2528" s="36" t="s">
        <v>23</v>
      </c>
      <c r="C2528" s="36" t="s">
        <v>4002</v>
      </c>
      <c r="D2528" s="49"/>
      <c r="E2528" s="49"/>
      <c r="F2528" s="49"/>
      <c r="G2528" s="49"/>
      <c r="H2528" s="49"/>
      <c r="I2528" s="49"/>
    </row>
    <row r="2529" ht="15.75" customHeight="1" spans="1:9">
      <c r="A2529" s="49"/>
      <c r="B2529" s="36" t="s">
        <v>23</v>
      </c>
      <c r="C2529" s="36" t="s">
        <v>4003</v>
      </c>
      <c r="D2529" s="49"/>
      <c r="E2529" s="49"/>
      <c r="F2529" s="49"/>
      <c r="G2529" s="49"/>
      <c r="H2529" s="49"/>
      <c r="I2529" s="49"/>
    </row>
    <row r="2530" ht="15.75" customHeight="1" spans="1:9">
      <c r="A2530" s="49"/>
      <c r="B2530" s="36" t="s">
        <v>23</v>
      </c>
      <c r="C2530" s="36" t="s">
        <v>4004</v>
      </c>
      <c r="D2530" s="49"/>
      <c r="E2530" s="49"/>
      <c r="F2530" s="49"/>
      <c r="G2530" s="49"/>
      <c r="H2530" s="49"/>
      <c r="I2530" s="49"/>
    </row>
    <row r="2531" ht="15.75" customHeight="1" spans="1:9">
      <c r="A2531" s="49"/>
      <c r="B2531" s="36" t="s">
        <v>23</v>
      </c>
      <c r="C2531" s="36" t="s">
        <v>4005</v>
      </c>
      <c r="D2531" s="49"/>
      <c r="E2531" s="49"/>
      <c r="F2531" s="49"/>
      <c r="G2531" s="49"/>
      <c r="H2531" s="49"/>
      <c r="I2531" s="49"/>
    </row>
    <row r="2532" ht="15.75" customHeight="1" spans="1:9">
      <c r="A2532" s="49"/>
      <c r="B2532" s="36" t="s">
        <v>23</v>
      </c>
      <c r="C2532" s="36" t="s">
        <v>4006</v>
      </c>
      <c r="D2532" s="49"/>
      <c r="E2532" s="49"/>
      <c r="F2532" s="49"/>
      <c r="G2532" s="49"/>
      <c r="H2532" s="49"/>
      <c r="I2532" s="49"/>
    </row>
    <row r="2533" ht="15.75" customHeight="1" spans="1:9">
      <c r="A2533" s="49"/>
      <c r="B2533" s="36" t="s">
        <v>23</v>
      </c>
      <c r="C2533" s="36" t="s">
        <v>4007</v>
      </c>
      <c r="D2533" s="49"/>
      <c r="E2533" s="49"/>
      <c r="F2533" s="49"/>
      <c r="G2533" s="49"/>
      <c r="H2533" s="49"/>
      <c r="I2533" s="49"/>
    </row>
    <row r="2534" ht="15.75" customHeight="1" spans="1:9">
      <c r="A2534" s="49"/>
      <c r="B2534" s="36" t="s">
        <v>23</v>
      </c>
      <c r="C2534" s="36" t="s">
        <v>4008</v>
      </c>
      <c r="D2534" s="49"/>
      <c r="E2534" s="49"/>
      <c r="F2534" s="49"/>
      <c r="G2534" s="49"/>
      <c r="H2534" s="49"/>
      <c r="I2534" s="49"/>
    </row>
    <row r="2535" ht="15.75" customHeight="1" spans="1:9">
      <c r="A2535" s="49"/>
      <c r="B2535" s="36" t="s">
        <v>4009</v>
      </c>
      <c r="C2535" s="36" t="s">
        <v>136</v>
      </c>
      <c r="D2535" s="49"/>
      <c r="E2535" s="49"/>
      <c r="F2535" s="49"/>
      <c r="G2535" s="49"/>
      <c r="H2535" s="49"/>
      <c r="I2535" s="49"/>
    </row>
    <row r="2536" ht="15.75" customHeight="1" spans="1:9">
      <c r="A2536" s="49"/>
      <c r="B2536" s="36" t="s">
        <v>4009</v>
      </c>
      <c r="C2536" s="36" t="s">
        <v>4010</v>
      </c>
      <c r="D2536" s="49"/>
      <c r="E2536" s="49"/>
      <c r="F2536" s="49"/>
      <c r="G2536" s="49"/>
      <c r="H2536" s="49"/>
      <c r="I2536" s="49"/>
    </row>
    <row r="2537" ht="15.75" customHeight="1" spans="1:9">
      <c r="A2537" s="49"/>
      <c r="B2537" s="36" t="s">
        <v>4009</v>
      </c>
      <c r="C2537" s="36" t="s">
        <v>4011</v>
      </c>
      <c r="D2537" s="49"/>
      <c r="E2537" s="49"/>
      <c r="F2537" s="49"/>
      <c r="G2537" s="49"/>
      <c r="H2537" s="49"/>
      <c r="I2537" s="49"/>
    </row>
    <row r="2538" ht="15.75" customHeight="1" spans="1:9">
      <c r="A2538" s="49"/>
      <c r="B2538" s="36" t="s">
        <v>4009</v>
      </c>
      <c r="C2538" s="36" t="s">
        <v>4012</v>
      </c>
      <c r="D2538" s="49"/>
      <c r="E2538" s="49"/>
      <c r="F2538" s="49"/>
      <c r="G2538" s="49"/>
      <c r="H2538" s="49"/>
      <c r="I2538" s="49"/>
    </row>
    <row r="2539" ht="15.75" customHeight="1" spans="1:9">
      <c r="A2539" s="49"/>
      <c r="B2539" s="36" t="s">
        <v>4009</v>
      </c>
      <c r="C2539" s="36" t="s">
        <v>4013</v>
      </c>
      <c r="D2539" s="49"/>
      <c r="E2539" s="49"/>
      <c r="F2539" s="49"/>
      <c r="G2539" s="49"/>
      <c r="H2539" s="49"/>
      <c r="I2539" s="49"/>
    </row>
    <row r="2540" ht="15.75" customHeight="1" spans="1:9">
      <c r="A2540" s="49"/>
      <c r="B2540" s="36" t="s">
        <v>4009</v>
      </c>
      <c r="C2540" s="36" t="s">
        <v>24</v>
      </c>
      <c r="D2540" s="49"/>
      <c r="E2540" s="49"/>
      <c r="F2540" s="49"/>
      <c r="G2540" s="49"/>
      <c r="H2540" s="49"/>
      <c r="I2540" s="49"/>
    </row>
    <row r="2541" ht="15.75" customHeight="1" spans="1:9">
      <c r="A2541" s="49"/>
      <c r="B2541" s="36" t="s">
        <v>4009</v>
      </c>
      <c r="C2541" s="36" t="s">
        <v>4014</v>
      </c>
      <c r="D2541" s="49"/>
      <c r="E2541" s="49"/>
      <c r="F2541" s="49"/>
      <c r="G2541" s="49"/>
      <c r="H2541" s="49"/>
      <c r="I2541" s="49"/>
    </row>
    <row r="2542" ht="15.75" customHeight="1" spans="1:9">
      <c r="A2542" s="49"/>
      <c r="B2542" s="36" t="s">
        <v>4009</v>
      </c>
      <c r="C2542" s="36" t="s">
        <v>4009</v>
      </c>
      <c r="D2542" s="49"/>
      <c r="E2542" s="49"/>
      <c r="F2542" s="49"/>
      <c r="G2542" s="49"/>
      <c r="H2542" s="49"/>
      <c r="I2542" s="49"/>
    </row>
    <row r="2543" ht="15.75" customHeight="1" spans="1:9">
      <c r="A2543" s="49"/>
      <c r="B2543" s="36" t="s">
        <v>4009</v>
      </c>
      <c r="C2543" s="36" t="s">
        <v>4015</v>
      </c>
      <c r="D2543" s="49"/>
      <c r="E2543" s="49"/>
      <c r="F2543" s="49"/>
      <c r="G2543" s="49"/>
      <c r="H2543" s="49"/>
      <c r="I2543" s="49"/>
    </row>
    <row r="2544" ht="15.75" customHeight="1" spans="1:9">
      <c r="A2544" s="49"/>
      <c r="B2544" s="36" t="s">
        <v>4009</v>
      </c>
      <c r="C2544" s="36" t="s">
        <v>4016</v>
      </c>
      <c r="D2544" s="49"/>
      <c r="E2544" s="49"/>
      <c r="F2544" s="49"/>
      <c r="G2544" s="49"/>
      <c r="H2544" s="49"/>
      <c r="I2544" s="49"/>
    </row>
    <row r="2545" ht="15.75" customHeight="1" spans="1:9">
      <c r="A2545" s="49"/>
      <c r="B2545" s="36" t="s">
        <v>4009</v>
      </c>
      <c r="C2545" s="36" t="s">
        <v>4017</v>
      </c>
      <c r="D2545" s="49"/>
      <c r="E2545" s="49"/>
      <c r="F2545" s="49"/>
      <c r="G2545" s="49"/>
      <c r="H2545" s="49"/>
      <c r="I2545" s="49"/>
    </row>
    <row r="2546" ht="15.75" customHeight="1" spans="1:9">
      <c r="A2546" s="49"/>
      <c r="B2546" s="36" t="s">
        <v>4009</v>
      </c>
      <c r="C2546" s="36" t="s">
        <v>4018</v>
      </c>
      <c r="D2546" s="49"/>
      <c r="E2546" s="49"/>
      <c r="F2546" s="49"/>
      <c r="G2546" s="49"/>
      <c r="H2546" s="49"/>
      <c r="I2546" s="49"/>
    </row>
    <row r="2547" ht="15.75" customHeight="1" spans="1:9">
      <c r="A2547" s="49"/>
      <c r="B2547" s="36" t="s">
        <v>4009</v>
      </c>
      <c r="C2547" s="36" t="s">
        <v>4019</v>
      </c>
      <c r="D2547" s="49"/>
      <c r="E2547" s="49"/>
      <c r="F2547" s="49"/>
      <c r="G2547" s="49"/>
      <c r="H2547" s="49"/>
      <c r="I2547" s="49"/>
    </row>
    <row r="2548" ht="15.75" customHeight="1" spans="1:9">
      <c r="A2548" s="49"/>
      <c r="B2548" s="36" t="s">
        <v>4009</v>
      </c>
      <c r="C2548" s="36" t="s">
        <v>4020</v>
      </c>
      <c r="D2548" s="49"/>
      <c r="E2548" s="49"/>
      <c r="F2548" s="49"/>
      <c r="G2548" s="49"/>
      <c r="H2548" s="49"/>
      <c r="I2548" s="49"/>
    </row>
    <row r="2549" ht="15.75" customHeight="1" spans="1:9">
      <c r="A2549" s="49"/>
      <c r="B2549" s="36" t="s">
        <v>4009</v>
      </c>
      <c r="C2549" s="36" t="s">
        <v>4021</v>
      </c>
      <c r="D2549" s="49"/>
      <c r="E2549" s="49"/>
      <c r="F2549" s="49"/>
      <c r="G2549" s="49"/>
      <c r="H2549" s="49"/>
      <c r="I2549" s="49"/>
    </row>
    <row r="2550" ht="15.75" customHeight="1" spans="1:9">
      <c r="A2550" s="49"/>
      <c r="B2550" s="36" t="s">
        <v>4009</v>
      </c>
      <c r="C2550" s="36" t="s">
        <v>4022</v>
      </c>
      <c r="D2550" s="49"/>
      <c r="E2550" s="49"/>
      <c r="F2550" s="49"/>
      <c r="G2550" s="49"/>
      <c r="H2550" s="49"/>
      <c r="I2550" s="49"/>
    </row>
    <row r="2551" ht="15.75" customHeight="1" spans="1:9">
      <c r="A2551" s="49"/>
      <c r="B2551" s="36" t="s">
        <v>4009</v>
      </c>
      <c r="C2551" s="36" t="s">
        <v>4023</v>
      </c>
      <c r="D2551" s="49"/>
      <c r="E2551" s="49"/>
      <c r="F2551" s="49"/>
      <c r="G2551" s="49"/>
      <c r="H2551" s="49"/>
      <c r="I2551" s="49"/>
    </row>
    <row r="2552" ht="15.75" customHeight="1" spans="1:9">
      <c r="A2552" s="49"/>
      <c r="B2552" s="36" t="s">
        <v>4009</v>
      </c>
      <c r="C2552" s="36" t="s">
        <v>4024</v>
      </c>
      <c r="D2552" s="49"/>
      <c r="E2552" s="49"/>
      <c r="F2552" s="49"/>
      <c r="G2552" s="49"/>
      <c r="H2552" s="49"/>
      <c r="I2552" s="49"/>
    </row>
    <row r="2553" ht="15.75" customHeight="1" spans="1:9">
      <c r="A2553" s="49"/>
      <c r="B2553" s="36" t="s">
        <v>4009</v>
      </c>
      <c r="C2553" s="36" t="s">
        <v>4025</v>
      </c>
      <c r="D2553" s="49"/>
      <c r="E2553" s="49"/>
      <c r="F2553" s="49"/>
      <c r="G2553" s="49"/>
      <c r="H2553" s="49"/>
      <c r="I2553" s="49"/>
    </row>
    <row r="2554" ht="15.75" customHeight="1" spans="1:9">
      <c r="A2554" s="49"/>
      <c r="B2554" s="36" t="s">
        <v>4009</v>
      </c>
      <c r="C2554" s="36" t="s">
        <v>4026</v>
      </c>
      <c r="D2554" s="49"/>
      <c r="E2554" s="49"/>
      <c r="F2554" s="49"/>
      <c r="G2554" s="49"/>
      <c r="H2554" s="49"/>
      <c r="I2554" s="49"/>
    </row>
    <row r="2555" ht="15.75" customHeight="1" spans="1:9">
      <c r="A2555" s="49"/>
      <c r="B2555" s="36" t="s">
        <v>4009</v>
      </c>
      <c r="C2555" s="36" t="s">
        <v>4027</v>
      </c>
      <c r="D2555" s="49"/>
      <c r="E2555" s="49"/>
      <c r="F2555" s="49"/>
      <c r="G2555" s="49"/>
      <c r="H2555" s="49"/>
      <c r="I2555" s="49"/>
    </row>
    <row r="2556" ht="15.75" customHeight="1" spans="1:9">
      <c r="A2556" s="49"/>
      <c r="B2556" s="36" t="s">
        <v>4009</v>
      </c>
      <c r="C2556" s="36" t="s">
        <v>4028</v>
      </c>
      <c r="D2556" s="49"/>
      <c r="E2556" s="49"/>
      <c r="F2556" s="49"/>
      <c r="G2556" s="49"/>
      <c r="H2556" s="49"/>
      <c r="I2556" s="49"/>
    </row>
    <row r="2557" ht="15.75" customHeight="1" spans="1:9">
      <c r="A2557" s="49"/>
      <c r="B2557" s="36" t="s">
        <v>4009</v>
      </c>
      <c r="C2557" s="36" t="s">
        <v>4029</v>
      </c>
      <c r="D2557" s="49"/>
      <c r="E2557" s="49"/>
      <c r="F2557" s="49"/>
      <c r="G2557" s="49"/>
      <c r="H2557" s="49"/>
      <c r="I2557" s="49"/>
    </row>
    <row r="2558" ht="15.75" customHeight="1" spans="1:9">
      <c r="A2558" s="49"/>
      <c r="B2558" s="36" t="s">
        <v>4009</v>
      </c>
      <c r="C2558" s="36" t="s">
        <v>4030</v>
      </c>
      <c r="D2558" s="49"/>
      <c r="E2558" s="49"/>
      <c r="F2558" s="49"/>
      <c r="G2558" s="49"/>
      <c r="H2558" s="49"/>
      <c r="I2558" s="49"/>
    </row>
    <row r="2559" ht="15.75" customHeight="1" spans="1:9">
      <c r="A2559" s="49"/>
      <c r="B2559" s="36" t="s">
        <v>4009</v>
      </c>
      <c r="C2559" s="36" t="s">
        <v>4031</v>
      </c>
      <c r="D2559" s="49"/>
      <c r="E2559" s="49"/>
      <c r="F2559" s="49"/>
      <c r="G2559" s="49"/>
      <c r="H2559" s="49"/>
      <c r="I2559" s="49"/>
    </row>
    <row r="2560" ht="15.75" customHeight="1" spans="1:9">
      <c r="A2560" s="49"/>
      <c r="B2560" s="36" t="s">
        <v>4009</v>
      </c>
      <c r="C2560" s="36" t="s">
        <v>4032</v>
      </c>
      <c r="D2560" s="49"/>
      <c r="E2560" s="49"/>
      <c r="F2560" s="49"/>
      <c r="G2560" s="49"/>
      <c r="H2560" s="49"/>
      <c r="I2560" s="49"/>
    </row>
    <row r="2561" ht="15.75" customHeight="1" spans="1:9">
      <c r="A2561" s="49"/>
      <c r="B2561" s="36" t="s">
        <v>4009</v>
      </c>
      <c r="C2561" s="36" t="s">
        <v>4033</v>
      </c>
      <c r="D2561" s="49"/>
      <c r="E2561" s="49"/>
      <c r="F2561" s="49"/>
      <c r="G2561" s="49"/>
      <c r="H2561" s="49"/>
      <c r="I2561" s="49"/>
    </row>
    <row r="2562" ht="15.75" customHeight="1" spans="1:9">
      <c r="A2562" s="49"/>
      <c r="B2562" s="36" t="s">
        <v>4009</v>
      </c>
      <c r="C2562" s="36" t="s">
        <v>4034</v>
      </c>
      <c r="D2562" s="49"/>
      <c r="E2562" s="49"/>
      <c r="F2562" s="49"/>
      <c r="G2562" s="49"/>
      <c r="H2562" s="49"/>
      <c r="I2562" s="49"/>
    </row>
    <row r="2563" ht="15.75" customHeight="1" spans="1:9">
      <c r="A2563" s="49"/>
      <c r="B2563" s="36" t="s">
        <v>4009</v>
      </c>
      <c r="C2563" s="36" t="s">
        <v>4035</v>
      </c>
      <c r="D2563" s="49"/>
      <c r="E2563" s="49"/>
      <c r="F2563" s="49"/>
      <c r="G2563" s="49"/>
      <c r="H2563" s="49"/>
      <c r="I2563" s="49"/>
    </row>
    <row r="2564" ht="15.75" customHeight="1" spans="1:9">
      <c r="A2564" s="49"/>
      <c r="B2564" s="36" t="s">
        <v>4009</v>
      </c>
      <c r="C2564" s="36" t="s">
        <v>4036</v>
      </c>
      <c r="D2564" s="49"/>
      <c r="E2564" s="49"/>
      <c r="F2564" s="49"/>
      <c r="G2564" s="49"/>
      <c r="H2564" s="49"/>
      <c r="I2564" s="49"/>
    </row>
    <row r="2565" ht="15.75" customHeight="1" spans="1:9">
      <c r="A2565" s="49"/>
      <c r="B2565" s="36" t="s">
        <v>4009</v>
      </c>
      <c r="C2565" s="36" t="s">
        <v>4037</v>
      </c>
      <c r="D2565" s="49"/>
      <c r="E2565" s="49"/>
      <c r="F2565" s="49"/>
      <c r="G2565" s="49"/>
      <c r="H2565" s="49"/>
      <c r="I2565" s="49"/>
    </row>
    <row r="2566" ht="15.75" customHeight="1" spans="1:9">
      <c r="A2566" s="49"/>
      <c r="B2566" s="36" t="s">
        <v>4009</v>
      </c>
      <c r="C2566" s="36" t="s">
        <v>4038</v>
      </c>
      <c r="D2566" s="49"/>
      <c r="E2566" s="49"/>
      <c r="F2566" s="49"/>
      <c r="G2566" s="49"/>
      <c r="H2566" s="49"/>
      <c r="I2566" s="49"/>
    </row>
    <row r="2567" ht="15.75" customHeight="1" spans="1:9">
      <c r="A2567" s="49"/>
      <c r="B2567" s="36" t="s">
        <v>4009</v>
      </c>
      <c r="C2567" s="36" t="s">
        <v>4039</v>
      </c>
      <c r="D2567" s="49"/>
      <c r="E2567" s="49"/>
      <c r="F2567" s="49"/>
      <c r="G2567" s="49"/>
      <c r="H2567" s="49"/>
      <c r="I2567" s="49"/>
    </row>
    <row r="2568" ht="15.75" customHeight="1" spans="1:9">
      <c r="A2568" s="49"/>
      <c r="B2568" s="36" t="s">
        <v>4009</v>
      </c>
      <c r="C2568" s="36" t="s">
        <v>4040</v>
      </c>
      <c r="D2568" s="49"/>
      <c r="E2568" s="49"/>
      <c r="F2568" s="49"/>
      <c r="G2568" s="49"/>
      <c r="H2568" s="49"/>
      <c r="I2568" s="49"/>
    </row>
    <row r="2569" ht="15.75" customHeight="1" spans="1:9">
      <c r="A2569" s="49"/>
      <c r="B2569" s="36" t="s">
        <v>4009</v>
      </c>
      <c r="C2569" s="36" t="s">
        <v>4010</v>
      </c>
      <c r="D2569" s="49"/>
      <c r="E2569" s="49"/>
      <c r="F2569" s="49"/>
      <c r="G2569" s="49"/>
      <c r="H2569" s="49"/>
      <c r="I2569" s="49"/>
    </row>
    <row r="2570" ht="15.75" customHeight="1" spans="1:9">
      <c r="A2570" s="49"/>
      <c r="B2570" s="36" t="s">
        <v>4009</v>
      </c>
      <c r="C2570" s="36" t="s">
        <v>4041</v>
      </c>
      <c r="D2570" s="49"/>
      <c r="E2570" s="49"/>
      <c r="F2570" s="49"/>
      <c r="G2570" s="49"/>
      <c r="H2570" s="49"/>
      <c r="I2570" s="49"/>
    </row>
    <row r="2571" ht="15.75" customHeight="1" spans="1:9">
      <c r="A2571" s="49"/>
      <c r="B2571" s="36" t="s">
        <v>4009</v>
      </c>
      <c r="C2571" s="36" t="s">
        <v>4011</v>
      </c>
      <c r="D2571" s="49"/>
      <c r="E2571" s="49"/>
      <c r="F2571" s="49"/>
      <c r="G2571" s="49"/>
      <c r="H2571" s="49"/>
      <c r="I2571" s="49"/>
    </row>
    <row r="2572" ht="15.75" customHeight="1" spans="1:9">
      <c r="A2572" s="49"/>
      <c r="B2572" s="36" t="s">
        <v>4009</v>
      </c>
      <c r="C2572" s="36" t="s">
        <v>4013</v>
      </c>
      <c r="D2572" s="49"/>
      <c r="E2572" s="49"/>
      <c r="F2572" s="49"/>
      <c r="G2572" s="49"/>
      <c r="H2572" s="49"/>
      <c r="I2572" s="49"/>
    </row>
    <row r="2573" ht="15.75" customHeight="1" spans="1:9">
      <c r="A2573" s="49"/>
      <c r="B2573" s="36" t="s">
        <v>4009</v>
      </c>
      <c r="C2573" s="36" t="s">
        <v>136</v>
      </c>
      <c r="D2573" s="49"/>
      <c r="E2573" s="49"/>
      <c r="F2573" s="49"/>
      <c r="G2573" s="49"/>
      <c r="H2573" s="49"/>
      <c r="I2573" s="49"/>
    </row>
    <row r="2574" ht="15.75" customHeight="1" spans="1:9">
      <c r="A2574" s="49"/>
      <c r="B2574" s="36" t="s">
        <v>4009</v>
      </c>
      <c r="C2574" s="36" t="s">
        <v>4042</v>
      </c>
      <c r="D2574" s="49"/>
      <c r="E2574" s="49"/>
      <c r="F2574" s="49"/>
      <c r="G2574" s="49"/>
      <c r="H2574" s="49"/>
      <c r="I2574" s="49"/>
    </row>
    <row r="2575" ht="15.75" customHeight="1" spans="1:9">
      <c r="A2575" s="49"/>
      <c r="B2575" s="36" t="s">
        <v>4009</v>
      </c>
      <c r="C2575" s="36" t="s">
        <v>4036</v>
      </c>
      <c r="D2575" s="49"/>
      <c r="E2575" s="49"/>
      <c r="F2575" s="49"/>
      <c r="G2575" s="49"/>
      <c r="H2575" s="49"/>
      <c r="I2575" s="49"/>
    </row>
    <row r="2576" ht="15.75" customHeight="1" spans="1:9">
      <c r="A2576" s="49"/>
      <c r="B2576" s="36" t="s">
        <v>4009</v>
      </c>
      <c r="C2576" s="36" t="s">
        <v>4043</v>
      </c>
      <c r="D2576" s="49"/>
      <c r="E2576" s="49"/>
      <c r="F2576" s="49"/>
      <c r="G2576" s="49"/>
      <c r="H2576" s="49"/>
      <c r="I2576" s="49"/>
    </row>
    <row r="2577" ht="15.75" customHeight="1" spans="1:9">
      <c r="A2577" s="49"/>
      <c r="B2577" s="36" t="s">
        <v>4009</v>
      </c>
      <c r="C2577" s="36" t="s">
        <v>4044</v>
      </c>
      <c r="D2577" s="49"/>
      <c r="E2577" s="49"/>
      <c r="F2577" s="49"/>
      <c r="G2577" s="49"/>
      <c r="H2577" s="49"/>
      <c r="I2577" s="49"/>
    </row>
    <row r="2578" ht="15.75" customHeight="1" spans="1:9">
      <c r="A2578" s="49"/>
      <c r="B2578" s="36" t="s">
        <v>4009</v>
      </c>
      <c r="C2578" s="36" t="s">
        <v>4045</v>
      </c>
      <c r="D2578" s="49"/>
      <c r="E2578" s="49"/>
      <c r="F2578" s="49"/>
      <c r="G2578" s="49"/>
      <c r="H2578" s="49"/>
      <c r="I2578" s="49"/>
    </row>
    <row r="2579" ht="15.75" customHeight="1" spans="1:9">
      <c r="A2579" s="49"/>
      <c r="B2579" s="36" t="s">
        <v>4009</v>
      </c>
      <c r="C2579" s="36" t="s">
        <v>4046</v>
      </c>
      <c r="D2579" s="49"/>
      <c r="E2579" s="49"/>
      <c r="F2579" s="49"/>
      <c r="G2579" s="49"/>
      <c r="H2579" s="49"/>
      <c r="I2579" s="49"/>
    </row>
    <row r="2580" ht="15.75" customHeight="1" spans="1:9">
      <c r="A2580" s="49"/>
      <c r="B2580" s="36" t="s">
        <v>4009</v>
      </c>
      <c r="C2580" s="36" t="s">
        <v>4047</v>
      </c>
      <c r="D2580" s="49"/>
      <c r="E2580" s="49"/>
      <c r="F2580" s="49"/>
      <c r="G2580" s="49"/>
      <c r="H2580" s="49"/>
      <c r="I2580" s="49"/>
    </row>
    <row r="2581" ht="15.75" customHeight="1" spans="1:9">
      <c r="A2581" s="49"/>
      <c r="B2581" s="36" t="s">
        <v>4009</v>
      </c>
      <c r="C2581" s="36" t="s">
        <v>4048</v>
      </c>
      <c r="D2581" s="49"/>
      <c r="E2581" s="49"/>
      <c r="F2581" s="49"/>
      <c r="G2581" s="49"/>
      <c r="H2581" s="49"/>
      <c r="I2581" s="49"/>
    </row>
    <row r="2582" ht="15.75" customHeight="1" spans="1:9">
      <c r="A2582" s="49"/>
      <c r="B2582" s="36" t="s">
        <v>4009</v>
      </c>
      <c r="C2582" s="36" t="s">
        <v>4049</v>
      </c>
      <c r="D2582" s="49"/>
      <c r="E2582" s="49"/>
      <c r="F2582" s="49"/>
      <c r="G2582" s="49"/>
      <c r="H2582" s="49"/>
      <c r="I2582" s="49"/>
    </row>
    <row r="2583" ht="15.75" customHeight="1" spans="1:9">
      <c r="A2583" s="49"/>
      <c r="B2583" s="36" t="s">
        <v>4009</v>
      </c>
      <c r="C2583" s="36" t="s">
        <v>4050</v>
      </c>
      <c r="D2583" s="49"/>
      <c r="E2583" s="49"/>
      <c r="F2583" s="49"/>
      <c r="G2583" s="49"/>
      <c r="H2583" s="49"/>
      <c r="I2583" s="49"/>
    </row>
    <row r="2584" ht="15.75" customHeight="1" spans="1:9">
      <c r="A2584" s="49"/>
      <c r="B2584" s="36" t="s">
        <v>4009</v>
      </c>
      <c r="C2584" s="36" t="s">
        <v>4051</v>
      </c>
      <c r="D2584" s="49"/>
      <c r="E2584" s="49"/>
      <c r="F2584" s="49"/>
      <c r="G2584" s="49"/>
      <c r="H2584" s="49"/>
      <c r="I2584" s="49"/>
    </row>
    <row r="2585" ht="15.75" customHeight="1" spans="1:9">
      <c r="A2585" s="49"/>
      <c r="B2585" s="36" t="s">
        <v>4009</v>
      </c>
      <c r="C2585" s="36" t="s">
        <v>4052</v>
      </c>
      <c r="D2585" s="49"/>
      <c r="E2585" s="49"/>
      <c r="F2585" s="49"/>
      <c r="G2585" s="49"/>
      <c r="H2585" s="49"/>
      <c r="I2585" s="49"/>
    </row>
    <row r="2586" ht="15.75" customHeight="1" spans="1:9">
      <c r="A2586" s="49"/>
      <c r="B2586" s="36" t="s">
        <v>4009</v>
      </c>
      <c r="C2586" s="36" t="s">
        <v>4053</v>
      </c>
      <c r="D2586" s="49"/>
      <c r="E2586" s="49"/>
      <c r="F2586" s="49"/>
      <c r="G2586" s="49"/>
      <c r="H2586" s="49"/>
      <c r="I2586" s="49"/>
    </row>
    <row r="2587" ht="15.75" customHeight="1" spans="1:9">
      <c r="A2587" s="49"/>
      <c r="B2587" s="36" t="s">
        <v>4009</v>
      </c>
      <c r="C2587" s="36" t="s">
        <v>4054</v>
      </c>
      <c r="D2587" s="49"/>
      <c r="E2587" s="49"/>
      <c r="F2587" s="49"/>
      <c r="G2587" s="49"/>
      <c r="H2587" s="49"/>
      <c r="I2587" s="49"/>
    </row>
    <row r="2588" ht="15.75" customHeight="1" spans="1:9">
      <c r="A2588" s="49"/>
      <c r="B2588" s="36" t="s">
        <v>4009</v>
      </c>
      <c r="C2588" s="36" t="s">
        <v>4055</v>
      </c>
      <c r="D2588" s="49"/>
      <c r="E2588" s="49"/>
      <c r="F2588" s="49"/>
      <c r="G2588" s="49"/>
      <c r="H2588" s="49"/>
      <c r="I2588" s="49"/>
    </row>
    <row r="2589" ht="15.75" customHeight="1" spans="1:9">
      <c r="A2589" s="49"/>
      <c r="B2589" s="36" t="s">
        <v>4009</v>
      </c>
      <c r="C2589" s="36" t="s">
        <v>4056</v>
      </c>
      <c r="D2589" s="49"/>
      <c r="E2589" s="49"/>
      <c r="F2589" s="49"/>
      <c r="G2589" s="49"/>
      <c r="H2589" s="49"/>
      <c r="I2589" s="49"/>
    </row>
    <row r="2590" ht="15.75" customHeight="1" spans="1:9">
      <c r="A2590" s="49"/>
      <c r="B2590" s="36" t="s">
        <v>4057</v>
      </c>
      <c r="C2590" s="36" t="s">
        <v>4058</v>
      </c>
      <c r="D2590" s="49"/>
      <c r="E2590" s="49"/>
      <c r="F2590" s="49"/>
      <c r="G2590" s="49"/>
      <c r="H2590" s="49"/>
      <c r="I2590" s="49"/>
    </row>
    <row r="2591" ht="15.75" customHeight="1" spans="1:9">
      <c r="A2591" s="49"/>
      <c r="B2591" s="36" t="s">
        <v>4057</v>
      </c>
      <c r="C2591" s="36" t="s">
        <v>4059</v>
      </c>
      <c r="D2591" s="49"/>
      <c r="E2591" s="49"/>
      <c r="F2591" s="49"/>
      <c r="G2591" s="49"/>
      <c r="H2591" s="49"/>
      <c r="I2591" s="49"/>
    </row>
    <row r="2592" ht="15.75" customHeight="1" spans="1:9">
      <c r="A2592" s="49"/>
      <c r="B2592" s="36" t="s">
        <v>4057</v>
      </c>
      <c r="C2592" s="36" t="s">
        <v>25</v>
      </c>
      <c r="D2592" s="49"/>
      <c r="E2592" s="49"/>
      <c r="F2592" s="49"/>
      <c r="G2592" s="49"/>
      <c r="H2592" s="49"/>
      <c r="I2592" s="49"/>
    </row>
    <row r="2593" ht="15.75" customHeight="1" spans="1:9">
      <c r="A2593" s="49"/>
      <c r="B2593" s="36" t="s">
        <v>4057</v>
      </c>
      <c r="C2593" s="36" t="s">
        <v>4060</v>
      </c>
      <c r="D2593" s="49"/>
      <c r="E2593" s="49"/>
      <c r="F2593" s="49"/>
      <c r="G2593" s="49"/>
      <c r="H2593" s="49"/>
      <c r="I2593" s="49"/>
    </row>
    <row r="2594" ht="15.75" customHeight="1" spans="1:9">
      <c r="A2594" s="49"/>
      <c r="B2594" s="36" t="s">
        <v>4057</v>
      </c>
      <c r="C2594" s="36" t="s">
        <v>4061</v>
      </c>
      <c r="D2594" s="49"/>
      <c r="E2594" s="49"/>
      <c r="F2594" s="49"/>
      <c r="G2594" s="49"/>
      <c r="H2594" s="49"/>
      <c r="I2594" s="49"/>
    </row>
    <row r="2595" ht="15.75" customHeight="1" spans="1:9">
      <c r="A2595" s="49"/>
      <c r="B2595" s="36" t="s">
        <v>4057</v>
      </c>
      <c r="C2595" s="36" t="s">
        <v>4062</v>
      </c>
      <c r="D2595" s="49"/>
      <c r="E2595" s="49"/>
      <c r="F2595" s="49"/>
      <c r="G2595" s="49"/>
      <c r="H2595" s="49"/>
      <c r="I2595" s="49"/>
    </row>
    <row r="2596" ht="15.75" customHeight="1" spans="1:9">
      <c r="A2596" s="49"/>
      <c r="B2596" s="36" t="s">
        <v>4057</v>
      </c>
      <c r="C2596" s="36" t="s">
        <v>4063</v>
      </c>
      <c r="D2596" s="49"/>
      <c r="E2596" s="49"/>
      <c r="F2596" s="49"/>
      <c r="G2596" s="49"/>
      <c r="H2596" s="49"/>
      <c r="I2596" s="49"/>
    </row>
    <row r="2597" ht="15.75" customHeight="1" spans="1:9">
      <c r="A2597" s="49"/>
      <c r="B2597" s="36" t="s">
        <v>4057</v>
      </c>
      <c r="C2597" s="36" t="s">
        <v>141</v>
      </c>
      <c r="D2597" s="49"/>
      <c r="E2597" s="49"/>
      <c r="F2597" s="49"/>
      <c r="G2597" s="49"/>
      <c r="H2597" s="49"/>
      <c r="I2597" s="49"/>
    </row>
    <row r="2598" ht="15.75" customHeight="1" spans="1:9">
      <c r="A2598" s="49"/>
      <c r="B2598" s="36" t="s">
        <v>4057</v>
      </c>
      <c r="C2598" s="36" t="s">
        <v>28</v>
      </c>
      <c r="D2598" s="49"/>
      <c r="E2598" s="49"/>
      <c r="F2598" s="49"/>
      <c r="G2598" s="49"/>
      <c r="H2598" s="49"/>
      <c r="I2598" s="49"/>
    </row>
    <row r="2599" ht="15.75" customHeight="1" spans="1:9">
      <c r="A2599" s="49"/>
      <c r="B2599" s="36" t="s">
        <v>4057</v>
      </c>
      <c r="C2599" s="36" t="s">
        <v>4064</v>
      </c>
      <c r="D2599" s="49"/>
      <c r="E2599" s="49"/>
      <c r="F2599" s="49"/>
      <c r="G2599" s="49"/>
      <c r="H2599" s="49"/>
      <c r="I2599" s="49"/>
    </row>
    <row r="2600" ht="15.75" customHeight="1" spans="1:9">
      <c r="A2600" s="49"/>
      <c r="B2600" s="36" t="s">
        <v>4057</v>
      </c>
      <c r="C2600" s="36" t="s">
        <v>4065</v>
      </c>
      <c r="D2600" s="49"/>
      <c r="E2600" s="49"/>
      <c r="F2600" s="49"/>
      <c r="G2600" s="49"/>
      <c r="H2600" s="49"/>
      <c r="I2600" s="49"/>
    </row>
    <row r="2601" ht="15.75" customHeight="1" spans="1:9">
      <c r="A2601" s="49"/>
      <c r="B2601" s="36" t="s">
        <v>4057</v>
      </c>
      <c r="C2601" s="36" t="s">
        <v>4066</v>
      </c>
      <c r="D2601" s="49"/>
      <c r="E2601" s="49"/>
      <c r="F2601" s="49"/>
      <c r="G2601" s="49"/>
      <c r="H2601" s="49"/>
      <c r="I2601" s="49"/>
    </row>
    <row r="2602" ht="15.75" customHeight="1" spans="1:9">
      <c r="A2602" s="49"/>
      <c r="B2602" s="36" t="s">
        <v>4057</v>
      </c>
      <c r="C2602" s="36" t="s">
        <v>4057</v>
      </c>
      <c r="D2602" s="49"/>
      <c r="E2602" s="49"/>
      <c r="F2602" s="49"/>
      <c r="G2602" s="49"/>
      <c r="H2602" s="49"/>
      <c r="I2602" s="49"/>
    </row>
    <row r="2603" ht="15.75" customHeight="1" spans="1:9">
      <c r="A2603" s="49"/>
      <c r="B2603" s="36" t="s">
        <v>4057</v>
      </c>
      <c r="C2603" s="36" t="s">
        <v>4067</v>
      </c>
      <c r="D2603" s="49"/>
      <c r="E2603" s="49"/>
      <c r="F2603" s="49"/>
      <c r="G2603" s="49"/>
      <c r="H2603" s="49"/>
      <c r="I2603" s="49"/>
    </row>
    <row r="2604" ht="15.75" customHeight="1" spans="1:9">
      <c r="A2604" s="49"/>
      <c r="B2604" s="36" t="s">
        <v>4057</v>
      </c>
      <c r="C2604" s="36" t="s">
        <v>4068</v>
      </c>
      <c r="D2604" s="49"/>
      <c r="E2604" s="49"/>
      <c r="F2604" s="49"/>
      <c r="G2604" s="49"/>
      <c r="H2604" s="49"/>
      <c r="I2604" s="49"/>
    </row>
    <row r="2605" ht="15.75" customHeight="1" spans="1:9">
      <c r="A2605" s="49"/>
      <c r="B2605" s="36" t="s">
        <v>4057</v>
      </c>
      <c r="C2605" s="36" t="s">
        <v>4069</v>
      </c>
      <c r="D2605" s="49"/>
      <c r="E2605" s="49"/>
      <c r="F2605" s="49"/>
      <c r="G2605" s="49"/>
      <c r="H2605" s="49"/>
      <c r="I2605" s="49"/>
    </row>
    <row r="2606" ht="15.75" customHeight="1" spans="1:9">
      <c r="A2606" s="49"/>
      <c r="B2606" s="36" t="s">
        <v>4057</v>
      </c>
      <c r="C2606" s="36" t="s">
        <v>4070</v>
      </c>
      <c r="D2606" s="49"/>
      <c r="E2606" s="49"/>
      <c r="F2606" s="49"/>
      <c r="G2606" s="49"/>
      <c r="H2606" s="49"/>
      <c r="I2606" s="49"/>
    </row>
    <row r="2607" ht="15.75" customHeight="1" spans="1:9">
      <c r="A2607" s="49"/>
      <c r="B2607" s="36" t="s">
        <v>4057</v>
      </c>
      <c r="C2607" s="36" t="s">
        <v>4071</v>
      </c>
      <c r="D2607" s="49"/>
      <c r="E2607" s="49"/>
      <c r="F2607" s="49"/>
      <c r="G2607" s="49"/>
      <c r="H2607" s="49"/>
      <c r="I2607" s="49"/>
    </row>
    <row r="2608" ht="15.75" customHeight="1" spans="1:9">
      <c r="A2608" s="49"/>
      <c r="B2608" s="36" t="s">
        <v>4057</v>
      </c>
      <c r="C2608" s="36" t="s">
        <v>4072</v>
      </c>
      <c r="D2608" s="49"/>
      <c r="E2608" s="49"/>
      <c r="F2608" s="49"/>
      <c r="G2608" s="49"/>
      <c r="H2608" s="49"/>
      <c r="I2608" s="49"/>
    </row>
    <row r="2609" ht="15.75" customHeight="1" spans="1:9">
      <c r="A2609" s="49"/>
      <c r="B2609" s="36" t="s">
        <v>4057</v>
      </c>
      <c r="C2609" s="36" t="s">
        <v>4073</v>
      </c>
      <c r="D2609" s="49"/>
      <c r="E2609" s="49"/>
      <c r="F2609" s="49"/>
      <c r="G2609" s="49"/>
      <c r="H2609" s="49"/>
      <c r="I2609" s="49"/>
    </row>
    <row r="2610" ht="15.75" customHeight="1" spans="1:9">
      <c r="A2610" s="49"/>
      <c r="B2610" s="36" t="s">
        <v>4057</v>
      </c>
      <c r="C2610" s="36" t="s">
        <v>4074</v>
      </c>
      <c r="D2610" s="49"/>
      <c r="E2610" s="49"/>
      <c r="F2610" s="49"/>
      <c r="G2610" s="49"/>
      <c r="H2610" s="49"/>
      <c r="I2610" s="49"/>
    </row>
    <row r="2611" ht="15.75" customHeight="1" spans="1:9">
      <c r="A2611" s="49"/>
      <c r="B2611" s="36" t="s">
        <v>4057</v>
      </c>
      <c r="C2611" s="36" t="s">
        <v>4075</v>
      </c>
      <c r="D2611" s="49"/>
      <c r="E2611" s="49"/>
      <c r="F2611" s="49"/>
      <c r="G2611" s="49"/>
      <c r="H2611" s="49"/>
      <c r="I2611" s="49"/>
    </row>
    <row r="2612" ht="15.75" customHeight="1" spans="1:9">
      <c r="A2612" s="49"/>
      <c r="B2612" s="36" t="s">
        <v>4057</v>
      </c>
      <c r="C2612" s="36" t="s">
        <v>4076</v>
      </c>
      <c r="D2612" s="49"/>
      <c r="E2612" s="49"/>
      <c r="F2612" s="49"/>
      <c r="G2612" s="49"/>
      <c r="H2612" s="49"/>
      <c r="I2612" s="49"/>
    </row>
    <row r="2613" ht="15.75" customHeight="1" spans="1:9">
      <c r="A2613" s="49"/>
      <c r="B2613" s="36" t="s">
        <v>4057</v>
      </c>
      <c r="C2613" s="36" t="s">
        <v>4077</v>
      </c>
      <c r="D2613" s="49"/>
      <c r="E2613" s="49"/>
      <c r="F2613" s="49"/>
      <c r="G2613" s="49"/>
      <c r="H2613" s="49"/>
      <c r="I2613" s="49"/>
    </row>
    <row r="2614" ht="15.75" customHeight="1" spans="1:9">
      <c r="A2614" s="49"/>
      <c r="B2614" s="36" t="s">
        <v>4057</v>
      </c>
      <c r="C2614" s="36" t="s">
        <v>4078</v>
      </c>
      <c r="D2614" s="49"/>
      <c r="E2614" s="49"/>
      <c r="F2614" s="49"/>
      <c r="G2614" s="49"/>
      <c r="H2614" s="49"/>
      <c r="I2614" s="49"/>
    </row>
    <row r="2615" ht="15.75" customHeight="1" spans="1:9">
      <c r="A2615" s="49"/>
      <c r="B2615" s="36" t="s">
        <v>4057</v>
      </c>
      <c r="C2615" s="36" t="s">
        <v>4079</v>
      </c>
      <c r="D2615" s="49"/>
      <c r="E2615" s="49"/>
      <c r="F2615" s="49"/>
      <c r="G2615" s="49"/>
      <c r="H2615" s="49"/>
      <c r="I2615" s="49"/>
    </row>
    <row r="2616" ht="15.75" customHeight="1" spans="1:9">
      <c r="A2616" s="49"/>
      <c r="B2616" s="36" t="s">
        <v>4057</v>
      </c>
      <c r="C2616" s="36" t="s">
        <v>4080</v>
      </c>
      <c r="D2616" s="49"/>
      <c r="E2616" s="49"/>
      <c r="F2616" s="49"/>
      <c r="G2616" s="49"/>
      <c r="H2616" s="49"/>
      <c r="I2616" s="49"/>
    </row>
    <row r="2617" ht="15.75" customHeight="1" spans="1:9">
      <c r="A2617" s="49"/>
      <c r="B2617" s="36" t="s">
        <v>4057</v>
      </c>
      <c r="C2617" s="36" t="s">
        <v>4081</v>
      </c>
      <c r="D2617" s="49"/>
      <c r="E2617" s="49"/>
      <c r="F2617" s="49"/>
      <c r="G2617" s="49"/>
      <c r="H2617" s="49"/>
      <c r="I2617" s="49"/>
    </row>
    <row r="2618" ht="15.75" customHeight="1" spans="1:9">
      <c r="A2618" s="49"/>
      <c r="B2618" s="36" t="s">
        <v>4057</v>
      </c>
      <c r="C2618" s="36" t="s">
        <v>4082</v>
      </c>
      <c r="D2618" s="49"/>
      <c r="E2618" s="49"/>
      <c r="F2618" s="49"/>
      <c r="G2618" s="49"/>
      <c r="H2618" s="49"/>
      <c r="I2618" s="49"/>
    </row>
    <row r="2619" ht="15.75" customHeight="1" spans="1:9">
      <c r="A2619" s="49"/>
      <c r="B2619" s="36" t="s">
        <v>4057</v>
      </c>
      <c r="C2619" s="36" t="s">
        <v>4083</v>
      </c>
      <c r="D2619" s="49"/>
      <c r="E2619" s="49"/>
      <c r="F2619" s="49"/>
      <c r="G2619" s="49"/>
      <c r="H2619" s="49"/>
      <c r="I2619" s="49"/>
    </row>
    <row r="2620" ht="15.75" customHeight="1" spans="1:9">
      <c r="A2620" s="49"/>
      <c r="B2620" s="36" t="s">
        <v>4057</v>
      </c>
      <c r="C2620" s="36" t="s">
        <v>4084</v>
      </c>
      <c r="D2620" s="49"/>
      <c r="E2620" s="49"/>
      <c r="F2620" s="49"/>
      <c r="G2620" s="49"/>
      <c r="H2620" s="49"/>
      <c r="I2620" s="49"/>
    </row>
    <row r="2621" ht="15.75" customHeight="1" spans="1:9">
      <c r="A2621" s="49"/>
      <c r="B2621" s="36" t="s">
        <v>4057</v>
      </c>
      <c r="C2621" s="36" t="s">
        <v>4085</v>
      </c>
      <c r="D2621" s="49"/>
      <c r="E2621" s="49"/>
      <c r="F2621" s="49"/>
      <c r="G2621" s="49"/>
      <c r="H2621" s="49"/>
      <c r="I2621" s="49"/>
    </row>
    <row r="2622" ht="15.75" customHeight="1" spans="1:9">
      <c r="A2622" s="49"/>
      <c r="B2622" s="36" t="s">
        <v>4057</v>
      </c>
      <c r="C2622" s="36" t="s">
        <v>4086</v>
      </c>
      <c r="D2622" s="49"/>
      <c r="E2622" s="49"/>
      <c r="F2622" s="49"/>
      <c r="G2622" s="49"/>
      <c r="H2622" s="49"/>
      <c r="I2622" s="49"/>
    </row>
    <row r="2623" ht="15.75" customHeight="1" spans="1:9">
      <c r="A2623" s="49"/>
      <c r="B2623" s="36" t="s">
        <v>4057</v>
      </c>
      <c r="C2623" s="36" t="s">
        <v>4087</v>
      </c>
      <c r="D2623" s="49"/>
      <c r="E2623" s="49"/>
      <c r="F2623" s="49"/>
      <c r="G2623" s="49"/>
      <c r="H2623" s="49"/>
      <c r="I2623" s="49"/>
    </row>
    <row r="2624" ht="15.75" customHeight="1" spans="1:9">
      <c r="A2624" s="49"/>
      <c r="B2624" s="36" t="s">
        <v>4057</v>
      </c>
      <c r="C2624" s="36" t="s">
        <v>4088</v>
      </c>
      <c r="D2624" s="49"/>
      <c r="E2624" s="49"/>
      <c r="F2624" s="49"/>
      <c r="G2624" s="49"/>
      <c r="H2624" s="49"/>
      <c r="I2624" s="49"/>
    </row>
    <row r="2625" ht="15.75" customHeight="1" spans="1:9">
      <c r="A2625" s="49"/>
      <c r="B2625" s="36" t="s">
        <v>4057</v>
      </c>
      <c r="C2625" s="36" t="s">
        <v>4089</v>
      </c>
      <c r="D2625" s="49"/>
      <c r="E2625" s="49"/>
      <c r="F2625" s="49"/>
      <c r="G2625" s="49"/>
      <c r="H2625" s="49"/>
      <c r="I2625" s="49"/>
    </row>
    <row r="2626" ht="15.75" customHeight="1" spans="1:9">
      <c r="A2626" s="49"/>
      <c r="B2626" s="36" t="s">
        <v>4057</v>
      </c>
      <c r="C2626" s="36" t="s">
        <v>4090</v>
      </c>
      <c r="D2626" s="49"/>
      <c r="E2626" s="49"/>
      <c r="F2626" s="49"/>
      <c r="G2626" s="49"/>
      <c r="H2626" s="49"/>
      <c r="I2626" s="49"/>
    </row>
    <row r="2627" ht="15.75" customHeight="1" spans="1:9">
      <c r="A2627" s="49"/>
      <c r="B2627" s="36" t="s">
        <v>4057</v>
      </c>
      <c r="C2627" s="36" t="s">
        <v>4091</v>
      </c>
      <c r="D2627" s="49"/>
      <c r="E2627" s="49"/>
      <c r="F2627" s="49"/>
      <c r="G2627" s="49"/>
      <c r="H2627" s="49"/>
      <c r="I2627" s="49"/>
    </row>
    <row r="2628" ht="15.75" customHeight="1" spans="1:9">
      <c r="A2628" s="49"/>
      <c r="B2628" s="36" t="s">
        <v>4057</v>
      </c>
      <c r="C2628" s="36" t="s">
        <v>4092</v>
      </c>
      <c r="D2628" s="49"/>
      <c r="E2628" s="49"/>
      <c r="F2628" s="49"/>
      <c r="G2628" s="49"/>
      <c r="H2628" s="49"/>
      <c r="I2628" s="49"/>
    </row>
    <row r="2629" ht="15.75" customHeight="1" spans="1:9">
      <c r="A2629" s="49"/>
      <c r="B2629" s="36" t="s">
        <v>4057</v>
      </c>
      <c r="C2629" s="36" t="s">
        <v>4093</v>
      </c>
      <c r="D2629" s="49"/>
      <c r="E2629" s="49"/>
      <c r="F2629" s="49"/>
      <c r="G2629" s="49"/>
      <c r="H2629" s="49"/>
      <c r="I2629" s="49"/>
    </row>
    <row r="2630" ht="15.75" customHeight="1" spans="1:9">
      <c r="A2630" s="49"/>
      <c r="B2630" s="36" t="s">
        <v>4057</v>
      </c>
      <c r="C2630" s="36" t="s">
        <v>4094</v>
      </c>
      <c r="D2630" s="49"/>
      <c r="E2630" s="49"/>
      <c r="F2630" s="49"/>
      <c r="G2630" s="49"/>
      <c r="H2630" s="49"/>
      <c r="I2630" s="49"/>
    </row>
    <row r="2631" ht="15.75" customHeight="1" spans="1:9">
      <c r="A2631" s="49"/>
      <c r="B2631" s="36" t="s">
        <v>4057</v>
      </c>
      <c r="C2631" s="36" t="s">
        <v>4095</v>
      </c>
      <c r="D2631" s="49"/>
      <c r="E2631" s="49"/>
      <c r="F2631" s="49"/>
      <c r="G2631" s="49"/>
      <c r="H2631" s="49"/>
      <c r="I2631" s="49"/>
    </row>
    <row r="2632" ht="15.75" customHeight="1" spans="1:9">
      <c r="A2632" s="49"/>
      <c r="B2632" s="36" t="s">
        <v>4057</v>
      </c>
      <c r="C2632" s="36" t="s">
        <v>4096</v>
      </c>
      <c r="D2632" s="49"/>
      <c r="E2632" s="49"/>
      <c r="F2632" s="49"/>
      <c r="G2632" s="49"/>
      <c r="H2632" s="49"/>
      <c r="I2632" s="49"/>
    </row>
    <row r="2633" ht="15.75" customHeight="1" spans="1:9">
      <c r="A2633" s="49"/>
      <c r="B2633" s="36" t="s">
        <v>4057</v>
      </c>
      <c r="C2633" s="36" t="s">
        <v>4097</v>
      </c>
      <c r="D2633" s="49"/>
      <c r="E2633" s="49"/>
      <c r="F2633" s="49"/>
      <c r="G2633" s="49"/>
      <c r="H2633" s="49"/>
      <c r="I2633" s="49"/>
    </row>
    <row r="2634" ht="15.75" customHeight="1" spans="1:9">
      <c r="A2634" s="49"/>
      <c r="B2634" s="36" t="s">
        <v>4057</v>
      </c>
      <c r="C2634" s="36" t="s">
        <v>4098</v>
      </c>
      <c r="D2634" s="49"/>
      <c r="E2634" s="49"/>
      <c r="F2634" s="49"/>
      <c r="G2634" s="49"/>
      <c r="H2634" s="49"/>
      <c r="I2634" s="49"/>
    </row>
    <row r="2635" ht="15.75" customHeight="1" spans="1:9">
      <c r="A2635" s="49"/>
      <c r="B2635" s="36" t="s">
        <v>4057</v>
      </c>
      <c r="C2635" s="36" t="s">
        <v>4099</v>
      </c>
      <c r="D2635" s="49"/>
      <c r="E2635" s="49"/>
      <c r="F2635" s="49"/>
      <c r="G2635" s="49"/>
      <c r="H2635" s="49"/>
      <c r="I2635" s="49"/>
    </row>
    <row r="2636" ht="15.75" customHeight="1" spans="1:9">
      <c r="A2636" s="49"/>
      <c r="B2636" s="36" t="s">
        <v>4057</v>
      </c>
      <c r="C2636" s="36" t="s">
        <v>4100</v>
      </c>
      <c r="D2636" s="49"/>
      <c r="E2636" s="49"/>
      <c r="F2636" s="49"/>
      <c r="G2636" s="49"/>
      <c r="H2636" s="49"/>
      <c r="I2636" s="49"/>
    </row>
    <row r="2637" ht="15.75" customHeight="1" spans="1:9">
      <c r="A2637" s="49"/>
      <c r="B2637" s="36" t="s">
        <v>4057</v>
      </c>
      <c r="C2637" s="36" t="s">
        <v>4101</v>
      </c>
      <c r="D2637" s="49"/>
      <c r="E2637" s="49"/>
      <c r="F2637" s="49"/>
      <c r="G2637" s="49"/>
      <c r="H2637" s="49"/>
      <c r="I2637" s="49"/>
    </row>
    <row r="2638" ht="15.75" customHeight="1" spans="1:9">
      <c r="A2638" s="49"/>
      <c r="B2638" s="36" t="s">
        <v>4057</v>
      </c>
      <c r="C2638" s="36" t="s">
        <v>4102</v>
      </c>
      <c r="D2638" s="49"/>
      <c r="E2638" s="49"/>
      <c r="F2638" s="49"/>
      <c r="G2638" s="49"/>
      <c r="H2638" s="49"/>
      <c r="I2638" s="49"/>
    </row>
    <row r="2639" ht="15.75" customHeight="1" spans="1:9">
      <c r="A2639" s="49"/>
      <c r="B2639" s="36" t="s">
        <v>4057</v>
      </c>
      <c r="C2639" s="36" t="s">
        <v>4103</v>
      </c>
      <c r="D2639" s="49"/>
      <c r="E2639" s="49"/>
      <c r="F2639" s="49"/>
      <c r="G2639" s="49"/>
      <c r="H2639" s="49"/>
      <c r="I2639" s="49"/>
    </row>
    <row r="2640" ht="15.75" customHeight="1" spans="1:9">
      <c r="A2640" s="49"/>
      <c r="B2640" s="36" t="s">
        <v>4057</v>
      </c>
      <c r="C2640" s="36" t="s">
        <v>4104</v>
      </c>
      <c r="D2640" s="49"/>
      <c r="E2640" s="49"/>
      <c r="F2640" s="49"/>
      <c r="G2640" s="49"/>
      <c r="H2640" s="49"/>
      <c r="I2640" s="49"/>
    </row>
    <row r="2641" ht="15.75" customHeight="1" spans="1:9">
      <c r="A2641" s="49"/>
      <c r="B2641" s="36" t="s">
        <v>4057</v>
      </c>
      <c r="C2641" s="36" t="s">
        <v>4105</v>
      </c>
      <c r="D2641" s="49"/>
      <c r="E2641" s="49"/>
      <c r="F2641" s="49"/>
      <c r="G2641" s="49"/>
      <c r="H2641" s="49"/>
      <c r="I2641" s="49"/>
    </row>
    <row r="2642" ht="15.75" customHeight="1" spans="1:9">
      <c r="A2642" s="49"/>
      <c r="B2642" s="36" t="s">
        <v>4057</v>
      </c>
      <c r="C2642" s="36" t="s">
        <v>4106</v>
      </c>
      <c r="D2642" s="49"/>
      <c r="E2642" s="49"/>
      <c r="F2642" s="49"/>
      <c r="G2642" s="49"/>
      <c r="H2642" s="49"/>
      <c r="I2642" s="49"/>
    </row>
    <row r="2643" ht="15.75" customHeight="1" spans="1:9">
      <c r="A2643" s="49"/>
      <c r="B2643" s="36" t="s">
        <v>4057</v>
      </c>
      <c r="C2643" s="36" t="s">
        <v>4107</v>
      </c>
      <c r="D2643" s="49"/>
      <c r="E2643" s="49"/>
      <c r="F2643" s="49"/>
      <c r="G2643" s="49"/>
      <c r="H2643" s="49"/>
      <c r="I2643" s="49"/>
    </row>
    <row r="2644" ht="15.75" customHeight="1" spans="1:9">
      <c r="A2644" s="49"/>
      <c r="B2644" s="36" t="s">
        <v>4057</v>
      </c>
      <c r="C2644" s="36" t="s">
        <v>4108</v>
      </c>
      <c r="D2644" s="49"/>
      <c r="E2644" s="49"/>
      <c r="F2644" s="49"/>
      <c r="G2644" s="49"/>
      <c r="H2644" s="49"/>
      <c r="I2644" s="49"/>
    </row>
    <row r="2645" ht="15.75" customHeight="1" spans="1:9">
      <c r="A2645" s="49"/>
      <c r="B2645" s="36" t="s">
        <v>4057</v>
      </c>
      <c r="C2645" s="36" t="s">
        <v>4109</v>
      </c>
      <c r="D2645" s="49"/>
      <c r="E2645" s="49"/>
      <c r="F2645" s="49"/>
      <c r="G2645" s="49"/>
      <c r="H2645" s="49"/>
      <c r="I2645" s="49"/>
    </row>
    <row r="2646" ht="15.75" customHeight="1" spans="1:9">
      <c r="A2646" s="49"/>
      <c r="B2646" s="36" t="s">
        <v>4057</v>
      </c>
      <c r="C2646" s="36" t="s">
        <v>4110</v>
      </c>
      <c r="D2646" s="49"/>
      <c r="E2646" s="49"/>
      <c r="F2646" s="49"/>
      <c r="G2646" s="49"/>
      <c r="H2646" s="49"/>
      <c r="I2646" s="49"/>
    </row>
    <row r="2647" ht="15.75" customHeight="1" spans="1:9">
      <c r="A2647" s="49"/>
      <c r="B2647" s="36" t="s">
        <v>4057</v>
      </c>
      <c r="C2647" s="36" t="s">
        <v>4111</v>
      </c>
      <c r="D2647" s="49"/>
      <c r="E2647" s="49"/>
      <c r="F2647" s="49"/>
      <c r="G2647" s="49"/>
      <c r="H2647" s="49"/>
      <c r="I2647" s="49"/>
    </row>
    <row r="2648" ht="15.75" customHeight="1" spans="1:9">
      <c r="A2648" s="49"/>
      <c r="B2648" s="36" t="s">
        <v>4057</v>
      </c>
      <c r="C2648" s="36" t="s">
        <v>4112</v>
      </c>
      <c r="D2648" s="49"/>
      <c r="E2648" s="49"/>
      <c r="F2648" s="49"/>
      <c r="G2648" s="49"/>
      <c r="H2648" s="49"/>
      <c r="I2648" s="49"/>
    </row>
    <row r="2649" ht="15.75" customHeight="1" spans="1:9">
      <c r="A2649" s="49"/>
      <c r="B2649" s="36" t="s">
        <v>4057</v>
      </c>
      <c r="C2649" s="36" t="s">
        <v>4113</v>
      </c>
      <c r="D2649" s="49"/>
      <c r="E2649" s="49"/>
      <c r="F2649" s="49"/>
      <c r="G2649" s="49"/>
      <c r="H2649" s="49"/>
      <c r="I2649" s="49"/>
    </row>
    <row r="2650" ht="15.75" customHeight="1" spans="1:9">
      <c r="A2650" s="49"/>
      <c r="B2650" s="36" t="s">
        <v>4057</v>
      </c>
      <c r="C2650" s="36" t="s">
        <v>4114</v>
      </c>
      <c r="D2650" s="49"/>
      <c r="E2650" s="49"/>
      <c r="F2650" s="49"/>
      <c r="G2650" s="49"/>
      <c r="H2650" s="49"/>
      <c r="I2650" s="49"/>
    </row>
    <row r="2651" ht="15.75" customHeight="1" spans="1:9">
      <c r="A2651" s="49"/>
      <c r="B2651" s="36" t="s">
        <v>4057</v>
      </c>
      <c r="C2651" s="36" t="s">
        <v>4115</v>
      </c>
      <c r="D2651" s="49"/>
      <c r="E2651" s="49"/>
      <c r="F2651" s="49"/>
      <c r="G2651" s="49"/>
      <c r="H2651" s="49"/>
      <c r="I2651" s="49"/>
    </row>
    <row r="2652" ht="15.75" customHeight="1" spans="1:9">
      <c r="A2652" s="49"/>
      <c r="B2652" s="36" t="s">
        <v>4057</v>
      </c>
      <c r="C2652" s="36" t="s">
        <v>4116</v>
      </c>
      <c r="D2652" s="49"/>
      <c r="E2652" s="49"/>
      <c r="F2652" s="49"/>
      <c r="G2652" s="49"/>
      <c r="H2652" s="49"/>
      <c r="I2652" s="49"/>
    </row>
    <row r="2653" ht="15.75" customHeight="1" spans="1:9">
      <c r="A2653" s="49"/>
      <c r="B2653" s="36" t="s">
        <v>4057</v>
      </c>
      <c r="C2653" s="36" t="s">
        <v>4117</v>
      </c>
      <c r="D2653" s="49"/>
      <c r="E2653" s="49"/>
      <c r="F2653" s="49"/>
      <c r="G2653" s="49"/>
      <c r="H2653" s="49"/>
      <c r="I2653" s="49"/>
    </row>
    <row r="2654" ht="15.75" customHeight="1" spans="1:9">
      <c r="A2654" s="49"/>
      <c r="B2654" s="36" t="s">
        <v>4057</v>
      </c>
      <c r="C2654" s="36" t="s">
        <v>4118</v>
      </c>
      <c r="D2654" s="49"/>
      <c r="E2654" s="49"/>
      <c r="F2654" s="49"/>
      <c r="G2654" s="49"/>
      <c r="H2654" s="49"/>
      <c r="I2654" s="49"/>
    </row>
    <row r="2655" ht="15.75" customHeight="1" spans="1:9">
      <c r="A2655" s="49"/>
      <c r="B2655" s="36" t="s">
        <v>4057</v>
      </c>
      <c r="C2655" s="36" t="s">
        <v>4119</v>
      </c>
      <c r="D2655" s="49"/>
      <c r="E2655" s="49"/>
      <c r="F2655" s="49"/>
      <c r="G2655" s="49"/>
      <c r="H2655" s="49"/>
      <c r="I2655" s="49"/>
    </row>
    <row r="2656" ht="15.75" customHeight="1" spans="1:9">
      <c r="A2656" s="49"/>
      <c r="B2656" s="36" t="s">
        <v>4057</v>
      </c>
      <c r="C2656" s="36" t="s">
        <v>4120</v>
      </c>
      <c r="D2656" s="49"/>
      <c r="E2656" s="49"/>
      <c r="F2656" s="49"/>
      <c r="G2656" s="49"/>
      <c r="H2656" s="49"/>
      <c r="I2656" s="49"/>
    </row>
    <row r="2657" ht="15.75" customHeight="1" spans="1:9">
      <c r="A2657" s="49"/>
      <c r="B2657" s="36" t="s">
        <v>4057</v>
      </c>
      <c r="C2657" s="36" t="s">
        <v>4121</v>
      </c>
      <c r="D2657" s="49"/>
      <c r="E2657" s="49"/>
      <c r="F2657" s="49"/>
      <c r="G2657" s="49"/>
      <c r="H2657" s="49"/>
      <c r="I2657" s="49"/>
    </row>
    <row r="2658" ht="15.75" customHeight="1" spans="1:9">
      <c r="A2658" s="49"/>
      <c r="B2658" s="36" t="s">
        <v>4057</v>
      </c>
      <c r="C2658" s="36" t="s">
        <v>4122</v>
      </c>
      <c r="D2658" s="49"/>
      <c r="E2658" s="49"/>
      <c r="F2658" s="49"/>
      <c r="G2658" s="49"/>
      <c r="H2658" s="49"/>
      <c r="I2658" s="49"/>
    </row>
    <row r="2659" ht="15.75" customHeight="1" spans="1:9">
      <c r="A2659" s="49"/>
      <c r="B2659" s="36" t="s">
        <v>4057</v>
      </c>
      <c r="C2659" s="36" t="s">
        <v>4123</v>
      </c>
      <c r="D2659" s="49"/>
      <c r="E2659" s="49"/>
      <c r="F2659" s="49"/>
      <c r="G2659" s="49"/>
      <c r="H2659" s="49"/>
      <c r="I2659" s="49"/>
    </row>
    <row r="2660" ht="15.75" customHeight="1" spans="1:9">
      <c r="A2660" s="49"/>
      <c r="B2660" s="36" t="s">
        <v>4057</v>
      </c>
      <c r="C2660" s="36" t="s">
        <v>4124</v>
      </c>
      <c r="D2660" s="49"/>
      <c r="E2660" s="49"/>
      <c r="F2660" s="49"/>
      <c r="G2660" s="49"/>
      <c r="H2660" s="49"/>
      <c r="I2660" s="49"/>
    </row>
    <row r="2661" ht="15.75" customHeight="1" spans="1:9">
      <c r="A2661" s="49"/>
      <c r="B2661" s="36" t="s">
        <v>4125</v>
      </c>
      <c r="C2661" s="36" t="s">
        <v>26</v>
      </c>
      <c r="D2661" s="49"/>
      <c r="E2661" s="49"/>
      <c r="F2661" s="49"/>
      <c r="G2661" s="49"/>
      <c r="H2661" s="49"/>
      <c r="I2661" s="49"/>
    </row>
    <row r="2662" ht="15.75" customHeight="1" spans="1:9">
      <c r="A2662" s="49"/>
      <c r="B2662" s="36" t="s">
        <v>4125</v>
      </c>
      <c r="C2662" s="36" t="s">
        <v>4126</v>
      </c>
      <c r="D2662" s="49"/>
      <c r="E2662" s="49"/>
      <c r="F2662" s="49"/>
      <c r="G2662" s="49"/>
      <c r="H2662" s="49"/>
      <c r="I2662" s="49"/>
    </row>
    <row r="2663" ht="15.75" customHeight="1" spans="1:9">
      <c r="A2663" s="49"/>
      <c r="B2663" s="36" t="s">
        <v>4125</v>
      </c>
      <c r="C2663" s="36" t="s">
        <v>4127</v>
      </c>
      <c r="D2663" s="49"/>
      <c r="E2663" s="49"/>
      <c r="F2663" s="49"/>
      <c r="G2663" s="49"/>
      <c r="H2663" s="49"/>
      <c r="I2663" s="49"/>
    </row>
    <row r="2664" ht="15.75" customHeight="1" spans="1:9">
      <c r="A2664" s="49"/>
      <c r="B2664" s="36" t="s">
        <v>4125</v>
      </c>
      <c r="C2664" s="36" t="s">
        <v>4125</v>
      </c>
      <c r="D2664" s="49"/>
      <c r="E2664" s="49"/>
      <c r="F2664" s="49"/>
      <c r="G2664" s="49"/>
      <c r="H2664" s="49"/>
      <c r="I2664" s="49"/>
    </row>
    <row r="2665" ht="15.75" customHeight="1" spans="1:9">
      <c r="A2665" s="49"/>
      <c r="B2665" s="36" t="s">
        <v>4125</v>
      </c>
      <c r="C2665" s="36" t="s">
        <v>4128</v>
      </c>
      <c r="D2665" s="49"/>
      <c r="E2665" s="49"/>
      <c r="F2665" s="49"/>
      <c r="G2665" s="49"/>
      <c r="H2665" s="49"/>
      <c r="I2665" s="49"/>
    </row>
    <row r="2666" ht="15.75" customHeight="1" spans="1:9">
      <c r="A2666" s="49"/>
      <c r="B2666" s="36" t="s">
        <v>4125</v>
      </c>
      <c r="C2666" s="36" t="s">
        <v>4129</v>
      </c>
      <c r="D2666" s="49"/>
      <c r="E2666" s="49"/>
      <c r="F2666" s="49"/>
      <c r="G2666" s="49"/>
      <c r="H2666" s="49"/>
      <c r="I2666" s="49"/>
    </row>
    <row r="2667" ht="15.75" customHeight="1" spans="1:9">
      <c r="A2667" s="49"/>
      <c r="B2667" s="36" t="s">
        <v>4125</v>
      </c>
      <c r="C2667" s="36" t="s">
        <v>4130</v>
      </c>
      <c r="D2667" s="49"/>
      <c r="E2667" s="49"/>
      <c r="F2667" s="49"/>
      <c r="G2667" s="49"/>
      <c r="H2667" s="49"/>
      <c r="I2667" s="49"/>
    </row>
    <row r="2668" ht="15.75" customHeight="1" spans="1:9">
      <c r="A2668" s="49"/>
      <c r="B2668" s="36" t="s">
        <v>4125</v>
      </c>
      <c r="C2668" s="36" t="s">
        <v>4131</v>
      </c>
      <c r="D2668" s="49"/>
      <c r="E2668" s="49"/>
      <c r="F2668" s="49"/>
      <c r="G2668" s="49"/>
      <c r="H2668" s="49"/>
      <c r="I2668" s="49"/>
    </row>
    <row r="2669" ht="15.75" customHeight="1" spans="1:9">
      <c r="A2669" s="49"/>
      <c r="B2669" s="36" t="s">
        <v>4125</v>
      </c>
      <c r="C2669" s="36" t="s">
        <v>4132</v>
      </c>
      <c r="D2669" s="49"/>
      <c r="E2669" s="49"/>
      <c r="F2669" s="49"/>
      <c r="G2669" s="49"/>
      <c r="H2669" s="49"/>
      <c r="I2669" s="49"/>
    </row>
    <row r="2670" ht="15.75" customHeight="1" spans="1:9">
      <c r="A2670" s="49"/>
      <c r="B2670" s="36" t="s">
        <v>4125</v>
      </c>
      <c r="C2670" s="36" t="s">
        <v>4133</v>
      </c>
      <c r="D2670" s="49"/>
      <c r="E2670" s="49"/>
      <c r="F2670" s="49"/>
      <c r="G2670" s="49"/>
      <c r="H2670" s="49"/>
      <c r="I2670" s="49"/>
    </row>
    <row r="2671" ht="15.75" customHeight="1" spans="1:9">
      <c r="A2671" s="49"/>
      <c r="B2671" s="36" t="s">
        <v>4125</v>
      </c>
      <c r="C2671" s="36" t="s">
        <v>4134</v>
      </c>
      <c r="D2671" s="49"/>
      <c r="E2671" s="49"/>
      <c r="F2671" s="49"/>
      <c r="G2671" s="49"/>
      <c r="H2671" s="49"/>
      <c r="I2671" s="49"/>
    </row>
    <row r="2672" ht="15.75" customHeight="1" spans="1:9">
      <c r="A2672" s="49"/>
      <c r="B2672" s="36" t="s">
        <v>4125</v>
      </c>
      <c r="C2672" s="36" t="s">
        <v>4135</v>
      </c>
      <c r="D2672" s="49"/>
      <c r="E2672" s="49"/>
      <c r="F2672" s="49"/>
      <c r="G2672" s="49"/>
      <c r="H2672" s="49"/>
      <c r="I2672" s="49"/>
    </row>
    <row r="2673" ht="15.75" customHeight="1" spans="1:9">
      <c r="A2673" s="49"/>
      <c r="B2673" s="36" t="s">
        <v>4125</v>
      </c>
      <c r="C2673" s="36" t="s">
        <v>4136</v>
      </c>
      <c r="D2673" s="49"/>
      <c r="E2673" s="49"/>
      <c r="F2673" s="49"/>
      <c r="G2673" s="49"/>
      <c r="H2673" s="49"/>
      <c r="I2673" s="49"/>
    </row>
    <row r="2674" ht="15.75" customHeight="1" spans="1:9">
      <c r="A2674" s="49"/>
      <c r="B2674" s="36" t="s">
        <v>4125</v>
      </c>
      <c r="C2674" s="36" t="s">
        <v>4137</v>
      </c>
      <c r="D2674" s="49"/>
      <c r="E2674" s="49"/>
      <c r="F2674" s="49"/>
      <c r="G2674" s="49"/>
      <c r="H2674" s="49"/>
      <c r="I2674" s="49"/>
    </row>
    <row r="2675" ht="15.75" customHeight="1" spans="1:9">
      <c r="A2675" s="49"/>
      <c r="B2675" s="36" t="s">
        <v>4125</v>
      </c>
      <c r="C2675" s="36" t="s">
        <v>4138</v>
      </c>
      <c r="D2675" s="49"/>
      <c r="E2675" s="49"/>
      <c r="F2675" s="49"/>
      <c r="G2675" s="49"/>
      <c r="H2675" s="49"/>
      <c r="I2675" s="49"/>
    </row>
    <row r="2676" ht="15.75" customHeight="1" spans="1:9">
      <c r="A2676" s="49"/>
      <c r="B2676" s="36" t="s">
        <v>4125</v>
      </c>
      <c r="C2676" s="36" t="s">
        <v>4139</v>
      </c>
      <c r="D2676" s="49"/>
      <c r="E2676" s="49"/>
      <c r="F2676" s="49"/>
      <c r="G2676" s="49"/>
      <c r="H2676" s="49"/>
      <c r="I2676" s="49"/>
    </row>
    <row r="2677" ht="15.75" customHeight="1" spans="1:9">
      <c r="A2677" s="49"/>
      <c r="B2677" s="36" t="s">
        <v>4125</v>
      </c>
      <c r="C2677" s="36" t="s">
        <v>4140</v>
      </c>
      <c r="D2677" s="49"/>
      <c r="E2677" s="49"/>
      <c r="F2677" s="49"/>
      <c r="G2677" s="49"/>
      <c r="H2677" s="49"/>
      <c r="I2677" s="49"/>
    </row>
    <row r="2678" ht="15.75" customHeight="1" spans="1:9">
      <c r="A2678" s="49"/>
      <c r="B2678" s="36" t="s">
        <v>4125</v>
      </c>
      <c r="C2678" s="36" t="s">
        <v>4141</v>
      </c>
      <c r="D2678" s="49"/>
      <c r="E2678" s="49"/>
      <c r="F2678" s="49"/>
      <c r="G2678" s="49"/>
      <c r="H2678" s="49"/>
      <c r="I2678" s="49"/>
    </row>
    <row r="2679" ht="15.75" customHeight="1" spans="1:9">
      <c r="A2679" s="49"/>
      <c r="B2679" s="36" t="s">
        <v>4125</v>
      </c>
      <c r="C2679" s="36" t="s">
        <v>4142</v>
      </c>
      <c r="D2679" s="49"/>
      <c r="E2679" s="49"/>
      <c r="F2679" s="49"/>
      <c r="G2679" s="49"/>
      <c r="H2679" s="49"/>
      <c r="I2679" s="49"/>
    </row>
    <row r="2680" ht="15.75" customHeight="1" spans="1:9">
      <c r="A2680" s="49"/>
      <c r="B2680" s="36" t="s">
        <v>4125</v>
      </c>
      <c r="C2680" s="36" t="s">
        <v>3419</v>
      </c>
      <c r="D2680" s="49"/>
      <c r="E2680" s="49"/>
      <c r="F2680" s="49"/>
      <c r="G2680" s="49"/>
      <c r="H2680" s="49"/>
      <c r="I2680" s="49"/>
    </row>
    <row r="2681" ht="15.75" customHeight="1" spans="1:9">
      <c r="A2681" s="49"/>
      <c r="B2681" s="36" t="s">
        <v>4125</v>
      </c>
      <c r="C2681" s="36" t="s">
        <v>4143</v>
      </c>
      <c r="D2681" s="49"/>
      <c r="E2681" s="49"/>
      <c r="F2681" s="49"/>
      <c r="G2681" s="49"/>
      <c r="H2681" s="49"/>
      <c r="I2681" s="49"/>
    </row>
    <row r="2682" ht="15.75" customHeight="1" spans="1:9">
      <c r="A2682" s="49"/>
      <c r="B2682" s="36" t="s">
        <v>4125</v>
      </c>
      <c r="C2682" s="36" t="s">
        <v>4144</v>
      </c>
      <c r="D2682" s="49"/>
      <c r="E2682" s="49"/>
      <c r="F2682" s="49"/>
      <c r="G2682" s="49"/>
      <c r="H2682" s="49"/>
      <c r="I2682" s="49"/>
    </row>
    <row r="2683" ht="15.75" customHeight="1" spans="1:9">
      <c r="A2683" s="49"/>
      <c r="B2683" s="36" t="s">
        <v>4125</v>
      </c>
      <c r="C2683" s="36" t="s">
        <v>4145</v>
      </c>
      <c r="D2683" s="49"/>
      <c r="E2683" s="49"/>
      <c r="F2683" s="49"/>
      <c r="G2683" s="49"/>
      <c r="H2683" s="49"/>
      <c r="I2683" s="49"/>
    </row>
    <row r="2684" ht="15.75" customHeight="1" spans="1:9">
      <c r="A2684" s="49"/>
      <c r="B2684" s="36" t="s">
        <v>4125</v>
      </c>
      <c r="C2684" s="36" t="s">
        <v>4129</v>
      </c>
      <c r="D2684" s="49"/>
      <c r="E2684" s="49"/>
      <c r="F2684" s="49"/>
      <c r="G2684" s="49"/>
      <c r="H2684" s="49"/>
      <c r="I2684" s="49"/>
    </row>
    <row r="2685" ht="15.75" customHeight="1" spans="1:9">
      <c r="A2685" s="49"/>
      <c r="B2685" s="36" t="s">
        <v>4125</v>
      </c>
      <c r="C2685" s="36" t="s">
        <v>4126</v>
      </c>
      <c r="D2685" s="49"/>
      <c r="E2685" s="49"/>
      <c r="F2685" s="49"/>
      <c r="G2685" s="49"/>
      <c r="H2685" s="49"/>
      <c r="I2685" s="49"/>
    </row>
    <row r="2686" ht="15.75" customHeight="1" spans="1:9">
      <c r="A2686" s="49"/>
      <c r="B2686" s="36" t="s">
        <v>4125</v>
      </c>
      <c r="C2686" s="36" t="s">
        <v>4146</v>
      </c>
      <c r="D2686" s="49"/>
      <c r="E2686" s="49"/>
      <c r="F2686" s="49"/>
      <c r="G2686" s="49"/>
      <c r="H2686" s="49"/>
      <c r="I2686" s="49"/>
    </row>
    <row r="2687" ht="15.75" customHeight="1" spans="1:9">
      <c r="A2687" s="49"/>
      <c r="B2687" s="36" t="s">
        <v>4125</v>
      </c>
      <c r="C2687" s="36" t="s">
        <v>4147</v>
      </c>
      <c r="D2687" s="49"/>
      <c r="E2687" s="49"/>
      <c r="F2687" s="49"/>
      <c r="G2687" s="49"/>
      <c r="H2687" s="49"/>
      <c r="I2687" s="49"/>
    </row>
    <row r="2688" ht="15.75" customHeight="1" spans="1:9">
      <c r="A2688" s="49"/>
      <c r="B2688" s="36" t="s">
        <v>4125</v>
      </c>
      <c r="C2688" s="36" t="s">
        <v>4148</v>
      </c>
      <c r="D2688" s="49"/>
      <c r="E2688" s="49"/>
      <c r="F2688" s="49"/>
      <c r="G2688" s="49"/>
      <c r="H2688" s="49"/>
      <c r="I2688" s="49"/>
    </row>
    <row r="2689" ht="15.75" customHeight="1" spans="1:9">
      <c r="A2689" s="49"/>
      <c r="B2689" s="36" t="s">
        <v>4125</v>
      </c>
      <c r="C2689" s="36" t="s">
        <v>4149</v>
      </c>
      <c r="D2689" s="49"/>
      <c r="E2689" s="49"/>
      <c r="F2689" s="49"/>
      <c r="G2689" s="49"/>
      <c r="H2689" s="49"/>
      <c r="I2689" s="49"/>
    </row>
    <row r="2690" ht="15.75" customHeight="1" spans="1:9">
      <c r="A2690" s="49"/>
      <c r="B2690" s="36" t="s">
        <v>4125</v>
      </c>
      <c r="C2690" s="36" t="s">
        <v>4150</v>
      </c>
      <c r="D2690" s="49"/>
      <c r="E2690" s="49"/>
      <c r="F2690" s="49"/>
      <c r="G2690" s="49"/>
      <c r="H2690" s="49"/>
      <c r="I2690" s="49"/>
    </row>
    <row r="2691" ht="15.75" customHeight="1" spans="1:9">
      <c r="A2691" s="49"/>
      <c r="B2691" s="36" t="s">
        <v>4125</v>
      </c>
      <c r="C2691" s="36" t="s">
        <v>4151</v>
      </c>
      <c r="D2691" s="49"/>
      <c r="E2691" s="49"/>
      <c r="F2691" s="49"/>
      <c r="G2691" s="49"/>
      <c r="H2691" s="49"/>
      <c r="I2691" s="49"/>
    </row>
    <row r="2692" ht="15.75" customHeight="1" spans="1:9">
      <c r="A2692" s="49"/>
      <c r="B2692" s="36" t="s">
        <v>4125</v>
      </c>
      <c r="C2692" s="36" t="s">
        <v>4132</v>
      </c>
      <c r="D2692" s="49"/>
      <c r="E2692" s="49"/>
      <c r="F2692" s="49"/>
      <c r="G2692" s="49"/>
      <c r="H2692" s="49"/>
      <c r="I2692" s="49"/>
    </row>
    <row r="2693" ht="15.75" customHeight="1" spans="1:9">
      <c r="A2693" s="49"/>
      <c r="B2693" s="36" t="s">
        <v>4125</v>
      </c>
      <c r="C2693" s="36" t="s">
        <v>4152</v>
      </c>
      <c r="D2693" s="49"/>
      <c r="E2693" s="49"/>
      <c r="F2693" s="49"/>
      <c r="G2693" s="49"/>
      <c r="H2693" s="49"/>
      <c r="I2693" s="49"/>
    </row>
    <row r="2694" ht="15.75" customHeight="1" spans="1:9">
      <c r="A2694" s="49"/>
      <c r="B2694" s="36" t="s">
        <v>4125</v>
      </c>
      <c r="C2694" s="36" t="s">
        <v>4153</v>
      </c>
      <c r="D2694" s="49"/>
      <c r="E2694" s="49"/>
      <c r="F2694" s="49"/>
      <c r="G2694" s="49"/>
      <c r="H2694" s="49"/>
      <c r="I2694" s="49"/>
    </row>
    <row r="2695" ht="15.75" customHeight="1" spans="1:9">
      <c r="A2695" s="49"/>
      <c r="B2695" s="36" t="s">
        <v>4125</v>
      </c>
      <c r="C2695" s="36" t="s">
        <v>4154</v>
      </c>
      <c r="D2695" s="49"/>
      <c r="E2695" s="49"/>
      <c r="F2695" s="49"/>
      <c r="G2695" s="49"/>
      <c r="H2695" s="49"/>
      <c r="I2695" s="49"/>
    </row>
    <row r="2696" ht="15.75" customHeight="1" spans="1:9">
      <c r="A2696" s="49"/>
      <c r="B2696" s="36" t="s">
        <v>4125</v>
      </c>
      <c r="C2696" s="36" t="s">
        <v>4155</v>
      </c>
      <c r="D2696" s="49"/>
      <c r="E2696" s="49"/>
      <c r="F2696" s="49"/>
      <c r="G2696" s="49"/>
      <c r="H2696" s="49"/>
      <c r="I2696" s="49"/>
    </row>
    <row r="2697" ht="15.75" customHeight="1" spans="1:9">
      <c r="A2697" s="49"/>
      <c r="B2697" s="36" t="s">
        <v>4125</v>
      </c>
      <c r="C2697" s="36" t="s">
        <v>4156</v>
      </c>
      <c r="D2697" s="49"/>
      <c r="E2697" s="49"/>
      <c r="F2697" s="49"/>
      <c r="G2697" s="49"/>
      <c r="H2697" s="49"/>
      <c r="I2697" s="49"/>
    </row>
    <row r="2698" ht="15.75" customHeight="1" spans="1:9">
      <c r="A2698" s="49"/>
      <c r="B2698" s="36" t="s">
        <v>4125</v>
      </c>
      <c r="C2698" s="36" t="s">
        <v>4157</v>
      </c>
      <c r="D2698" s="49"/>
      <c r="E2698" s="49"/>
      <c r="F2698" s="49"/>
      <c r="G2698" s="49"/>
      <c r="H2698" s="49"/>
      <c r="I2698" s="49"/>
    </row>
    <row r="2699" ht="15.75" customHeight="1" spans="1:9">
      <c r="A2699" s="49"/>
      <c r="B2699" s="36" t="s">
        <v>4125</v>
      </c>
      <c r="C2699" s="36" t="s">
        <v>4158</v>
      </c>
      <c r="D2699" s="49"/>
      <c r="E2699" s="49"/>
      <c r="F2699" s="49"/>
      <c r="G2699" s="49"/>
      <c r="H2699" s="49"/>
      <c r="I2699" s="49"/>
    </row>
    <row r="2700" ht="15.75" customHeight="1" spans="1:9">
      <c r="A2700" s="49"/>
      <c r="B2700" s="36" t="s">
        <v>4125</v>
      </c>
      <c r="C2700" s="36" t="s">
        <v>4159</v>
      </c>
      <c r="D2700" s="49"/>
      <c r="E2700" s="49"/>
      <c r="F2700" s="49"/>
      <c r="G2700" s="49"/>
      <c r="H2700" s="49"/>
      <c r="I2700" s="49"/>
    </row>
    <row r="2701" ht="15.75" customHeight="1" spans="1:9">
      <c r="A2701" s="49"/>
      <c r="B2701" s="36" t="s">
        <v>4125</v>
      </c>
      <c r="C2701" s="36" t="s">
        <v>4160</v>
      </c>
      <c r="D2701" s="49"/>
      <c r="E2701" s="49"/>
      <c r="F2701" s="49"/>
      <c r="G2701" s="49"/>
      <c r="H2701" s="49"/>
      <c r="I2701" s="49"/>
    </row>
    <row r="2702" ht="15.75" customHeight="1" spans="1:9">
      <c r="A2702" s="49"/>
      <c r="B2702" s="36" t="s">
        <v>4125</v>
      </c>
      <c r="C2702" s="36" t="s">
        <v>4161</v>
      </c>
      <c r="D2702" s="49"/>
      <c r="E2702" s="49"/>
      <c r="F2702" s="49"/>
      <c r="G2702" s="49"/>
      <c r="H2702" s="49"/>
      <c r="I2702" s="49"/>
    </row>
    <row r="2703" ht="15.75" customHeight="1" spans="1:9">
      <c r="A2703" s="49"/>
      <c r="B2703" s="36" t="s">
        <v>4125</v>
      </c>
      <c r="C2703" s="36" t="s">
        <v>4162</v>
      </c>
      <c r="D2703" s="49"/>
      <c r="E2703" s="49"/>
      <c r="F2703" s="49"/>
      <c r="G2703" s="49"/>
      <c r="H2703" s="49"/>
      <c r="I2703" s="49"/>
    </row>
    <row r="2704" ht="15.75" customHeight="1" spans="1:9">
      <c r="A2704" s="49"/>
      <c r="B2704" s="36" t="s">
        <v>4125</v>
      </c>
      <c r="C2704" s="36" t="s">
        <v>4163</v>
      </c>
      <c r="D2704" s="49"/>
      <c r="E2704" s="49"/>
      <c r="F2704" s="49"/>
      <c r="G2704" s="49"/>
      <c r="H2704" s="49"/>
      <c r="I2704" s="49"/>
    </row>
    <row r="2705" ht="15.75" customHeight="1" spans="1:9">
      <c r="A2705" s="49"/>
      <c r="B2705" s="36" t="s">
        <v>4125</v>
      </c>
      <c r="C2705" s="36" t="s">
        <v>4164</v>
      </c>
      <c r="D2705" s="49"/>
      <c r="E2705" s="49"/>
      <c r="F2705" s="49"/>
      <c r="G2705" s="49"/>
      <c r="H2705" s="49"/>
      <c r="I2705" s="49"/>
    </row>
    <row r="2706" ht="15.75" customHeight="1" spans="1:9">
      <c r="A2706" s="49"/>
      <c r="B2706" s="36" t="s">
        <v>4165</v>
      </c>
      <c r="C2706" s="36" t="s">
        <v>4166</v>
      </c>
      <c r="D2706" s="49"/>
      <c r="E2706" s="49"/>
      <c r="F2706" s="49"/>
      <c r="G2706" s="49"/>
      <c r="H2706" s="49"/>
      <c r="I2706" s="49"/>
    </row>
    <row r="2707" ht="15.75" customHeight="1" spans="1:9">
      <c r="A2707" s="49"/>
      <c r="B2707" s="36" t="s">
        <v>4165</v>
      </c>
      <c r="C2707" s="36" t="s">
        <v>4140</v>
      </c>
      <c r="D2707" s="49"/>
      <c r="E2707" s="49"/>
      <c r="F2707" s="49"/>
      <c r="G2707" s="49"/>
      <c r="H2707" s="49"/>
      <c r="I2707" s="49"/>
    </row>
    <row r="2708" ht="15.75" customHeight="1" spans="1:9">
      <c r="A2708" s="49"/>
      <c r="B2708" s="36" t="s">
        <v>4165</v>
      </c>
      <c r="C2708" s="36" t="s">
        <v>4167</v>
      </c>
      <c r="D2708" s="49"/>
      <c r="E2708" s="49"/>
      <c r="F2708" s="49"/>
      <c r="G2708" s="49"/>
      <c r="H2708" s="49"/>
      <c r="I2708" s="49"/>
    </row>
    <row r="2709" ht="15.75" customHeight="1" spans="1:9">
      <c r="A2709" s="49"/>
      <c r="B2709" s="36" t="s">
        <v>4165</v>
      </c>
      <c r="C2709" s="36" t="s">
        <v>4168</v>
      </c>
      <c r="D2709" s="49"/>
      <c r="E2709" s="49"/>
      <c r="F2709" s="49"/>
      <c r="G2709" s="49"/>
      <c r="H2709" s="49"/>
      <c r="I2709" s="49"/>
    </row>
    <row r="2710" ht="15.75" customHeight="1" spans="1:9">
      <c r="A2710" s="49"/>
      <c r="B2710" s="36" t="s">
        <v>4165</v>
      </c>
      <c r="C2710" s="36" t="s">
        <v>4169</v>
      </c>
      <c r="D2710" s="49"/>
      <c r="E2710" s="49"/>
      <c r="F2710" s="49"/>
      <c r="G2710" s="49"/>
      <c r="H2710" s="49"/>
      <c r="I2710" s="49"/>
    </row>
    <row r="2711" ht="15.75" customHeight="1" spans="1:9">
      <c r="A2711" s="49"/>
      <c r="B2711" s="36" t="s">
        <v>4165</v>
      </c>
      <c r="C2711" s="36" t="s">
        <v>4170</v>
      </c>
      <c r="D2711" s="49"/>
      <c r="E2711" s="49"/>
      <c r="F2711" s="49"/>
      <c r="G2711" s="49"/>
      <c r="H2711" s="49"/>
      <c r="I2711" s="49"/>
    </row>
    <row r="2712" ht="15.75" customHeight="1" spans="1:9">
      <c r="A2712" s="49"/>
      <c r="B2712" s="36" t="s">
        <v>4165</v>
      </c>
      <c r="C2712" s="36" t="s">
        <v>4171</v>
      </c>
      <c r="D2712" s="49"/>
      <c r="E2712" s="49"/>
      <c r="F2712" s="49"/>
      <c r="G2712" s="49"/>
      <c r="H2712" s="49"/>
      <c r="I2712" s="49"/>
    </row>
    <row r="2713" ht="15.75" customHeight="1" spans="1:9">
      <c r="A2713" s="49"/>
      <c r="B2713" s="36" t="s">
        <v>4165</v>
      </c>
      <c r="C2713" s="36" t="s">
        <v>4172</v>
      </c>
      <c r="D2713" s="49"/>
      <c r="E2713" s="49"/>
      <c r="F2713" s="49"/>
      <c r="G2713" s="49"/>
      <c r="H2713" s="49"/>
      <c r="I2713" s="49"/>
    </row>
    <row r="2714" ht="15.75" customHeight="1" spans="1:9">
      <c r="A2714" s="49"/>
      <c r="B2714" s="36" t="s">
        <v>4165</v>
      </c>
      <c r="C2714" s="36" t="s">
        <v>4165</v>
      </c>
      <c r="D2714" s="49"/>
      <c r="E2714" s="49"/>
      <c r="F2714" s="49"/>
      <c r="G2714" s="49"/>
      <c r="H2714" s="49"/>
      <c r="I2714" s="49"/>
    </row>
    <row r="2715" ht="15.75" customHeight="1" spans="1:9">
      <c r="A2715" s="49"/>
      <c r="B2715" s="36" t="s">
        <v>4165</v>
      </c>
      <c r="C2715" s="36" t="s">
        <v>4173</v>
      </c>
      <c r="D2715" s="49"/>
      <c r="E2715" s="49"/>
      <c r="F2715" s="49"/>
      <c r="G2715" s="49"/>
      <c r="H2715" s="49"/>
      <c r="I2715" s="49"/>
    </row>
    <row r="2716" ht="15.75" customHeight="1" spans="1:9">
      <c r="A2716" s="49"/>
      <c r="B2716" s="36" t="s">
        <v>4165</v>
      </c>
      <c r="C2716" s="36" t="s">
        <v>4174</v>
      </c>
      <c r="D2716" s="49"/>
      <c r="E2716" s="49"/>
      <c r="F2716" s="49"/>
      <c r="G2716" s="49"/>
      <c r="H2716" s="49"/>
      <c r="I2716" s="49"/>
    </row>
    <row r="2717" ht="15.75" customHeight="1" spans="1:9">
      <c r="A2717" s="49"/>
      <c r="B2717" s="36" t="s">
        <v>4165</v>
      </c>
      <c r="C2717" s="36" t="s">
        <v>4175</v>
      </c>
      <c r="D2717" s="49"/>
      <c r="E2717" s="49"/>
      <c r="F2717" s="49"/>
      <c r="G2717" s="49"/>
      <c r="H2717" s="49"/>
      <c r="I2717" s="49"/>
    </row>
    <row r="2718" ht="15.75" customHeight="1" spans="1:9">
      <c r="A2718" s="49"/>
      <c r="B2718" s="36" t="s">
        <v>4165</v>
      </c>
      <c r="C2718" s="36" t="s">
        <v>4176</v>
      </c>
      <c r="D2718" s="49"/>
      <c r="E2718" s="49"/>
      <c r="F2718" s="49"/>
      <c r="G2718" s="49"/>
      <c r="H2718" s="49"/>
      <c r="I2718" s="49"/>
    </row>
    <row r="2719" ht="15.75" customHeight="1" spans="1:9">
      <c r="A2719" s="49"/>
      <c r="B2719" s="36" t="s">
        <v>4165</v>
      </c>
      <c r="C2719" s="36" t="s">
        <v>4177</v>
      </c>
      <c r="D2719" s="49"/>
      <c r="E2719" s="49"/>
      <c r="F2719" s="49"/>
      <c r="G2719" s="49"/>
      <c r="H2719" s="49"/>
      <c r="I2719" s="49"/>
    </row>
    <row r="2720" ht="15.75" customHeight="1" spans="1:9">
      <c r="A2720" s="49"/>
      <c r="B2720" s="36" t="s">
        <v>4165</v>
      </c>
      <c r="C2720" s="36" t="s">
        <v>4178</v>
      </c>
      <c r="D2720" s="49"/>
      <c r="E2720" s="49"/>
      <c r="F2720" s="49"/>
      <c r="G2720" s="49"/>
      <c r="H2720" s="49"/>
      <c r="I2720" s="49"/>
    </row>
    <row r="2721" ht="15.75" customHeight="1" spans="1:9">
      <c r="A2721" s="49"/>
      <c r="B2721" s="36" t="s">
        <v>4165</v>
      </c>
      <c r="C2721" s="36" t="s">
        <v>4179</v>
      </c>
      <c r="D2721" s="49"/>
      <c r="E2721" s="49"/>
      <c r="F2721" s="49"/>
      <c r="G2721" s="49"/>
      <c r="H2721" s="49"/>
      <c r="I2721" s="49"/>
    </row>
    <row r="2722" ht="15.75" customHeight="1" spans="1:9">
      <c r="A2722" s="49"/>
      <c r="B2722" s="36" t="s">
        <v>4165</v>
      </c>
      <c r="C2722" s="36" t="s">
        <v>4180</v>
      </c>
      <c r="D2722" s="49"/>
      <c r="E2722" s="49"/>
      <c r="F2722" s="49"/>
      <c r="G2722" s="49"/>
      <c r="H2722" s="49"/>
      <c r="I2722" s="49"/>
    </row>
    <row r="2723" ht="15.75" customHeight="1" spans="1:9">
      <c r="A2723" s="49"/>
      <c r="B2723" s="36" t="s">
        <v>4165</v>
      </c>
      <c r="C2723" s="36" t="s">
        <v>4181</v>
      </c>
      <c r="D2723" s="49"/>
      <c r="E2723" s="49"/>
      <c r="F2723" s="49"/>
      <c r="G2723" s="49"/>
      <c r="H2723" s="49"/>
      <c r="I2723" s="49"/>
    </row>
    <row r="2724" ht="15.75" customHeight="1" spans="1:9">
      <c r="A2724" s="49"/>
      <c r="B2724" s="36" t="s">
        <v>4165</v>
      </c>
      <c r="C2724" s="36" t="s">
        <v>4182</v>
      </c>
      <c r="D2724" s="49"/>
      <c r="E2724" s="49"/>
      <c r="F2724" s="49"/>
      <c r="G2724" s="49"/>
      <c r="H2724" s="49"/>
      <c r="I2724" s="49"/>
    </row>
    <row r="2725" ht="15.75" customHeight="1" spans="1:9">
      <c r="A2725" s="49"/>
      <c r="B2725" s="36" t="s">
        <v>4165</v>
      </c>
      <c r="C2725" s="36" t="s">
        <v>4183</v>
      </c>
      <c r="D2725" s="49"/>
      <c r="E2725" s="49"/>
      <c r="F2725" s="49"/>
      <c r="G2725" s="49"/>
      <c r="H2725" s="49"/>
      <c r="I2725" s="49"/>
    </row>
    <row r="2726" ht="15.75" customHeight="1" spans="1:9">
      <c r="A2726" s="49"/>
      <c r="B2726" s="36" t="s">
        <v>4165</v>
      </c>
      <c r="C2726" s="36" t="s">
        <v>4184</v>
      </c>
      <c r="D2726" s="49"/>
      <c r="E2726" s="49"/>
      <c r="F2726" s="49"/>
      <c r="G2726" s="49"/>
      <c r="H2726" s="49"/>
      <c r="I2726" s="49"/>
    </row>
    <row r="2727" ht="15.75" customHeight="1" spans="1:9">
      <c r="A2727" s="49"/>
      <c r="B2727" s="36" t="s">
        <v>4165</v>
      </c>
      <c r="C2727" s="36" t="s">
        <v>4185</v>
      </c>
      <c r="D2727" s="49"/>
      <c r="E2727" s="49"/>
      <c r="F2727" s="49"/>
      <c r="G2727" s="49"/>
      <c r="H2727" s="49"/>
      <c r="I2727" s="49"/>
    </row>
    <row r="2728" ht="15.75" customHeight="1" spans="1:9">
      <c r="A2728" s="49"/>
      <c r="B2728" s="36" t="s">
        <v>4165</v>
      </c>
      <c r="C2728" s="36" t="s">
        <v>4186</v>
      </c>
      <c r="D2728" s="49"/>
      <c r="E2728" s="49"/>
      <c r="F2728" s="49"/>
      <c r="G2728" s="49"/>
      <c r="H2728" s="49"/>
      <c r="I2728" s="49"/>
    </row>
    <row r="2729" ht="15.75" customHeight="1" spans="1:9">
      <c r="A2729" s="49"/>
      <c r="B2729" s="36" t="s">
        <v>4165</v>
      </c>
      <c r="C2729" s="36" t="s">
        <v>4093</v>
      </c>
      <c r="D2729" s="49"/>
      <c r="E2729" s="49"/>
      <c r="F2729" s="49"/>
      <c r="G2729" s="49"/>
      <c r="H2729" s="49"/>
      <c r="I2729" s="49"/>
    </row>
    <row r="2730" ht="15.75" customHeight="1" spans="1:9">
      <c r="A2730" s="49"/>
      <c r="B2730" s="36" t="s">
        <v>4165</v>
      </c>
      <c r="C2730" s="36" t="s">
        <v>4187</v>
      </c>
      <c r="D2730" s="49"/>
      <c r="E2730" s="49"/>
      <c r="F2730" s="49"/>
      <c r="G2730" s="49"/>
      <c r="H2730" s="49"/>
      <c r="I2730" s="49"/>
    </row>
    <row r="2731" ht="15.75" customHeight="1" spans="1:9">
      <c r="A2731" s="49"/>
      <c r="B2731" s="36" t="s">
        <v>4165</v>
      </c>
      <c r="C2731" s="41" t="s">
        <v>4188</v>
      </c>
      <c r="D2731" s="49"/>
      <c r="E2731" s="49"/>
      <c r="F2731" s="49"/>
      <c r="G2731" s="49"/>
      <c r="H2731" s="49"/>
      <c r="I2731" s="49"/>
    </row>
    <row r="2732" ht="15.75" customHeight="1" spans="1:9">
      <c r="A2732" s="49"/>
      <c r="B2732" s="36" t="s">
        <v>4165</v>
      </c>
      <c r="C2732" s="36" t="s">
        <v>4189</v>
      </c>
      <c r="D2732" s="49"/>
      <c r="E2732" s="49"/>
      <c r="F2732" s="49"/>
      <c r="G2732" s="49"/>
      <c r="H2732" s="49"/>
      <c r="I2732" s="49"/>
    </row>
    <row r="2733" ht="15.75" customHeight="1" spans="1:9">
      <c r="A2733" s="49"/>
      <c r="B2733" s="36" t="s">
        <v>4165</v>
      </c>
      <c r="C2733" s="36" t="s">
        <v>4190</v>
      </c>
      <c r="D2733" s="49"/>
      <c r="E2733" s="49"/>
      <c r="F2733" s="49"/>
      <c r="G2733" s="49"/>
      <c r="H2733" s="49"/>
      <c r="I2733" s="49"/>
    </row>
    <row r="2734" ht="15.75" customHeight="1" spans="1:9">
      <c r="A2734" s="49"/>
      <c r="B2734" s="36" t="s">
        <v>4165</v>
      </c>
      <c r="C2734" s="36" t="s">
        <v>4191</v>
      </c>
      <c r="D2734" s="49"/>
      <c r="E2734" s="49"/>
      <c r="F2734" s="49"/>
      <c r="G2734" s="49"/>
      <c r="H2734" s="49"/>
      <c r="I2734" s="49"/>
    </row>
    <row r="2735" ht="15.75" customHeight="1" spans="1:9">
      <c r="A2735" s="49"/>
      <c r="B2735" s="36" t="s">
        <v>4165</v>
      </c>
      <c r="C2735" s="36" t="s">
        <v>4192</v>
      </c>
      <c r="D2735" s="49"/>
      <c r="E2735" s="49"/>
      <c r="F2735" s="49"/>
      <c r="G2735" s="49"/>
      <c r="H2735" s="49"/>
      <c r="I2735" s="49"/>
    </row>
    <row r="2736" ht="15.75" customHeight="1" spans="1:9">
      <c r="A2736" s="49"/>
      <c r="B2736" s="36" t="s">
        <v>4165</v>
      </c>
      <c r="C2736" s="36" t="s">
        <v>4193</v>
      </c>
      <c r="D2736" s="49"/>
      <c r="E2736" s="49"/>
      <c r="F2736" s="49"/>
      <c r="G2736" s="49"/>
      <c r="H2736" s="49"/>
      <c r="I2736" s="49"/>
    </row>
    <row r="2737" ht="15.75" customHeight="1" spans="1:9">
      <c r="A2737" s="49"/>
      <c r="B2737" s="36" t="s">
        <v>4165</v>
      </c>
      <c r="C2737" s="36" t="s">
        <v>4194</v>
      </c>
      <c r="D2737" s="49"/>
      <c r="E2737" s="49"/>
      <c r="F2737" s="49"/>
      <c r="G2737" s="49"/>
      <c r="H2737" s="49"/>
      <c r="I2737" s="49"/>
    </row>
    <row r="2738" ht="15.75" customHeight="1" spans="1:9">
      <c r="A2738" s="49"/>
      <c r="B2738" s="36" t="s">
        <v>4165</v>
      </c>
      <c r="C2738" s="36" t="s">
        <v>4195</v>
      </c>
      <c r="D2738" s="49"/>
      <c r="E2738" s="49"/>
      <c r="F2738" s="49"/>
      <c r="G2738" s="49"/>
      <c r="H2738" s="49"/>
      <c r="I2738" s="49"/>
    </row>
    <row r="2739" ht="15.75" customHeight="1" spans="1:9">
      <c r="A2739" s="49"/>
      <c r="B2739" s="36" t="s">
        <v>4165</v>
      </c>
      <c r="C2739" s="36" t="s">
        <v>4196</v>
      </c>
      <c r="D2739" s="49"/>
      <c r="E2739" s="49"/>
      <c r="F2739" s="49"/>
      <c r="G2739" s="49"/>
      <c r="H2739" s="49"/>
      <c r="I2739" s="49"/>
    </row>
    <row r="2740" ht="15.75" customHeight="1" spans="1:9">
      <c r="A2740" s="49"/>
      <c r="B2740" s="36" t="s">
        <v>4165</v>
      </c>
      <c r="C2740" s="36" t="s">
        <v>4197</v>
      </c>
      <c r="D2740" s="49"/>
      <c r="E2740" s="49"/>
      <c r="F2740" s="49"/>
      <c r="G2740" s="49"/>
      <c r="H2740" s="49"/>
      <c r="I2740" s="49"/>
    </row>
    <row r="2741" ht="15.75" customHeight="1" spans="1:9">
      <c r="A2741" s="49"/>
      <c r="B2741" s="36" t="s">
        <v>4165</v>
      </c>
      <c r="C2741" s="36" t="s">
        <v>4198</v>
      </c>
      <c r="D2741" s="49"/>
      <c r="E2741" s="49"/>
      <c r="F2741" s="49"/>
      <c r="G2741" s="49"/>
      <c r="H2741" s="49"/>
      <c r="I2741" s="49"/>
    </row>
    <row r="2742" ht="15.75" customHeight="1" spans="1:9">
      <c r="A2742" s="49"/>
      <c r="B2742" s="36" t="s">
        <v>4165</v>
      </c>
      <c r="C2742" s="36" t="s">
        <v>4199</v>
      </c>
      <c r="D2742" s="49"/>
      <c r="E2742" s="49"/>
      <c r="F2742" s="49"/>
      <c r="G2742" s="49"/>
      <c r="H2742" s="49"/>
      <c r="I2742" s="49"/>
    </row>
    <row r="2743" ht="15.75" customHeight="1" spans="1:9">
      <c r="A2743" s="49"/>
      <c r="B2743" s="36" t="s">
        <v>4165</v>
      </c>
      <c r="C2743" s="36" t="s">
        <v>4200</v>
      </c>
      <c r="D2743" s="49"/>
      <c r="E2743" s="49"/>
      <c r="F2743" s="49"/>
      <c r="G2743" s="49"/>
      <c r="H2743" s="49"/>
      <c r="I2743" s="49"/>
    </row>
    <row r="2744" ht="15.75" customHeight="1" spans="1:9">
      <c r="A2744" s="49"/>
      <c r="B2744" s="36" t="s">
        <v>4165</v>
      </c>
      <c r="C2744" s="36" t="s">
        <v>4201</v>
      </c>
      <c r="D2744" s="49"/>
      <c r="E2744" s="49"/>
      <c r="F2744" s="49"/>
      <c r="G2744" s="49"/>
      <c r="H2744" s="49"/>
      <c r="I2744" s="49"/>
    </row>
    <row r="2745" ht="15.75" customHeight="1" spans="1:9">
      <c r="A2745" s="49"/>
      <c r="B2745" s="36" t="s">
        <v>4165</v>
      </c>
      <c r="C2745" s="36" t="s">
        <v>4202</v>
      </c>
      <c r="D2745" s="49"/>
      <c r="E2745" s="49"/>
      <c r="F2745" s="49"/>
      <c r="G2745" s="49"/>
      <c r="H2745" s="49"/>
      <c r="I2745" s="49"/>
    </row>
    <row r="2746" ht="15.75" customHeight="1" spans="1:9">
      <c r="A2746" s="49"/>
      <c r="B2746" s="36" t="s">
        <v>4165</v>
      </c>
      <c r="C2746" s="36" t="s">
        <v>4203</v>
      </c>
      <c r="D2746" s="49"/>
      <c r="E2746" s="49"/>
      <c r="F2746" s="49"/>
      <c r="G2746" s="49"/>
      <c r="H2746" s="49"/>
      <c r="I2746" s="49"/>
    </row>
    <row r="2747" ht="15.75" customHeight="1" spans="1:9">
      <c r="A2747" s="49"/>
      <c r="B2747" s="36" t="s">
        <v>4165</v>
      </c>
      <c r="C2747" s="36" t="s">
        <v>4204</v>
      </c>
      <c r="D2747" s="49"/>
      <c r="E2747" s="49"/>
      <c r="F2747" s="49"/>
      <c r="G2747" s="49"/>
      <c r="H2747" s="49"/>
      <c r="I2747" s="49"/>
    </row>
    <row r="2748" ht="15.75" customHeight="1" spans="1:9">
      <c r="A2748" s="49"/>
      <c r="B2748" s="36" t="s">
        <v>4165</v>
      </c>
      <c r="C2748" s="36" t="s">
        <v>4205</v>
      </c>
      <c r="D2748" s="49"/>
      <c r="E2748" s="49"/>
      <c r="F2748" s="49"/>
      <c r="G2748" s="49"/>
      <c r="H2748" s="49"/>
      <c r="I2748" s="49"/>
    </row>
    <row r="2749" ht="15.75" customHeight="1" spans="1:9">
      <c r="A2749" s="49"/>
      <c r="B2749" s="36" t="s">
        <v>4165</v>
      </c>
      <c r="C2749" s="36" t="s">
        <v>4206</v>
      </c>
      <c r="D2749" s="49"/>
      <c r="E2749" s="49"/>
      <c r="F2749" s="49"/>
      <c r="G2749" s="49"/>
      <c r="H2749" s="49"/>
      <c r="I2749" s="49"/>
    </row>
    <row r="2750" ht="15.75" customHeight="1" spans="1:9">
      <c r="A2750" s="49"/>
      <c r="B2750" s="36" t="s">
        <v>4165</v>
      </c>
      <c r="C2750" s="36" t="s">
        <v>4207</v>
      </c>
      <c r="D2750" s="49"/>
      <c r="E2750" s="49"/>
      <c r="F2750" s="49"/>
      <c r="G2750" s="49"/>
      <c r="H2750" s="49"/>
      <c r="I2750" s="49"/>
    </row>
    <row r="2751" ht="15.75" customHeight="1" spans="1:9">
      <c r="A2751" s="49"/>
      <c r="B2751" s="36" t="s">
        <v>4165</v>
      </c>
      <c r="C2751" s="36" t="s">
        <v>4208</v>
      </c>
      <c r="D2751" s="49"/>
      <c r="E2751" s="49"/>
      <c r="F2751" s="49"/>
      <c r="G2751" s="49"/>
      <c r="H2751" s="49"/>
      <c r="I2751" s="49"/>
    </row>
    <row r="2752" ht="15.75" customHeight="1" spans="1:9">
      <c r="A2752" s="49"/>
      <c r="B2752" s="36" t="s">
        <v>4165</v>
      </c>
      <c r="C2752" s="36" t="s">
        <v>4209</v>
      </c>
      <c r="D2752" s="49"/>
      <c r="E2752" s="49"/>
      <c r="F2752" s="49"/>
      <c r="G2752" s="49"/>
      <c r="H2752" s="49"/>
      <c r="I2752" s="49"/>
    </row>
    <row r="2753" ht="15.75" customHeight="1" spans="1:9">
      <c r="A2753" s="49"/>
      <c r="B2753" s="36" t="s">
        <v>4165</v>
      </c>
      <c r="C2753" s="36" t="s">
        <v>4210</v>
      </c>
      <c r="D2753" s="49"/>
      <c r="E2753" s="49"/>
      <c r="F2753" s="49"/>
      <c r="G2753" s="49"/>
      <c r="H2753" s="49"/>
      <c r="I2753" s="49"/>
    </row>
    <row r="2754" ht="15.75" customHeight="1" spans="1:9">
      <c r="A2754" s="49"/>
      <c r="B2754" s="36" t="s">
        <v>4165</v>
      </c>
      <c r="C2754" s="36" t="s">
        <v>4211</v>
      </c>
      <c r="D2754" s="49"/>
      <c r="E2754" s="49"/>
      <c r="F2754" s="49"/>
      <c r="G2754" s="49"/>
      <c r="H2754" s="49"/>
      <c r="I2754" s="49"/>
    </row>
    <row r="2755" ht="15.75" customHeight="1" spans="1:9">
      <c r="A2755" s="49"/>
      <c r="B2755" s="36" t="s">
        <v>4165</v>
      </c>
      <c r="C2755" s="36" t="s">
        <v>4212</v>
      </c>
      <c r="D2755" s="49"/>
      <c r="E2755" s="49"/>
      <c r="F2755" s="49"/>
      <c r="G2755" s="49"/>
      <c r="H2755" s="49"/>
      <c r="I2755" s="49"/>
    </row>
    <row r="2756" ht="15.75" customHeight="1" spans="1:9">
      <c r="A2756" s="49"/>
      <c r="B2756" s="36" t="s">
        <v>4165</v>
      </c>
      <c r="C2756" s="36" t="s">
        <v>4213</v>
      </c>
      <c r="D2756" s="49"/>
      <c r="E2756" s="49"/>
      <c r="F2756" s="49"/>
      <c r="G2756" s="49"/>
      <c r="H2756" s="49"/>
      <c r="I2756" s="49"/>
    </row>
    <row r="2757" ht="15.75" customHeight="1" spans="1:9">
      <c r="A2757" s="49"/>
      <c r="B2757" s="36" t="s">
        <v>4165</v>
      </c>
      <c r="C2757" s="36" t="s">
        <v>4214</v>
      </c>
      <c r="D2757" s="49"/>
      <c r="E2757" s="49"/>
      <c r="F2757" s="49"/>
      <c r="G2757" s="49"/>
      <c r="H2757" s="49"/>
      <c r="I2757" s="49"/>
    </row>
    <row r="2758" ht="15.75" customHeight="1" spans="1:9">
      <c r="A2758" s="49"/>
      <c r="B2758" s="36" t="s">
        <v>4165</v>
      </c>
      <c r="C2758" s="36" t="s">
        <v>4215</v>
      </c>
      <c r="D2758" s="49"/>
      <c r="E2758" s="49"/>
      <c r="F2758" s="49"/>
      <c r="G2758" s="49"/>
      <c r="H2758" s="49"/>
      <c r="I2758" s="49"/>
    </row>
    <row r="2759" ht="15.75" customHeight="1" spans="1:9">
      <c r="A2759" s="49"/>
      <c r="B2759" s="36" t="s">
        <v>4165</v>
      </c>
      <c r="C2759" s="36" t="s">
        <v>4216</v>
      </c>
      <c r="D2759" s="49"/>
      <c r="E2759" s="49"/>
      <c r="F2759" s="49"/>
      <c r="G2759" s="49"/>
      <c r="H2759" s="49"/>
      <c r="I2759" s="49"/>
    </row>
    <row r="2760" ht="15.75" customHeight="1" spans="1:9">
      <c r="A2760" s="49"/>
      <c r="B2760" s="36" t="s">
        <v>4165</v>
      </c>
      <c r="C2760" s="36" t="s">
        <v>4217</v>
      </c>
      <c r="D2760" s="49"/>
      <c r="E2760" s="49"/>
      <c r="F2760" s="49"/>
      <c r="G2760" s="49"/>
      <c r="H2760" s="49"/>
      <c r="I2760" s="49"/>
    </row>
    <row r="2761" ht="15.75" customHeight="1" spans="1:9">
      <c r="A2761" s="49"/>
      <c r="B2761" s="36" t="s">
        <v>4165</v>
      </c>
      <c r="C2761" s="36" t="s">
        <v>4218</v>
      </c>
      <c r="D2761" s="49"/>
      <c r="E2761" s="49"/>
      <c r="F2761" s="49"/>
      <c r="G2761" s="49"/>
      <c r="H2761" s="49"/>
      <c r="I2761" s="49"/>
    </row>
    <row r="2762" ht="15.75" customHeight="1" spans="1:9">
      <c r="A2762" s="49"/>
      <c r="B2762" s="36" t="s">
        <v>4165</v>
      </c>
      <c r="C2762" s="36" t="s">
        <v>4219</v>
      </c>
      <c r="D2762" s="49"/>
      <c r="E2762" s="49"/>
      <c r="F2762" s="49"/>
      <c r="G2762" s="49"/>
      <c r="H2762" s="49"/>
      <c r="I2762" s="49"/>
    </row>
    <row r="2763" ht="15.75" customHeight="1" spans="1:9">
      <c r="A2763" s="49"/>
      <c r="B2763" s="36" t="s">
        <v>4165</v>
      </c>
      <c r="C2763" s="36" t="s">
        <v>4220</v>
      </c>
      <c r="D2763" s="49"/>
      <c r="E2763" s="49"/>
      <c r="F2763" s="49"/>
      <c r="G2763" s="49"/>
      <c r="H2763" s="49"/>
      <c r="I2763" s="49"/>
    </row>
    <row r="2764" ht="15.75" customHeight="1" spans="1:9">
      <c r="A2764" s="49"/>
      <c r="B2764" s="36" t="s">
        <v>4165</v>
      </c>
      <c r="C2764" s="36" t="s">
        <v>4221</v>
      </c>
      <c r="D2764" s="49"/>
      <c r="E2764" s="49"/>
      <c r="F2764" s="49"/>
      <c r="G2764" s="49"/>
      <c r="H2764" s="49"/>
      <c r="I2764" s="49"/>
    </row>
    <row r="2765" ht="15.75" customHeight="1" spans="1:9">
      <c r="A2765" s="49"/>
      <c r="B2765" s="36" t="s">
        <v>4165</v>
      </c>
      <c r="C2765" s="36" t="s">
        <v>4222</v>
      </c>
      <c r="D2765" s="49"/>
      <c r="E2765" s="49"/>
      <c r="F2765" s="49"/>
      <c r="G2765" s="49"/>
      <c r="H2765" s="49"/>
      <c r="I2765" s="49"/>
    </row>
    <row r="2766" ht="15.75" customHeight="1" spans="1:9">
      <c r="A2766" s="49"/>
      <c r="B2766" s="36" t="s">
        <v>4165</v>
      </c>
      <c r="C2766" s="36" t="s">
        <v>4223</v>
      </c>
      <c r="D2766" s="49"/>
      <c r="E2766" s="49"/>
      <c r="F2766" s="49"/>
      <c r="G2766" s="49"/>
      <c r="H2766" s="49"/>
      <c r="I2766" s="49"/>
    </row>
    <row r="2767" ht="15.75" customHeight="1" spans="1:9">
      <c r="A2767" s="49"/>
      <c r="B2767" s="36" t="s">
        <v>4165</v>
      </c>
      <c r="C2767" s="36" t="s">
        <v>4224</v>
      </c>
      <c r="D2767" s="49"/>
      <c r="E2767" s="49"/>
      <c r="F2767" s="49"/>
      <c r="G2767" s="49"/>
      <c r="H2767" s="49"/>
      <c r="I2767" s="49"/>
    </row>
    <row r="2768" ht="15.75" customHeight="1" spans="1:9">
      <c r="A2768" s="49"/>
      <c r="B2768" s="36" t="s">
        <v>4165</v>
      </c>
      <c r="C2768" s="36" t="s">
        <v>4225</v>
      </c>
      <c r="D2768" s="49"/>
      <c r="E2768" s="49"/>
      <c r="F2768" s="49"/>
      <c r="G2768" s="49"/>
      <c r="H2768" s="49"/>
      <c r="I2768" s="49"/>
    </row>
    <row r="2769" ht="15.75" customHeight="1" spans="1:9">
      <c r="A2769" s="49"/>
      <c r="B2769" s="36" t="s">
        <v>4165</v>
      </c>
      <c r="C2769" s="36" t="s">
        <v>4226</v>
      </c>
      <c r="D2769" s="49"/>
      <c r="E2769" s="49"/>
      <c r="F2769" s="49"/>
      <c r="G2769" s="49"/>
      <c r="H2769" s="49"/>
      <c r="I2769" s="49"/>
    </row>
    <row r="2770" ht="15.75" customHeight="1" spans="1:9">
      <c r="A2770" s="49"/>
      <c r="B2770" s="36" t="s">
        <v>4165</v>
      </c>
      <c r="C2770" s="36" t="s">
        <v>4227</v>
      </c>
      <c r="D2770" s="49"/>
      <c r="E2770" s="49"/>
      <c r="F2770" s="49"/>
      <c r="G2770" s="49"/>
      <c r="H2770" s="49"/>
      <c r="I2770" s="49"/>
    </row>
    <row r="2771" ht="15.75" customHeight="1" spans="1:9">
      <c r="A2771" s="49"/>
      <c r="B2771" s="36" t="s">
        <v>4165</v>
      </c>
      <c r="C2771" s="36" t="s">
        <v>4228</v>
      </c>
      <c r="D2771" s="49"/>
      <c r="E2771" s="49"/>
      <c r="F2771" s="49"/>
      <c r="G2771" s="49"/>
      <c r="H2771" s="49"/>
      <c r="I2771" s="49"/>
    </row>
    <row r="2772" ht="15.75" customHeight="1" spans="1:9">
      <c r="A2772" s="49"/>
      <c r="B2772" s="36" t="s">
        <v>4165</v>
      </c>
      <c r="C2772" s="36" t="s">
        <v>4229</v>
      </c>
      <c r="D2772" s="49"/>
      <c r="E2772" s="49"/>
      <c r="F2772" s="49"/>
      <c r="G2772" s="49"/>
      <c r="H2772" s="49"/>
      <c r="I2772" s="49"/>
    </row>
    <row r="2773" ht="15.75" customHeight="1" spans="1:9">
      <c r="A2773" s="49"/>
      <c r="B2773" s="36" t="s">
        <v>4165</v>
      </c>
      <c r="C2773" s="36" t="s">
        <v>4230</v>
      </c>
      <c r="D2773" s="49"/>
      <c r="E2773" s="49"/>
      <c r="F2773" s="49"/>
      <c r="G2773" s="49"/>
      <c r="H2773" s="49"/>
      <c r="I2773" s="49"/>
    </row>
    <row r="2774" ht="15.75" customHeight="1" spans="1:9">
      <c r="A2774" s="49"/>
      <c r="B2774" s="36" t="s">
        <v>4165</v>
      </c>
      <c r="C2774" s="36" t="s">
        <v>4231</v>
      </c>
      <c r="D2774" s="49"/>
      <c r="E2774" s="49"/>
      <c r="F2774" s="49"/>
      <c r="G2774" s="49"/>
      <c r="H2774" s="49"/>
      <c r="I2774" s="49"/>
    </row>
    <row r="2775" ht="15.75" customHeight="1" spans="1:9">
      <c r="A2775" s="49"/>
      <c r="B2775" s="36" t="s">
        <v>4165</v>
      </c>
      <c r="C2775" s="36" t="s">
        <v>4232</v>
      </c>
      <c r="D2775" s="49"/>
      <c r="E2775" s="49"/>
      <c r="F2775" s="49"/>
      <c r="G2775" s="49"/>
      <c r="H2775" s="49"/>
      <c r="I2775" s="49"/>
    </row>
    <row r="2776" ht="15.75" customHeight="1" spans="1:9">
      <c r="A2776" s="49"/>
      <c r="B2776" s="36" t="s">
        <v>4165</v>
      </c>
      <c r="C2776" s="36" t="s">
        <v>4233</v>
      </c>
      <c r="D2776" s="49"/>
      <c r="E2776" s="49"/>
      <c r="F2776" s="49"/>
      <c r="G2776" s="49"/>
      <c r="H2776" s="49"/>
      <c r="I2776" s="49"/>
    </row>
    <row r="2777" ht="15.75" customHeight="1" spans="1:9">
      <c r="A2777" s="49"/>
      <c r="B2777" s="36" t="s">
        <v>4165</v>
      </c>
      <c r="C2777" s="36" t="s">
        <v>4234</v>
      </c>
      <c r="D2777" s="49"/>
      <c r="E2777" s="49"/>
      <c r="F2777" s="49"/>
      <c r="G2777" s="49"/>
      <c r="H2777" s="49"/>
      <c r="I2777" s="49"/>
    </row>
    <row r="2778" ht="15.75" customHeight="1" spans="1:9">
      <c r="A2778" s="49"/>
      <c r="B2778" s="36" t="s">
        <v>4165</v>
      </c>
      <c r="C2778" s="36" t="s">
        <v>4235</v>
      </c>
      <c r="D2778" s="49"/>
      <c r="E2778" s="49"/>
      <c r="F2778" s="49"/>
      <c r="G2778" s="49"/>
      <c r="H2778" s="49"/>
      <c r="I2778" s="49"/>
    </row>
    <row r="2779" ht="15.75" customHeight="1" spans="1:9">
      <c r="A2779" s="49"/>
      <c r="B2779" s="36" t="s">
        <v>4165</v>
      </c>
      <c r="C2779" s="36" t="s">
        <v>4236</v>
      </c>
      <c r="D2779" s="49"/>
      <c r="E2779" s="49"/>
      <c r="F2779" s="49"/>
      <c r="G2779" s="49"/>
      <c r="H2779" s="49"/>
      <c r="I2779" s="49"/>
    </row>
    <row r="2780" ht="15.75" customHeight="1" spans="1:9">
      <c r="A2780" s="49"/>
      <c r="B2780" s="36" t="s">
        <v>4165</v>
      </c>
      <c r="C2780" s="36" t="s">
        <v>4237</v>
      </c>
      <c r="D2780" s="49"/>
      <c r="E2780" s="49"/>
      <c r="F2780" s="49"/>
      <c r="G2780" s="49"/>
      <c r="H2780" s="49"/>
      <c r="I2780" s="49"/>
    </row>
    <row r="2781" ht="15.75" customHeight="1" spans="1:9">
      <c r="A2781" s="49"/>
      <c r="B2781" s="36" t="s">
        <v>4165</v>
      </c>
      <c r="C2781" s="36" t="s">
        <v>4238</v>
      </c>
      <c r="D2781" s="49"/>
      <c r="E2781" s="49"/>
      <c r="F2781" s="49"/>
      <c r="G2781" s="49"/>
      <c r="H2781" s="49"/>
      <c r="I2781" s="49"/>
    </row>
    <row r="2782" ht="15.75" customHeight="1" spans="1:9">
      <c r="A2782" s="49"/>
      <c r="B2782" s="36" t="s">
        <v>4165</v>
      </c>
      <c r="C2782" s="36" t="s">
        <v>4239</v>
      </c>
      <c r="D2782" s="49"/>
      <c r="E2782" s="49"/>
      <c r="F2782" s="49"/>
      <c r="G2782" s="49"/>
      <c r="H2782" s="49"/>
      <c r="I2782" s="49"/>
    </row>
    <row r="2783" ht="15.75" customHeight="1" spans="1:9">
      <c r="A2783" s="49"/>
      <c r="B2783" s="36" t="s">
        <v>4165</v>
      </c>
      <c r="C2783" s="36" t="s">
        <v>4240</v>
      </c>
      <c r="D2783" s="49"/>
      <c r="E2783" s="49"/>
      <c r="F2783" s="49"/>
      <c r="G2783" s="49"/>
      <c r="H2783" s="49"/>
      <c r="I2783" s="49"/>
    </row>
    <row r="2784" ht="15.75" customHeight="1" spans="1:9">
      <c r="A2784" s="49"/>
      <c r="B2784" s="36" t="s">
        <v>4165</v>
      </c>
      <c r="C2784" s="36" t="s">
        <v>4241</v>
      </c>
      <c r="D2784" s="49"/>
      <c r="E2784" s="49"/>
      <c r="F2784" s="49"/>
      <c r="G2784" s="49"/>
      <c r="H2784" s="49"/>
      <c r="I2784" s="49"/>
    </row>
    <row r="2785" ht="15.75" customHeight="1" spans="1:9">
      <c r="A2785" s="49"/>
      <c r="B2785" s="36" t="s">
        <v>4165</v>
      </c>
      <c r="C2785" s="36" t="s">
        <v>4242</v>
      </c>
      <c r="D2785" s="49"/>
      <c r="E2785" s="49"/>
      <c r="F2785" s="49"/>
      <c r="G2785" s="49"/>
      <c r="H2785" s="49"/>
      <c r="I2785" s="49"/>
    </row>
    <row r="2786" ht="15.75" customHeight="1" spans="1:9">
      <c r="A2786" s="49"/>
      <c r="B2786" s="36" t="s">
        <v>4165</v>
      </c>
      <c r="C2786" s="36" t="s">
        <v>4243</v>
      </c>
      <c r="D2786" s="49"/>
      <c r="E2786" s="49"/>
      <c r="F2786" s="49"/>
      <c r="G2786" s="49"/>
      <c r="H2786" s="49"/>
      <c r="I2786" s="49"/>
    </row>
    <row r="2787" ht="15.75" customHeight="1" spans="1:9">
      <c r="A2787" s="49"/>
      <c r="B2787" s="36" t="s">
        <v>4165</v>
      </c>
      <c r="C2787" s="36" t="s">
        <v>4244</v>
      </c>
      <c r="D2787" s="49"/>
      <c r="E2787" s="49"/>
      <c r="F2787" s="49"/>
      <c r="G2787" s="49"/>
      <c r="H2787" s="49"/>
      <c r="I2787" s="49"/>
    </row>
    <row r="2788" ht="15.75" customHeight="1" spans="1:9">
      <c r="A2788" s="49"/>
      <c r="B2788" s="36" t="s">
        <v>4165</v>
      </c>
      <c r="C2788" s="36" t="s">
        <v>4245</v>
      </c>
      <c r="D2788" s="49"/>
      <c r="E2788" s="49"/>
      <c r="F2788" s="49"/>
      <c r="G2788" s="49"/>
      <c r="H2788" s="49"/>
      <c r="I2788" s="49"/>
    </row>
    <row r="2789" ht="15.75" customHeight="1" spans="1:9">
      <c r="A2789" s="49"/>
      <c r="B2789" s="36" t="s">
        <v>4165</v>
      </c>
      <c r="C2789" s="36" t="s">
        <v>4246</v>
      </c>
      <c r="D2789" s="49"/>
      <c r="E2789" s="49"/>
      <c r="F2789" s="49"/>
      <c r="G2789" s="49"/>
      <c r="H2789" s="49"/>
      <c r="I2789" s="49"/>
    </row>
    <row r="2790" ht="15.75" customHeight="1" spans="1:9">
      <c r="A2790" s="49"/>
      <c r="B2790" s="36" t="s">
        <v>4165</v>
      </c>
      <c r="C2790" s="36" t="s">
        <v>4247</v>
      </c>
      <c r="D2790" s="49"/>
      <c r="E2790" s="49"/>
      <c r="F2790" s="49"/>
      <c r="G2790" s="49"/>
      <c r="H2790" s="49"/>
      <c r="I2790" s="49"/>
    </row>
    <row r="2791" ht="15.75" customHeight="1" spans="1:9">
      <c r="A2791" s="49"/>
      <c r="B2791" s="36" t="s">
        <v>4165</v>
      </c>
      <c r="C2791" s="36" t="s">
        <v>4248</v>
      </c>
      <c r="D2791" s="49"/>
      <c r="E2791" s="49"/>
      <c r="F2791" s="49"/>
      <c r="G2791" s="49"/>
      <c r="H2791" s="49"/>
      <c r="I2791" s="49"/>
    </row>
    <row r="2792" ht="15.75" customHeight="1" spans="1:9">
      <c r="A2792" s="49"/>
      <c r="B2792" s="36" t="s">
        <v>4165</v>
      </c>
      <c r="C2792" s="36" t="s">
        <v>4249</v>
      </c>
      <c r="D2792" s="49"/>
      <c r="E2792" s="49"/>
      <c r="F2792" s="49"/>
      <c r="G2792" s="49"/>
      <c r="H2792" s="49"/>
      <c r="I2792" s="49"/>
    </row>
    <row r="2793" ht="15.75" customHeight="1" spans="1:9">
      <c r="A2793" s="49"/>
      <c r="B2793" s="36" t="s">
        <v>4165</v>
      </c>
      <c r="C2793" s="36" t="s">
        <v>4250</v>
      </c>
      <c r="D2793" s="49"/>
      <c r="E2793" s="49"/>
      <c r="F2793" s="49"/>
      <c r="G2793" s="49"/>
      <c r="H2793" s="49"/>
      <c r="I2793" s="49"/>
    </row>
    <row r="2794" ht="15.75" customHeight="1" spans="1:9">
      <c r="A2794" s="49"/>
      <c r="B2794" s="36" t="s">
        <v>4165</v>
      </c>
      <c r="C2794" s="36" t="s">
        <v>4251</v>
      </c>
      <c r="D2794" s="49"/>
      <c r="E2794" s="49"/>
      <c r="F2794" s="49"/>
      <c r="G2794" s="49"/>
      <c r="H2794" s="49"/>
      <c r="I2794" s="49"/>
    </row>
    <row r="2795" ht="15.75" customHeight="1" spans="1:9">
      <c r="A2795" s="49"/>
      <c r="B2795" s="36" t="s">
        <v>4165</v>
      </c>
      <c r="C2795" s="36" t="s">
        <v>4252</v>
      </c>
      <c r="D2795" s="49"/>
      <c r="E2795" s="49"/>
      <c r="F2795" s="49"/>
      <c r="G2795" s="49"/>
      <c r="H2795" s="49"/>
      <c r="I2795" s="49"/>
    </row>
    <row r="2796" ht="15.75" customHeight="1" spans="1:9">
      <c r="A2796" s="49"/>
      <c r="B2796" s="36" t="s">
        <v>4165</v>
      </c>
      <c r="C2796" s="36" t="s">
        <v>4253</v>
      </c>
      <c r="D2796" s="49"/>
      <c r="E2796" s="49"/>
      <c r="F2796" s="49"/>
      <c r="G2796" s="49"/>
      <c r="H2796" s="49"/>
      <c r="I2796" s="49"/>
    </row>
    <row r="2797" ht="15.75" customHeight="1" spans="1:9">
      <c r="A2797" s="49"/>
      <c r="B2797" s="36" t="s">
        <v>4165</v>
      </c>
      <c r="C2797" s="36" t="s">
        <v>4254</v>
      </c>
      <c r="D2797" s="49"/>
      <c r="E2797" s="49"/>
      <c r="F2797" s="49"/>
      <c r="G2797" s="49"/>
      <c r="H2797" s="49"/>
      <c r="I2797" s="49"/>
    </row>
    <row r="2798" ht="15.75" customHeight="1" spans="1:9">
      <c r="A2798" s="49"/>
      <c r="B2798" s="36" t="s">
        <v>4165</v>
      </c>
      <c r="C2798" s="36" t="s">
        <v>4255</v>
      </c>
      <c r="D2798" s="49"/>
      <c r="E2798" s="49"/>
      <c r="F2798" s="49"/>
      <c r="G2798" s="49"/>
      <c r="H2798" s="49"/>
      <c r="I2798" s="49"/>
    </row>
    <row r="2799" ht="15.75" customHeight="1" spans="1:9">
      <c r="A2799" s="49"/>
      <c r="B2799" s="36" t="s">
        <v>4165</v>
      </c>
      <c r="C2799" s="36" t="s">
        <v>4256</v>
      </c>
      <c r="D2799" s="49"/>
      <c r="E2799" s="49"/>
      <c r="F2799" s="49"/>
      <c r="G2799" s="49"/>
      <c r="H2799" s="49"/>
      <c r="I2799" s="49"/>
    </row>
    <row r="2800" ht="15.75" customHeight="1" spans="1:9">
      <c r="A2800" s="49"/>
      <c r="B2800" s="36" t="s">
        <v>4165</v>
      </c>
      <c r="C2800" s="36" t="s">
        <v>4257</v>
      </c>
      <c r="D2800" s="49"/>
      <c r="E2800" s="49"/>
      <c r="F2800" s="49"/>
      <c r="G2800" s="49"/>
      <c r="H2800" s="49"/>
      <c r="I2800" s="49"/>
    </row>
    <row r="2801" ht="15.75" customHeight="1" spans="1:9">
      <c r="A2801" s="49"/>
      <c r="B2801" s="36" t="s">
        <v>4165</v>
      </c>
      <c r="C2801" s="36" t="s">
        <v>4258</v>
      </c>
      <c r="D2801" s="49"/>
      <c r="E2801" s="49"/>
      <c r="F2801" s="49"/>
      <c r="G2801" s="49"/>
      <c r="H2801" s="49"/>
      <c r="I2801" s="49"/>
    </row>
    <row r="2802" ht="15.75" customHeight="1" spans="1:9">
      <c r="A2802" s="49"/>
      <c r="B2802" s="36" t="s">
        <v>4165</v>
      </c>
      <c r="C2802" s="36" t="s">
        <v>4259</v>
      </c>
      <c r="D2802" s="49"/>
      <c r="E2802" s="49"/>
      <c r="F2802" s="49"/>
      <c r="G2802" s="49"/>
      <c r="H2802" s="49"/>
      <c r="I2802" s="49"/>
    </row>
    <row r="2803" ht="15.75" customHeight="1" spans="1:9">
      <c r="A2803" s="49"/>
      <c r="B2803" s="36" t="s">
        <v>4165</v>
      </c>
      <c r="C2803" s="36" t="s">
        <v>4260</v>
      </c>
      <c r="D2803" s="49"/>
      <c r="E2803" s="49"/>
      <c r="F2803" s="49"/>
      <c r="G2803" s="49"/>
      <c r="H2803" s="49"/>
      <c r="I2803" s="49"/>
    </row>
    <row r="2804" ht="15.75" customHeight="1" spans="1:9">
      <c r="A2804" s="49"/>
      <c r="B2804" s="36" t="s">
        <v>4165</v>
      </c>
      <c r="C2804" s="36" t="s">
        <v>4261</v>
      </c>
      <c r="D2804" s="49"/>
      <c r="E2804" s="49"/>
      <c r="F2804" s="49"/>
      <c r="G2804" s="49"/>
      <c r="H2804" s="49"/>
      <c r="I2804" s="49"/>
    </row>
    <row r="2805" ht="15.75" customHeight="1" spans="1:9">
      <c r="A2805" s="49"/>
      <c r="B2805" s="36" t="s">
        <v>4165</v>
      </c>
      <c r="C2805" s="36" t="s">
        <v>4262</v>
      </c>
      <c r="D2805" s="49"/>
      <c r="E2805" s="49"/>
      <c r="F2805" s="49"/>
      <c r="G2805" s="49"/>
      <c r="H2805" s="49"/>
      <c r="I2805" s="49"/>
    </row>
    <row r="2806" ht="15.75" customHeight="1" spans="1:9">
      <c r="A2806" s="49"/>
      <c r="B2806" s="36" t="s">
        <v>4165</v>
      </c>
      <c r="C2806" s="36" t="s">
        <v>4263</v>
      </c>
      <c r="D2806" s="49"/>
      <c r="E2806" s="49"/>
      <c r="F2806" s="49"/>
      <c r="G2806" s="49"/>
      <c r="H2806" s="49"/>
      <c r="I2806" s="49"/>
    </row>
    <row r="2807" ht="15.75" customHeight="1" spans="1:9">
      <c r="A2807" s="49"/>
      <c r="B2807" s="36" t="s">
        <v>4165</v>
      </c>
      <c r="C2807" s="36" t="s">
        <v>4264</v>
      </c>
      <c r="D2807" s="49"/>
      <c r="E2807" s="49"/>
      <c r="F2807" s="49"/>
      <c r="G2807" s="49"/>
      <c r="H2807" s="49"/>
      <c r="I2807" s="49"/>
    </row>
    <row r="2808" ht="15.75" customHeight="1" spans="1:9">
      <c r="A2808" s="49"/>
      <c r="B2808" s="36" t="s">
        <v>4165</v>
      </c>
      <c r="C2808" s="36" t="s">
        <v>4265</v>
      </c>
      <c r="D2808" s="49"/>
      <c r="E2808" s="49"/>
      <c r="F2808" s="49"/>
      <c r="G2808" s="49"/>
      <c r="H2808" s="49"/>
      <c r="I2808" s="49"/>
    </row>
    <row r="2809" ht="15.75" customHeight="1" spans="1:9">
      <c r="A2809" s="49"/>
      <c r="B2809" s="36" t="s">
        <v>4165</v>
      </c>
      <c r="C2809" s="36" t="s">
        <v>4266</v>
      </c>
      <c r="D2809" s="49"/>
      <c r="E2809" s="49"/>
      <c r="F2809" s="49"/>
      <c r="G2809" s="49"/>
      <c r="H2809" s="49"/>
      <c r="I2809" s="49"/>
    </row>
    <row r="2810" ht="15.75" customHeight="1" spans="1:9">
      <c r="A2810" s="49"/>
      <c r="B2810" s="36" t="s">
        <v>4165</v>
      </c>
      <c r="C2810" s="36" t="s">
        <v>4267</v>
      </c>
      <c r="D2810" s="49"/>
      <c r="E2810" s="49"/>
      <c r="F2810" s="49"/>
      <c r="G2810" s="49"/>
      <c r="H2810" s="49"/>
      <c r="I2810" s="49"/>
    </row>
    <row r="2811" ht="15.75" customHeight="1" spans="1:9">
      <c r="A2811" s="49"/>
      <c r="B2811" s="36" t="s">
        <v>4165</v>
      </c>
      <c r="C2811" s="36" t="s">
        <v>4268</v>
      </c>
      <c r="D2811" s="49"/>
      <c r="E2811" s="49"/>
      <c r="F2811" s="49"/>
      <c r="G2811" s="49"/>
      <c r="H2811" s="49"/>
      <c r="I2811" s="49"/>
    </row>
    <row r="2812" ht="15.75" customHeight="1" spans="1:9">
      <c r="A2812" s="49"/>
      <c r="B2812" s="36" t="s">
        <v>4165</v>
      </c>
      <c r="C2812" s="36" t="s">
        <v>4269</v>
      </c>
      <c r="D2812" s="49"/>
      <c r="E2812" s="49"/>
      <c r="F2812" s="49"/>
      <c r="G2812" s="49"/>
      <c r="H2812" s="49"/>
      <c r="I2812" s="49"/>
    </row>
    <row r="2813" ht="15.75" customHeight="1" spans="1:9">
      <c r="A2813" s="49"/>
      <c r="B2813" s="36" t="s">
        <v>4165</v>
      </c>
      <c r="C2813" s="36" t="s">
        <v>4270</v>
      </c>
      <c r="D2813" s="49"/>
      <c r="E2813" s="49"/>
      <c r="F2813" s="49"/>
      <c r="G2813" s="49"/>
      <c r="H2813" s="49"/>
      <c r="I2813" s="49"/>
    </row>
    <row r="2814" ht="15.75" customHeight="1" spans="1:9">
      <c r="A2814" s="49"/>
      <c r="B2814" s="36" t="s">
        <v>4165</v>
      </c>
      <c r="C2814" s="36" t="s">
        <v>4271</v>
      </c>
      <c r="D2814" s="49"/>
      <c r="E2814" s="49"/>
      <c r="F2814" s="49"/>
      <c r="G2814" s="49"/>
      <c r="H2814" s="49"/>
      <c r="I2814" s="49"/>
    </row>
    <row r="2815" ht="15.75" customHeight="1" spans="1:9">
      <c r="A2815" s="49"/>
      <c r="B2815" s="36" t="s">
        <v>4165</v>
      </c>
      <c r="C2815" s="36" t="s">
        <v>4272</v>
      </c>
      <c r="D2815" s="49"/>
      <c r="E2815" s="49"/>
      <c r="F2815" s="49"/>
      <c r="G2815" s="49"/>
      <c r="H2815" s="49"/>
      <c r="I2815" s="49"/>
    </row>
    <row r="2816" ht="15.75" customHeight="1" spans="1:9">
      <c r="A2816" s="49"/>
      <c r="B2816" s="36" t="s">
        <v>4165</v>
      </c>
      <c r="C2816" s="36" t="s">
        <v>4273</v>
      </c>
      <c r="D2816" s="49"/>
      <c r="E2816" s="49"/>
      <c r="F2816" s="49"/>
      <c r="G2816" s="49"/>
      <c r="H2816" s="49"/>
      <c r="I2816" s="49"/>
    </row>
    <row r="2817" ht="15.75" customHeight="1" spans="1:9">
      <c r="A2817" s="49"/>
      <c r="B2817" s="36" t="s">
        <v>4165</v>
      </c>
      <c r="C2817" s="36" t="s">
        <v>4274</v>
      </c>
      <c r="D2817" s="49"/>
      <c r="E2817" s="49"/>
      <c r="F2817" s="49"/>
      <c r="G2817" s="49"/>
      <c r="H2817" s="49"/>
      <c r="I2817" s="49"/>
    </row>
    <row r="2818" ht="15.75" customHeight="1" spans="1:9">
      <c r="A2818" s="49"/>
      <c r="B2818" s="36" t="s">
        <v>4165</v>
      </c>
      <c r="C2818" s="36" t="s">
        <v>4275</v>
      </c>
      <c r="D2818" s="49"/>
      <c r="E2818" s="49"/>
      <c r="F2818" s="49"/>
      <c r="G2818" s="49"/>
      <c r="H2818" s="49"/>
      <c r="I2818" s="49"/>
    </row>
    <row r="2819" ht="15.75" customHeight="1" spans="1:9">
      <c r="A2819" s="49"/>
      <c r="B2819" s="36" t="s">
        <v>4165</v>
      </c>
      <c r="C2819" s="36" t="s">
        <v>4276</v>
      </c>
      <c r="D2819" s="49"/>
      <c r="E2819" s="49"/>
      <c r="F2819" s="49"/>
      <c r="G2819" s="49"/>
      <c r="H2819" s="49"/>
      <c r="I2819" s="49"/>
    </row>
    <row r="2820" ht="15.75" customHeight="1" spans="1:9">
      <c r="A2820" s="49"/>
      <c r="B2820" s="36" t="s">
        <v>4165</v>
      </c>
      <c r="C2820" s="36" t="s">
        <v>4277</v>
      </c>
      <c r="D2820" s="49"/>
      <c r="E2820" s="49"/>
      <c r="F2820" s="49"/>
      <c r="G2820" s="49"/>
      <c r="H2820" s="49"/>
      <c r="I2820" s="49"/>
    </row>
    <row r="2821" ht="15.75" customHeight="1" spans="1:9">
      <c r="A2821" s="49"/>
      <c r="B2821" s="36" t="s">
        <v>4165</v>
      </c>
      <c r="C2821" s="36" t="s">
        <v>4278</v>
      </c>
      <c r="D2821" s="49"/>
      <c r="E2821" s="49"/>
      <c r="F2821" s="49"/>
      <c r="G2821" s="49"/>
      <c r="H2821" s="49"/>
      <c r="I2821" s="49"/>
    </row>
    <row r="2822" ht="15.75" customHeight="1" spans="1:9">
      <c r="A2822" s="49"/>
      <c r="B2822" s="36" t="s">
        <v>4165</v>
      </c>
      <c r="C2822" s="36" t="s">
        <v>4279</v>
      </c>
      <c r="D2822" s="49"/>
      <c r="E2822" s="49"/>
      <c r="F2822" s="49"/>
      <c r="G2822" s="49"/>
      <c r="H2822" s="49"/>
      <c r="I2822" s="49"/>
    </row>
    <row r="2823" ht="15.75" customHeight="1" spans="1:9">
      <c r="A2823" s="49"/>
      <c r="B2823" s="36" t="s">
        <v>4165</v>
      </c>
      <c r="C2823" s="36" t="s">
        <v>4280</v>
      </c>
      <c r="D2823" s="49"/>
      <c r="E2823" s="49"/>
      <c r="F2823" s="49"/>
      <c r="G2823" s="49"/>
      <c r="H2823" s="49"/>
      <c r="I2823" s="49"/>
    </row>
    <row r="2824" ht="15.75" customHeight="1" spans="1:9">
      <c r="A2824" s="49"/>
      <c r="B2824" s="36" t="s">
        <v>4165</v>
      </c>
      <c r="C2824" s="36" t="s">
        <v>4281</v>
      </c>
      <c r="D2824" s="49"/>
      <c r="E2824" s="49"/>
      <c r="F2824" s="49"/>
      <c r="G2824" s="49"/>
      <c r="H2824" s="49"/>
      <c r="I2824" s="49"/>
    </row>
    <row r="2825" ht="15.75" customHeight="1" spans="1:9">
      <c r="A2825" s="49"/>
      <c r="B2825" s="36" t="s">
        <v>4165</v>
      </c>
      <c r="C2825" s="36" t="s">
        <v>4282</v>
      </c>
      <c r="D2825" s="49"/>
      <c r="E2825" s="49"/>
      <c r="F2825" s="49"/>
      <c r="G2825" s="49"/>
      <c r="H2825" s="49"/>
      <c r="I2825" s="49"/>
    </row>
    <row r="2826" ht="15.75" customHeight="1" spans="1:9">
      <c r="A2826" s="49"/>
      <c r="B2826" s="36" t="s">
        <v>4165</v>
      </c>
      <c r="C2826" s="36" t="s">
        <v>4283</v>
      </c>
      <c r="D2826" s="49"/>
      <c r="E2826" s="49"/>
      <c r="F2826" s="49"/>
      <c r="G2826" s="49"/>
      <c r="H2826" s="49"/>
      <c r="I2826" s="49"/>
    </row>
    <row r="2827" ht="15.75" customHeight="1" spans="1:9">
      <c r="A2827" s="49"/>
      <c r="B2827" s="36" t="s">
        <v>4165</v>
      </c>
      <c r="C2827" s="36" t="s">
        <v>4284</v>
      </c>
      <c r="D2827" s="49"/>
      <c r="E2827" s="49"/>
      <c r="F2827" s="49"/>
      <c r="G2827" s="49"/>
      <c r="H2827" s="49"/>
      <c r="I2827" s="49"/>
    </row>
    <row r="2828" ht="15.75" customHeight="1" spans="1:9">
      <c r="A2828" s="49"/>
      <c r="B2828" s="36" t="s">
        <v>4165</v>
      </c>
      <c r="C2828" s="36" t="s">
        <v>4285</v>
      </c>
      <c r="D2828" s="49"/>
      <c r="E2828" s="49"/>
      <c r="F2828" s="49"/>
      <c r="G2828" s="49"/>
      <c r="H2828" s="49"/>
      <c r="I2828" s="49"/>
    </row>
    <row r="2829" ht="15.75" customHeight="1" spans="1:9">
      <c r="A2829" s="49"/>
      <c r="B2829" s="36" t="s">
        <v>4165</v>
      </c>
      <c r="C2829" s="36" t="s">
        <v>4286</v>
      </c>
      <c r="D2829" s="49"/>
      <c r="E2829" s="49"/>
      <c r="F2829" s="49"/>
      <c r="G2829" s="49"/>
      <c r="H2829" s="49"/>
      <c r="I2829" s="49"/>
    </row>
    <row r="2830" ht="15.75" customHeight="1" spans="1:9">
      <c r="A2830" s="49"/>
      <c r="B2830" s="36" t="s">
        <v>4165</v>
      </c>
      <c r="C2830" s="36" t="s">
        <v>4287</v>
      </c>
      <c r="D2830" s="49"/>
      <c r="E2830" s="49"/>
      <c r="F2830" s="49"/>
      <c r="G2830" s="49"/>
      <c r="H2830" s="49"/>
      <c r="I2830" s="49"/>
    </row>
    <row r="2831" ht="15.75" customHeight="1" spans="1:9">
      <c r="A2831" s="49"/>
      <c r="B2831" s="36" t="s">
        <v>4165</v>
      </c>
      <c r="C2831" s="36" t="s">
        <v>4288</v>
      </c>
      <c r="D2831" s="49"/>
      <c r="E2831" s="49"/>
      <c r="F2831" s="49"/>
      <c r="G2831" s="49"/>
      <c r="H2831" s="49"/>
      <c r="I2831" s="49"/>
    </row>
    <row r="2832" ht="15.75" customHeight="1" spans="1:9">
      <c r="A2832" s="49"/>
      <c r="B2832" s="36" t="s">
        <v>4165</v>
      </c>
      <c r="C2832" s="36" t="s">
        <v>4289</v>
      </c>
      <c r="D2832" s="49"/>
      <c r="E2832" s="49"/>
      <c r="F2832" s="49"/>
      <c r="G2832" s="49"/>
      <c r="H2832" s="49"/>
      <c r="I2832" s="49"/>
    </row>
    <row r="2833" ht="15.75" customHeight="1" spans="1:9">
      <c r="A2833" s="49"/>
      <c r="B2833" s="36" t="s">
        <v>4165</v>
      </c>
      <c r="C2833" s="36" t="s">
        <v>4290</v>
      </c>
      <c r="D2833" s="49"/>
      <c r="E2833" s="49"/>
      <c r="F2833" s="49"/>
      <c r="G2833" s="49"/>
      <c r="H2833" s="49"/>
      <c r="I2833" s="49"/>
    </row>
    <row r="2834" ht="15.75" customHeight="1" spans="1:9">
      <c r="A2834" s="49"/>
      <c r="B2834" s="36" t="s">
        <v>4165</v>
      </c>
      <c r="C2834" s="36" t="s">
        <v>4291</v>
      </c>
      <c r="D2834" s="49"/>
      <c r="E2834" s="49"/>
      <c r="F2834" s="49"/>
      <c r="G2834" s="49"/>
      <c r="H2834" s="49"/>
      <c r="I2834" s="49"/>
    </row>
    <row r="2835" ht="15.75" customHeight="1" spans="1:9">
      <c r="A2835" s="49"/>
      <c r="B2835" s="36" t="s">
        <v>4165</v>
      </c>
      <c r="C2835" s="36" t="s">
        <v>4292</v>
      </c>
      <c r="D2835" s="49"/>
      <c r="E2835" s="49"/>
      <c r="F2835" s="49"/>
      <c r="G2835" s="49"/>
      <c r="H2835" s="49"/>
      <c r="I2835" s="49"/>
    </row>
    <row r="2836" ht="15.75" customHeight="1" spans="1:9">
      <c r="A2836" s="49"/>
      <c r="B2836" s="36" t="s">
        <v>4165</v>
      </c>
      <c r="C2836" s="36" t="s">
        <v>4293</v>
      </c>
      <c r="D2836" s="49"/>
      <c r="E2836" s="49"/>
      <c r="F2836" s="49"/>
      <c r="G2836" s="49"/>
      <c r="H2836" s="49"/>
      <c r="I2836" s="49"/>
    </row>
    <row r="2837" ht="15.75" customHeight="1" spans="1:9">
      <c r="A2837" s="49"/>
      <c r="B2837" s="36" t="s">
        <v>4165</v>
      </c>
      <c r="C2837" s="36" t="s">
        <v>4294</v>
      </c>
      <c r="D2837" s="49"/>
      <c r="E2837" s="49"/>
      <c r="F2837" s="49"/>
      <c r="G2837" s="49"/>
      <c r="H2837" s="49"/>
      <c r="I2837" s="49"/>
    </row>
    <row r="2838" ht="15.75" customHeight="1" spans="1:9">
      <c r="A2838" s="49"/>
      <c r="B2838" s="36" t="s">
        <v>4165</v>
      </c>
      <c r="C2838" s="36" t="s">
        <v>4295</v>
      </c>
      <c r="D2838" s="49"/>
      <c r="E2838" s="49"/>
      <c r="F2838" s="49"/>
      <c r="G2838" s="49"/>
      <c r="H2838" s="49"/>
      <c r="I2838" s="49"/>
    </row>
    <row r="2839" ht="15.75" customHeight="1" spans="1:9">
      <c r="A2839" s="49"/>
      <c r="B2839" s="36" t="s">
        <v>4165</v>
      </c>
      <c r="C2839" s="36" t="s">
        <v>4296</v>
      </c>
      <c r="D2839" s="49"/>
      <c r="E2839" s="49"/>
      <c r="F2839" s="49"/>
      <c r="G2839" s="49"/>
      <c r="H2839" s="49"/>
      <c r="I2839" s="49"/>
    </row>
    <row r="2840" ht="15.75" customHeight="1" spans="1:9">
      <c r="A2840" s="49"/>
      <c r="B2840" s="36" t="s">
        <v>4165</v>
      </c>
      <c r="C2840" s="36" t="s">
        <v>4297</v>
      </c>
      <c r="D2840" s="49"/>
      <c r="E2840" s="49"/>
      <c r="F2840" s="49"/>
      <c r="G2840" s="49"/>
      <c r="H2840" s="49"/>
      <c r="I2840" s="49"/>
    </row>
    <row r="2841" ht="15.75" customHeight="1" spans="1:9">
      <c r="A2841" s="49"/>
      <c r="B2841" s="36" t="s">
        <v>4165</v>
      </c>
      <c r="C2841" s="36" t="s">
        <v>4298</v>
      </c>
      <c r="D2841" s="49"/>
      <c r="E2841" s="49"/>
      <c r="F2841" s="49"/>
      <c r="G2841" s="49"/>
      <c r="H2841" s="49"/>
      <c r="I2841" s="49"/>
    </row>
    <row r="2842" ht="15.75" customHeight="1" spans="1:9">
      <c r="A2842" s="49"/>
      <c r="B2842" s="36" t="s">
        <v>4165</v>
      </c>
      <c r="C2842" s="36" t="s">
        <v>4299</v>
      </c>
      <c r="D2842" s="49"/>
      <c r="E2842" s="49"/>
      <c r="F2842" s="49"/>
      <c r="G2842" s="49"/>
      <c r="H2842" s="49"/>
      <c r="I2842" s="49"/>
    </row>
    <row r="2843" ht="15.75" customHeight="1" spans="1:9">
      <c r="A2843" s="49"/>
      <c r="B2843" s="36" t="s">
        <v>4165</v>
      </c>
      <c r="C2843" s="36" t="s">
        <v>4300</v>
      </c>
      <c r="D2843" s="49"/>
      <c r="E2843" s="49"/>
      <c r="F2843" s="49"/>
      <c r="G2843" s="49"/>
      <c r="H2843" s="49"/>
      <c r="I2843" s="49"/>
    </row>
    <row r="2844" ht="15.75" customHeight="1" spans="1:9">
      <c r="A2844" s="49"/>
      <c r="B2844" s="36" t="s">
        <v>4165</v>
      </c>
      <c r="C2844" s="36" t="s">
        <v>4301</v>
      </c>
      <c r="D2844" s="49"/>
      <c r="E2844" s="49"/>
      <c r="F2844" s="49"/>
      <c r="G2844" s="49"/>
      <c r="H2844" s="49"/>
      <c r="I2844" s="49"/>
    </row>
    <row r="2845" ht="15.75" customHeight="1" spans="1:9">
      <c r="A2845" s="49"/>
      <c r="B2845" s="36" t="s">
        <v>4165</v>
      </c>
      <c r="C2845" s="36" t="s">
        <v>4302</v>
      </c>
      <c r="D2845" s="49"/>
      <c r="E2845" s="49"/>
      <c r="F2845" s="49"/>
      <c r="G2845" s="49"/>
      <c r="H2845" s="49"/>
      <c r="I2845" s="49"/>
    </row>
    <row r="2846" ht="15.75" customHeight="1" spans="1:9">
      <c r="A2846" s="49"/>
      <c r="B2846" s="36" t="s">
        <v>4165</v>
      </c>
      <c r="C2846" s="36" t="s">
        <v>4303</v>
      </c>
      <c r="D2846" s="49"/>
      <c r="E2846" s="49"/>
      <c r="F2846" s="49"/>
      <c r="G2846" s="49"/>
      <c r="H2846" s="49"/>
      <c r="I2846" s="49"/>
    </row>
    <row r="2847" ht="15.75" customHeight="1" spans="1:9">
      <c r="A2847" s="49"/>
      <c r="B2847" s="36" t="s">
        <v>4165</v>
      </c>
      <c r="C2847" s="36" t="s">
        <v>4304</v>
      </c>
      <c r="D2847" s="49"/>
      <c r="E2847" s="49"/>
      <c r="F2847" s="49"/>
      <c r="G2847" s="49"/>
      <c r="H2847" s="49"/>
      <c r="I2847" s="49"/>
    </row>
    <row r="2848" ht="15.75" customHeight="1" spans="1:9">
      <c r="A2848" s="49"/>
      <c r="B2848" s="36" t="s">
        <v>4165</v>
      </c>
      <c r="C2848" s="36" t="s">
        <v>4305</v>
      </c>
      <c r="D2848" s="49"/>
      <c r="E2848" s="49"/>
      <c r="F2848" s="49"/>
      <c r="G2848" s="49"/>
      <c r="H2848" s="49"/>
      <c r="I2848" s="49"/>
    </row>
    <row r="2849" ht="15.75" customHeight="1" spans="1:9">
      <c r="A2849" s="49"/>
      <c r="B2849" s="36" t="s">
        <v>4165</v>
      </c>
      <c r="C2849" s="36" t="s">
        <v>4306</v>
      </c>
      <c r="D2849" s="49"/>
      <c r="E2849" s="49"/>
      <c r="F2849" s="49"/>
      <c r="G2849" s="49"/>
      <c r="H2849" s="49"/>
      <c r="I2849" s="49"/>
    </row>
    <row r="2850" ht="15.75" customHeight="1" spans="1:9">
      <c r="A2850" s="49"/>
      <c r="B2850" s="36" t="s">
        <v>4165</v>
      </c>
      <c r="C2850" s="36" t="s">
        <v>4307</v>
      </c>
      <c r="D2850" s="49"/>
      <c r="E2850" s="49"/>
      <c r="F2850" s="49"/>
      <c r="G2850" s="49"/>
      <c r="H2850" s="49"/>
      <c r="I2850" s="49"/>
    </row>
    <row r="2851" ht="15.75" customHeight="1" spans="1:9">
      <c r="A2851" s="49"/>
      <c r="B2851" s="36" t="s">
        <v>4165</v>
      </c>
      <c r="C2851" s="36" t="s">
        <v>4308</v>
      </c>
      <c r="D2851" s="49"/>
      <c r="E2851" s="49"/>
      <c r="F2851" s="49"/>
      <c r="G2851" s="49"/>
      <c r="H2851" s="49"/>
      <c r="I2851" s="49"/>
    </row>
    <row r="2852" ht="15.75" customHeight="1" spans="1:9">
      <c r="A2852" s="49"/>
      <c r="B2852" s="36" t="s">
        <v>4165</v>
      </c>
      <c r="C2852" s="36" t="s">
        <v>4309</v>
      </c>
      <c r="D2852" s="49"/>
      <c r="E2852" s="49"/>
      <c r="F2852" s="49"/>
      <c r="G2852" s="49"/>
      <c r="H2852" s="49"/>
      <c r="I2852" s="49"/>
    </row>
    <row r="2853" ht="15.75" customHeight="1" spans="1:9">
      <c r="A2853" s="49"/>
      <c r="B2853" s="36" t="s">
        <v>4165</v>
      </c>
      <c r="C2853" s="36" t="s">
        <v>4310</v>
      </c>
      <c r="D2853" s="49"/>
      <c r="E2853" s="49"/>
      <c r="F2853" s="49"/>
      <c r="G2853" s="49"/>
      <c r="H2853" s="49"/>
      <c r="I2853" s="49"/>
    </row>
    <row r="2854" ht="15.75" customHeight="1" spans="1:9">
      <c r="A2854" s="49"/>
      <c r="B2854" s="36" t="s">
        <v>4165</v>
      </c>
      <c r="C2854" s="36" t="s">
        <v>4311</v>
      </c>
      <c r="D2854" s="49"/>
      <c r="E2854" s="49"/>
      <c r="F2854" s="49"/>
      <c r="G2854" s="49"/>
      <c r="H2854" s="49"/>
      <c r="I2854" s="49"/>
    </row>
    <row r="2855" ht="15.75" customHeight="1" spans="1:9">
      <c r="A2855" s="49"/>
      <c r="B2855" s="36" t="s">
        <v>4165</v>
      </c>
      <c r="C2855" s="36" t="s">
        <v>4312</v>
      </c>
      <c r="D2855" s="49"/>
      <c r="E2855" s="49"/>
      <c r="F2855" s="49"/>
      <c r="G2855" s="49"/>
      <c r="H2855" s="49"/>
      <c r="I2855" s="49"/>
    </row>
    <row r="2856" ht="15.75" customHeight="1" spans="1:9">
      <c r="A2856" s="49"/>
      <c r="B2856" s="36" t="s">
        <v>4165</v>
      </c>
      <c r="C2856" s="36" t="s">
        <v>4313</v>
      </c>
      <c r="D2856" s="49"/>
      <c r="E2856" s="49"/>
      <c r="F2856" s="49"/>
      <c r="G2856" s="49"/>
      <c r="H2856" s="49"/>
      <c r="I2856" s="49"/>
    </row>
    <row r="2857" ht="15.75" customHeight="1" spans="1:9">
      <c r="A2857" s="49"/>
      <c r="B2857" s="36" t="s">
        <v>4165</v>
      </c>
      <c r="C2857" s="36" t="s">
        <v>4314</v>
      </c>
      <c r="D2857" s="49"/>
      <c r="E2857" s="49"/>
      <c r="F2857" s="49"/>
      <c r="G2857" s="49"/>
      <c r="H2857" s="49"/>
      <c r="I2857" s="49"/>
    </row>
    <row r="2858" ht="15.75" customHeight="1" spans="1:9">
      <c r="A2858" s="49"/>
      <c r="B2858" s="36" t="s">
        <v>4165</v>
      </c>
      <c r="C2858" s="36" t="s">
        <v>4315</v>
      </c>
      <c r="D2858" s="49"/>
      <c r="E2858" s="49"/>
      <c r="F2858" s="49"/>
      <c r="G2858" s="49"/>
      <c r="H2858" s="49"/>
      <c r="I2858" s="49"/>
    </row>
    <row r="2859" ht="15.75" customHeight="1" spans="1:9">
      <c r="A2859" s="49"/>
      <c r="B2859" s="36" t="s">
        <v>4165</v>
      </c>
      <c r="C2859" s="36" t="s">
        <v>4316</v>
      </c>
      <c r="D2859" s="49"/>
      <c r="E2859" s="49"/>
      <c r="F2859" s="49"/>
      <c r="G2859" s="49"/>
      <c r="H2859" s="49"/>
      <c r="I2859" s="49"/>
    </row>
    <row r="2860" ht="15.75" customHeight="1" spans="1:9">
      <c r="A2860" s="49"/>
      <c r="B2860" s="36" t="s">
        <v>4165</v>
      </c>
      <c r="C2860" s="36" t="s">
        <v>4317</v>
      </c>
      <c r="D2860" s="49"/>
      <c r="E2860" s="49"/>
      <c r="F2860" s="49"/>
      <c r="G2860" s="49"/>
      <c r="H2860" s="49"/>
      <c r="I2860" s="49"/>
    </row>
    <row r="2861" ht="15.75" customHeight="1" spans="1:9">
      <c r="A2861" s="49"/>
      <c r="B2861" s="36" t="s">
        <v>4165</v>
      </c>
      <c r="C2861" s="36" t="s">
        <v>4318</v>
      </c>
      <c r="D2861" s="49"/>
      <c r="E2861" s="49"/>
      <c r="F2861" s="49"/>
      <c r="G2861" s="49"/>
      <c r="H2861" s="49"/>
      <c r="I2861" s="49"/>
    </row>
    <row r="2862" ht="15.75" customHeight="1" spans="1:9">
      <c r="A2862" s="49"/>
      <c r="B2862" s="36" t="s">
        <v>4165</v>
      </c>
      <c r="C2862" s="36" t="s">
        <v>4319</v>
      </c>
      <c r="D2862" s="49"/>
      <c r="E2862" s="49"/>
      <c r="F2862" s="49"/>
      <c r="G2862" s="49"/>
      <c r="H2862" s="49"/>
      <c r="I2862" s="49"/>
    </row>
    <row r="2863" ht="15.75" customHeight="1" spans="1:9">
      <c r="A2863" s="49"/>
      <c r="B2863" s="36" t="s">
        <v>4165</v>
      </c>
      <c r="C2863" s="36" t="s">
        <v>4320</v>
      </c>
      <c r="D2863" s="49"/>
      <c r="E2863" s="49"/>
      <c r="F2863" s="49"/>
      <c r="G2863" s="49"/>
      <c r="H2863" s="49"/>
      <c r="I2863" s="49"/>
    </row>
    <row r="2864" ht="15.75" customHeight="1" spans="1:9">
      <c r="A2864" s="49"/>
      <c r="B2864" s="36" t="s">
        <v>4165</v>
      </c>
      <c r="C2864" s="36" t="s">
        <v>4321</v>
      </c>
      <c r="D2864" s="49"/>
      <c r="E2864" s="49"/>
      <c r="F2864" s="49"/>
      <c r="G2864" s="49"/>
      <c r="H2864" s="49"/>
      <c r="I2864" s="49"/>
    </row>
    <row r="2865" ht="15.75" customHeight="1" spans="1:9">
      <c r="A2865" s="49"/>
      <c r="B2865" s="36" t="s">
        <v>4165</v>
      </c>
      <c r="C2865" s="36" t="s">
        <v>4322</v>
      </c>
      <c r="D2865" s="49"/>
      <c r="E2865" s="49"/>
      <c r="F2865" s="49"/>
      <c r="G2865" s="49"/>
      <c r="H2865" s="49"/>
      <c r="I2865" s="49"/>
    </row>
    <row r="2866" ht="15.75" customHeight="1" spans="1:9">
      <c r="A2866" s="49"/>
      <c r="B2866" s="36" t="s">
        <v>4165</v>
      </c>
      <c r="C2866" s="36" t="s">
        <v>4323</v>
      </c>
      <c r="D2866" s="49"/>
      <c r="E2866" s="49"/>
      <c r="F2866" s="49"/>
      <c r="G2866" s="49"/>
      <c r="H2866" s="49"/>
      <c r="I2866" s="49"/>
    </row>
    <row r="2867" ht="15.75" customHeight="1" spans="1:9">
      <c r="A2867" s="49"/>
      <c r="B2867" s="36" t="s">
        <v>4165</v>
      </c>
      <c r="C2867" s="36" t="s">
        <v>4324</v>
      </c>
      <c r="D2867" s="49"/>
      <c r="E2867" s="49"/>
      <c r="F2867" s="49"/>
      <c r="G2867" s="49"/>
      <c r="H2867" s="49"/>
      <c r="I2867" s="49"/>
    </row>
    <row r="2868" ht="15.75" customHeight="1" spans="1:9">
      <c r="A2868" s="49"/>
      <c r="B2868" s="36" t="s">
        <v>4165</v>
      </c>
      <c r="C2868" s="36" t="s">
        <v>4325</v>
      </c>
      <c r="D2868" s="49"/>
      <c r="E2868" s="49"/>
      <c r="F2868" s="49"/>
      <c r="G2868" s="49"/>
      <c r="H2868" s="49"/>
      <c r="I2868" s="49"/>
    </row>
    <row r="2869" ht="15.75" customHeight="1" spans="1:9">
      <c r="A2869" s="49"/>
      <c r="B2869" s="36" t="s">
        <v>4165</v>
      </c>
      <c r="C2869" s="36" t="s">
        <v>4326</v>
      </c>
      <c r="D2869" s="49"/>
      <c r="E2869" s="49"/>
      <c r="F2869" s="49"/>
      <c r="G2869" s="49"/>
      <c r="H2869" s="49"/>
      <c r="I2869" s="49"/>
    </row>
    <row r="2870" ht="15.75" customHeight="1" spans="1:9">
      <c r="A2870" s="49"/>
      <c r="B2870" s="36" t="s">
        <v>4165</v>
      </c>
      <c r="C2870" s="36" t="s">
        <v>4327</v>
      </c>
      <c r="D2870" s="49"/>
      <c r="E2870" s="49"/>
      <c r="F2870" s="49"/>
      <c r="G2870" s="49"/>
      <c r="H2870" s="49"/>
      <c r="I2870" s="49"/>
    </row>
    <row r="2871" ht="15.75" customHeight="1" spans="1:9">
      <c r="A2871" s="49"/>
      <c r="B2871" s="36" t="s">
        <v>4165</v>
      </c>
      <c r="C2871" s="36" t="s">
        <v>4328</v>
      </c>
      <c r="D2871" s="49"/>
      <c r="E2871" s="49"/>
      <c r="F2871" s="49"/>
      <c r="G2871" s="49"/>
      <c r="H2871" s="49"/>
      <c r="I2871" s="49"/>
    </row>
    <row r="2872" ht="15.75" customHeight="1" spans="1:9">
      <c r="A2872" s="49"/>
      <c r="B2872" s="36" t="s">
        <v>4165</v>
      </c>
      <c r="C2872" s="36" t="s">
        <v>4329</v>
      </c>
      <c r="D2872" s="49"/>
      <c r="E2872" s="49"/>
      <c r="F2872" s="49"/>
      <c r="G2872" s="49"/>
      <c r="H2872" s="49"/>
      <c r="I2872" s="49"/>
    </row>
    <row r="2873" ht="15.75" customHeight="1" spans="1:9">
      <c r="A2873" s="49"/>
      <c r="B2873" s="36" t="s">
        <v>4165</v>
      </c>
      <c r="C2873" s="36" t="s">
        <v>4330</v>
      </c>
      <c r="D2873" s="49"/>
      <c r="E2873" s="49"/>
      <c r="F2873" s="49"/>
      <c r="G2873" s="49"/>
      <c r="H2873" s="49"/>
      <c r="I2873" s="49"/>
    </row>
    <row r="2874" ht="15.75" customHeight="1" spans="1:9">
      <c r="A2874" s="49"/>
      <c r="B2874" s="36" t="s">
        <v>4165</v>
      </c>
      <c r="C2874" s="36" t="s">
        <v>4331</v>
      </c>
      <c r="D2874" s="49"/>
      <c r="E2874" s="49"/>
      <c r="F2874" s="49"/>
      <c r="G2874" s="49"/>
      <c r="H2874" s="49"/>
      <c r="I2874" s="49"/>
    </row>
    <row r="2875" ht="15.75" customHeight="1" spans="1:9">
      <c r="A2875" s="49"/>
      <c r="B2875" s="36" t="s">
        <v>4165</v>
      </c>
      <c r="C2875" s="36" t="s">
        <v>4332</v>
      </c>
      <c r="D2875" s="49"/>
      <c r="E2875" s="49"/>
      <c r="F2875" s="49"/>
      <c r="G2875" s="49"/>
      <c r="H2875" s="49"/>
      <c r="I2875" s="49"/>
    </row>
    <row r="2876" ht="15.75" customHeight="1" spans="1:9">
      <c r="A2876" s="49"/>
      <c r="B2876" s="36" t="s">
        <v>4165</v>
      </c>
      <c r="C2876" s="36" t="s">
        <v>4333</v>
      </c>
      <c r="D2876" s="49"/>
      <c r="E2876" s="49"/>
      <c r="F2876" s="49"/>
      <c r="G2876" s="49"/>
      <c r="H2876" s="49"/>
      <c r="I2876" s="49"/>
    </row>
    <row r="2877" ht="15.75" customHeight="1" spans="1:9">
      <c r="A2877" s="49"/>
      <c r="B2877" s="36" t="s">
        <v>4165</v>
      </c>
      <c r="C2877" s="36" t="s">
        <v>4334</v>
      </c>
      <c r="D2877" s="49"/>
      <c r="E2877" s="49"/>
      <c r="F2877" s="49"/>
      <c r="G2877" s="49"/>
      <c r="H2877" s="49"/>
      <c r="I2877" s="49"/>
    </row>
    <row r="2878" ht="15.75" customHeight="1" spans="1:9">
      <c r="A2878" s="49"/>
      <c r="B2878" s="36" t="s">
        <v>4165</v>
      </c>
      <c r="C2878" s="36" t="s">
        <v>4335</v>
      </c>
      <c r="D2878" s="49"/>
      <c r="E2878" s="49"/>
      <c r="F2878" s="49"/>
      <c r="G2878" s="49"/>
      <c r="H2878" s="49"/>
      <c r="I2878" s="49"/>
    </row>
    <row r="2879" ht="15.75" customHeight="1" spans="1:9">
      <c r="A2879" s="49"/>
      <c r="B2879" s="36" t="s">
        <v>4165</v>
      </c>
      <c r="C2879" s="36" t="s">
        <v>4336</v>
      </c>
      <c r="D2879" s="49"/>
      <c r="E2879" s="49"/>
      <c r="F2879" s="49"/>
      <c r="G2879" s="49"/>
      <c r="H2879" s="49"/>
      <c r="I2879" s="49"/>
    </row>
    <row r="2880" ht="15.75" customHeight="1" spans="1:9">
      <c r="A2880" s="49"/>
      <c r="B2880" s="36" t="s">
        <v>4165</v>
      </c>
      <c r="C2880" s="36" t="s">
        <v>4337</v>
      </c>
      <c r="D2880" s="49"/>
      <c r="E2880" s="49"/>
      <c r="F2880" s="49"/>
      <c r="G2880" s="49"/>
      <c r="H2880" s="49"/>
      <c r="I2880" s="49"/>
    </row>
    <row r="2881" ht="15.75" customHeight="1" spans="1:9">
      <c r="A2881" s="49"/>
      <c r="B2881" s="36" t="s">
        <v>4165</v>
      </c>
      <c r="C2881" s="36" t="s">
        <v>4338</v>
      </c>
      <c r="D2881" s="49"/>
      <c r="E2881" s="49"/>
      <c r="F2881" s="49"/>
      <c r="G2881" s="49"/>
      <c r="H2881" s="49"/>
      <c r="I2881" s="49"/>
    </row>
    <row r="2882" ht="15.75" customHeight="1" spans="1:9">
      <c r="A2882" s="49"/>
      <c r="B2882" s="36" t="s">
        <v>4165</v>
      </c>
      <c r="C2882" s="36" t="s">
        <v>4339</v>
      </c>
      <c r="D2882" s="49"/>
      <c r="E2882" s="49"/>
      <c r="F2882" s="49"/>
      <c r="G2882" s="49"/>
      <c r="H2882" s="49"/>
      <c r="I2882" s="49"/>
    </row>
    <row r="2883" ht="15.75" customHeight="1" spans="1:9">
      <c r="A2883" s="49"/>
      <c r="B2883" s="36" t="s">
        <v>4165</v>
      </c>
      <c r="C2883" s="36" t="s">
        <v>4340</v>
      </c>
      <c r="D2883" s="49"/>
      <c r="E2883" s="49"/>
      <c r="F2883" s="49"/>
      <c r="G2883" s="49"/>
      <c r="H2883" s="49"/>
      <c r="I2883" s="49"/>
    </row>
    <row r="2884" ht="15.75" customHeight="1" spans="1:9">
      <c r="A2884" s="49"/>
      <c r="B2884" s="36" t="s">
        <v>4165</v>
      </c>
      <c r="C2884" s="36" t="s">
        <v>4341</v>
      </c>
      <c r="D2884" s="49"/>
      <c r="E2884" s="49"/>
      <c r="F2884" s="49"/>
      <c r="G2884" s="49"/>
      <c r="H2884" s="49"/>
      <c r="I2884" s="49"/>
    </row>
    <row r="2885" ht="15.75" customHeight="1" spans="1:9">
      <c r="A2885" s="49"/>
      <c r="B2885" s="36" t="s">
        <v>4165</v>
      </c>
      <c r="C2885" s="36" t="s">
        <v>4342</v>
      </c>
      <c r="D2885" s="49"/>
      <c r="E2885" s="49"/>
      <c r="F2885" s="49"/>
      <c r="G2885" s="49"/>
      <c r="H2885" s="49"/>
      <c r="I2885" s="49"/>
    </row>
    <row r="2886" ht="15.75" customHeight="1" spans="1:9">
      <c r="A2886" s="49"/>
      <c r="B2886" s="36" t="s">
        <v>4165</v>
      </c>
      <c r="C2886" s="36" t="s">
        <v>4343</v>
      </c>
      <c r="D2886" s="49"/>
      <c r="E2886" s="49"/>
      <c r="F2886" s="49"/>
      <c r="G2886" s="49"/>
      <c r="H2886" s="49"/>
      <c r="I2886" s="49"/>
    </row>
    <row r="2887" ht="15.75" customHeight="1" spans="1:9">
      <c r="A2887" s="49"/>
      <c r="B2887" s="36" t="s">
        <v>4165</v>
      </c>
      <c r="C2887" s="36" t="s">
        <v>4344</v>
      </c>
      <c r="D2887" s="49"/>
      <c r="E2887" s="49"/>
      <c r="F2887" s="49"/>
      <c r="G2887" s="49"/>
      <c r="H2887" s="49"/>
      <c r="I2887" s="49"/>
    </row>
    <row r="2888" ht="15.75" customHeight="1" spans="1:9">
      <c r="A2888" s="49"/>
      <c r="B2888" s="36" t="s">
        <v>4165</v>
      </c>
      <c r="C2888" s="36" t="s">
        <v>4345</v>
      </c>
      <c r="D2888" s="49"/>
      <c r="E2888" s="49"/>
      <c r="F2888" s="49"/>
      <c r="G2888" s="49"/>
      <c r="H2888" s="49"/>
      <c r="I2888" s="49"/>
    </row>
    <row r="2889" ht="15.75" customHeight="1" spans="1:9">
      <c r="A2889" s="49"/>
      <c r="B2889" s="36" t="s">
        <v>4165</v>
      </c>
      <c r="C2889" s="36" t="s">
        <v>4346</v>
      </c>
      <c r="D2889" s="49"/>
      <c r="E2889" s="49"/>
      <c r="F2889" s="49"/>
      <c r="G2889" s="49"/>
      <c r="H2889" s="49"/>
      <c r="I2889" s="49"/>
    </row>
    <row r="2890" ht="15.75" customHeight="1" spans="1:9">
      <c r="A2890" s="49"/>
      <c r="B2890" s="36" t="s">
        <v>4165</v>
      </c>
      <c r="C2890" s="36" t="s">
        <v>4347</v>
      </c>
      <c r="D2890" s="49"/>
      <c r="E2890" s="49"/>
      <c r="F2890" s="49"/>
      <c r="G2890" s="49"/>
      <c r="H2890" s="49"/>
      <c r="I2890" s="49"/>
    </row>
    <row r="2891" ht="15.75" customHeight="1" spans="1:9">
      <c r="A2891" s="49"/>
      <c r="B2891" s="36" t="s">
        <v>4165</v>
      </c>
      <c r="C2891" s="36" t="s">
        <v>4348</v>
      </c>
      <c r="D2891" s="49"/>
      <c r="E2891" s="49"/>
      <c r="F2891" s="49"/>
      <c r="G2891" s="49"/>
      <c r="H2891" s="49"/>
      <c r="I2891" s="49"/>
    </row>
    <row r="2892" ht="15.75" customHeight="1" spans="1:9">
      <c r="A2892" s="49"/>
      <c r="B2892" s="36" t="s">
        <v>4165</v>
      </c>
      <c r="C2892" s="36" t="s">
        <v>4349</v>
      </c>
      <c r="D2892" s="49"/>
      <c r="E2892" s="49"/>
      <c r="F2892" s="49"/>
      <c r="G2892" s="49"/>
      <c r="H2892" s="49"/>
      <c r="I2892" s="49"/>
    </row>
    <row r="2893" ht="15.75" customHeight="1" spans="1:9">
      <c r="A2893" s="49"/>
      <c r="B2893" s="36" t="s">
        <v>4165</v>
      </c>
      <c r="C2893" s="36" t="s">
        <v>4350</v>
      </c>
      <c r="D2893" s="49"/>
      <c r="E2893" s="49"/>
      <c r="F2893" s="49"/>
      <c r="G2893" s="49"/>
      <c r="H2893" s="49"/>
      <c r="I2893" s="49"/>
    </row>
    <row r="2894" ht="15.75" customHeight="1" spans="1:9">
      <c r="A2894" s="49"/>
      <c r="B2894" s="36" t="s">
        <v>4165</v>
      </c>
      <c r="C2894" s="36" t="s">
        <v>4351</v>
      </c>
      <c r="D2894" s="49"/>
      <c r="E2894" s="49"/>
      <c r="F2894" s="49"/>
      <c r="G2894" s="49"/>
      <c r="H2894" s="49"/>
      <c r="I2894" s="49"/>
    </row>
    <row r="2895" ht="15.75" customHeight="1" spans="1:9">
      <c r="A2895" s="49"/>
      <c r="B2895" s="36" t="s">
        <v>4165</v>
      </c>
      <c r="C2895" s="36" t="s">
        <v>4352</v>
      </c>
      <c r="D2895" s="49"/>
      <c r="E2895" s="49"/>
      <c r="F2895" s="49"/>
      <c r="G2895" s="49"/>
      <c r="H2895" s="49"/>
      <c r="I2895" s="49"/>
    </row>
    <row r="2896" ht="15.75" customHeight="1" spans="1:9">
      <c r="A2896" s="49"/>
      <c r="B2896" s="36" t="s">
        <v>4165</v>
      </c>
      <c r="C2896" s="36" t="s">
        <v>4353</v>
      </c>
      <c r="D2896" s="49"/>
      <c r="E2896" s="49"/>
      <c r="F2896" s="49"/>
      <c r="G2896" s="49"/>
      <c r="H2896" s="49"/>
      <c r="I2896" s="49"/>
    </row>
    <row r="2897" ht="15.75" customHeight="1" spans="1:9">
      <c r="A2897" s="49"/>
      <c r="B2897" s="36" t="s">
        <v>4165</v>
      </c>
      <c r="C2897" s="36" t="s">
        <v>4354</v>
      </c>
      <c r="D2897" s="49"/>
      <c r="E2897" s="49"/>
      <c r="F2897" s="49"/>
      <c r="G2897" s="49"/>
      <c r="H2897" s="49"/>
      <c r="I2897" s="49"/>
    </row>
    <row r="2898" ht="15.75" customHeight="1" spans="1:9">
      <c r="A2898" s="49"/>
      <c r="B2898" s="36" t="s">
        <v>4165</v>
      </c>
      <c r="C2898" s="36" t="s">
        <v>4355</v>
      </c>
      <c r="D2898" s="49"/>
      <c r="E2898" s="49"/>
      <c r="F2898" s="49"/>
      <c r="G2898" s="49"/>
      <c r="H2898" s="49"/>
      <c r="I2898" s="49"/>
    </row>
    <row r="2899" ht="15.75" customHeight="1" spans="1:9">
      <c r="A2899" s="49"/>
      <c r="B2899" s="36" t="s">
        <v>4165</v>
      </c>
      <c r="C2899" s="36" t="s">
        <v>4356</v>
      </c>
      <c r="D2899" s="49"/>
      <c r="E2899" s="49"/>
      <c r="F2899" s="49"/>
      <c r="G2899" s="49"/>
      <c r="H2899" s="49"/>
      <c r="I2899" s="49"/>
    </row>
    <row r="2900" ht="15.75" customHeight="1" spans="1:9">
      <c r="A2900" s="49"/>
      <c r="B2900" s="36" t="s">
        <v>4165</v>
      </c>
      <c r="C2900" s="36" t="s">
        <v>4357</v>
      </c>
      <c r="D2900" s="49"/>
      <c r="E2900" s="49"/>
      <c r="F2900" s="49"/>
      <c r="G2900" s="49"/>
      <c r="H2900" s="49"/>
      <c r="I2900" s="49"/>
    </row>
    <row r="2901" ht="15.75" customHeight="1" spans="1:9">
      <c r="A2901" s="49"/>
      <c r="B2901" s="36" t="s">
        <v>4165</v>
      </c>
      <c r="C2901" s="36" t="s">
        <v>4358</v>
      </c>
      <c r="D2901" s="49"/>
      <c r="E2901" s="49"/>
      <c r="F2901" s="49"/>
      <c r="G2901" s="49"/>
      <c r="H2901" s="49"/>
      <c r="I2901" s="49"/>
    </row>
    <row r="2902" ht="15.75" customHeight="1" spans="1:9">
      <c r="A2902" s="49"/>
      <c r="B2902" s="36" t="s">
        <v>4165</v>
      </c>
      <c r="C2902" s="36" t="s">
        <v>4359</v>
      </c>
      <c r="D2902" s="49"/>
      <c r="E2902" s="49"/>
      <c r="F2902" s="49"/>
      <c r="G2902" s="49"/>
      <c r="H2902" s="49"/>
      <c r="I2902" s="49"/>
    </row>
    <row r="2903" ht="15.75" customHeight="1" spans="1:9">
      <c r="A2903" s="49"/>
      <c r="B2903" s="36" t="s">
        <v>4165</v>
      </c>
      <c r="C2903" s="36" t="s">
        <v>4360</v>
      </c>
      <c r="D2903" s="49"/>
      <c r="E2903" s="49"/>
      <c r="F2903" s="49"/>
      <c r="G2903" s="49"/>
      <c r="H2903" s="49"/>
      <c r="I2903" s="49"/>
    </row>
    <row r="2904" ht="15.75" customHeight="1" spans="1:9">
      <c r="A2904" s="49"/>
      <c r="B2904" s="36" t="s">
        <v>4165</v>
      </c>
      <c r="C2904" s="36" t="s">
        <v>4361</v>
      </c>
      <c r="D2904" s="49"/>
      <c r="E2904" s="49"/>
      <c r="F2904" s="49"/>
      <c r="G2904" s="49"/>
      <c r="H2904" s="49"/>
      <c r="I2904" s="49"/>
    </row>
    <row r="2905" ht="15.75" customHeight="1" spans="1:9">
      <c r="A2905" s="49"/>
      <c r="B2905" s="36" t="s">
        <v>4165</v>
      </c>
      <c r="C2905" s="36" t="s">
        <v>4362</v>
      </c>
      <c r="D2905" s="49"/>
      <c r="E2905" s="49"/>
      <c r="F2905" s="49"/>
      <c r="G2905" s="49"/>
      <c r="H2905" s="49"/>
      <c r="I2905" s="49"/>
    </row>
    <row r="2906" ht="15.75" customHeight="1" spans="1:9">
      <c r="A2906" s="49"/>
      <c r="B2906" s="36" t="s">
        <v>4165</v>
      </c>
      <c r="C2906" s="36" t="s">
        <v>4363</v>
      </c>
      <c r="D2906" s="49"/>
      <c r="E2906" s="49"/>
      <c r="F2906" s="49"/>
      <c r="G2906" s="49"/>
      <c r="H2906" s="49"/>
      <c r="I2906" s="49"/>
    </row>
    <row r="2907" ht="15.75" customHeight="1" spans="1:9">
      <c r="A2907" s="49"/>
      <c r="B2907" s="36" t="s">
        <v>4165</v>
      </c>
      <c r="C2907" s="36" t="s">
        <v>4364</v>
      </c>
      <c r="D2907" s="49"/>
      <c r="E2907" s="49"/>
      <c r="F2907" s="49"/>
      <c r="G2907" s="49"/>
      <c r="H2907" s="49"/>
      <c r="I2907" s="49"/>
    </row>
    <row r="2908" ht="15.75" customHeight="1" spans="1:9">
      <c r="A2908" s="49"/>
      <c r="B2908" s="36" t="s">
        <v>4165</v>
      </c>
      <c r="C2908" s="36" t="s">
        <v>4365</v>
      </c>
      <c r="D2908" s="49"/>
      <c r="E2908" s="49"/>
      <c r="F2908" s="49"/>
      <c r="G2908" s="49"/>
      <c r="H2908" s="49"/>
      <c r="I2908" s="49"/>
    </row>
    <row r="2909" ht="15.75" customHeight="1" spans="1:9">
      <c r="A2909" s="49"/>
      <c r="B2909" s="36" t="s">
        <v>4165</v>
      </c>
      <c r="C2909" s="36" t="s">
        <v>4366</v>
      </c>
      <c r="D2909" s="49"/>
      <c r="E2909" s="49"/>
      <c r="F2909" s="49"/>
      <c r="G2909" s="49"/>
      <c r="H2909" s="49"/>
      <c r="I2909" s="49"/>
    </row>
    <row r="2910" ht="15.75" customHeight="1" spans="1:9">
      <c r="A2910" s="49"/>
      <c r="B2910" s="36" t="s">
        <v>4165</v>
      </c>
      <c r="C2910" s="36" t="s">
        <v>4367</v>
      </c>
      <c r="D2910" s="49"/>
      <c r="E2910" s="49"/>
      <c r="F2910" s="49"/>
      <c r="G2910" s="49"/>
      <c r="H2910" s="49"/>
      <c r="I2910" s="49"/>
    </row>
    <row r="2911" ht="15.75" customHeight="1" spans="1:9">
      <c r="A2911" s="49"/>
      <c r="B2911" s="36" t="s">
        <v>4165</v>
      </c>
      <c r="C2911" s="36" t="s">
        <v>4368</v>
      </c>
      <c r="D2911" s="49"/>
      <c r="E2911" s="49"/>
      <c r="F2911" s="49"/>
      <c r="G2911" s="49"/>
      <c r="H2911" s="49"/>
      <c r="I2911" s="49"/>
    </row>
    <row r="2912" ht="15.75" customHeight="1" spans="1:9">
      <c r="A2912" s="49"/>
      <c r="B2912" s="36" t="s">
        <v>4369</v>
      </c>
      <c r="C2912" s="36" t="s">
        <v>4370</v>
      </c>
      <c r="D2912" s="49"/>
      <c r="E2912" s="49"/>
      <c r="F2912" s="49"/>
      <c r="G2912" s="49"/>
      <c r="H2912" s="49"/>
      <c r="I2912" s="49"/>
    </row>
    <row r="2913" ht="15.75" customHeight="1" spans="1:9">
      <c r="A2913" s="49"/>
      <c r="B2913" s="36" t="s">
        <v>4369</v>
      </c>
      <c r="C2913" s="36" t="s">
        <v>28</v>
      </c>
      <c r="D2913" s="49"/>
      <c r="E2913" s="49"/>
      <c r="F2913" s="49"/>
      <c r="G2913" s="49"/>
      <c r="H2913" s="49"/>
      <c r="I2913" s="49"/>
    </row>
    <row r="2914" ht="15.75" customHeight="1" spans="1:9">
      <c r="A2914" s="49"/>
      <c r="B2914" s="36" t="s">
        <v>4369</v>
      </c>
      <c r="C2914" s="36" t="s">
        <v>4371</v>
      </c>
      <c r="D2914" s="49"/>
      <c r="E2914" s="49"/>
      <c r="F2914" s="49"/>
      <c r="G2914" s="49"/>
      <c r="H2914" s="49"/>
      <c r="I2914" s="49"/>
    </row>
    <row r="2915" ht="15.75" customHeight="1" spans="1:9">
      <c r="A2915" s="49"/>
      <c r="B2915" s="36" t="s">
        <v>4369</v>
      </c>
      <c r="C2915" s="36" t="s">
        <v>4372</v>
      </c>
      <c r="D2915" s="49"/>
      <c r="E2915" s="49"/>
      <c r="F2915" s="49"/>
      <c r="G2915" s="49"/>
      <c r="H2915" s="49"/>
      <c r="I2915" s="49"/>
    </row>
    <row r="2916" ht="15.75" customHeight="1" spans="1:9">
      <c r="A2916" s="49"/>
      <c r="B2916" s="36" t="s">
        <v>4369</v>
      </c>
      <c r="C2916" s="36" t="s">
        <v>4373</v>
      </c>
      <c r="D2916" s="49"/>
      <c r="E2916" s="49"/>
      <c r="F2916" s="49"/>
      <c r="G2916" s="49"/>
      <c r="H2916" s="49"/>
      <c r="I2916" s="49"/>
    </row>
    <row r="2917" ht="15.75" customHeight="1" spans="1:9">
      <c r="A2917" s="49"/>
      <c r="B2917" s="36" t="s">
        <v>4369</v>
      </c>
      <c r="C2917" s="36" t="s">
        <v>4374</v>
      </c>
      <c r="D2917" s="49"/>
      <c r="E2917" s="49"/>
      <c r="F2917" s="49"/>
      <c r="G2917" s="49"/>
      <c r="H2917" s="49"/>
      <c r="I2917" s="49"/>
    </row>
    <row r="2918" ht="15.75" customHeight="1" spans="1:9">
      <c r="A2918" s="49"/>
      <c r="B2918" s="36" t="s">
        <v>4369</v>
      </c>
      <c r="C2918" s="36" t="s">
        <v>4375</v>
      </c>
      <c r="D2918" s="49"/>
      <c r="E2918" s="49"/>
      <c r="F2918" s="49"/>
      <c r="G2918" s="49"/>
      <c r="H2918" s="49"/>
      <c r="I2918" s="49"/>
    </row>
    <row r="2919" ht="15.75" customHeight="1" spans="1:9">
      <c r="A2919" s="49"/>
      <c r="B2919" s="36" t="s">
        <v>4369</v>
      </c>
      <c r="C2919" s="36" t="s">
        <v>4376</v>
      </c>
      <c r="D2919" s="49"/>
      <c r="E2919" s="49"/>
      <c r="F2919" s="49"/>
      <c r="G2919" s="49"/>
      <c r="H2919" s="49"/>
      <c r="I2919" s="49"/>
    </row>
    <row r="2920" ht="15.75" customHeight="1" spans="1:9">
      <c r="A2920" s="49"/>
      <c r="B2920" s="36" t="s">
        <v>4369</v>
      </c>
      <c r="C2920" s="36" t="s">
        <v>4377</v>
      </c>
      <c r="D2920" s="49"/>
      <c r="E2920" s="49"/>
      <c r="F2920" s="49"/>
      <c r="G2920" s="49"/>
      <c r="H2920" s="49"/>
      <c r="I2920" s="49"/>
    </row>
    <row r="2921" ht="15.75" customHeight="1" spans="1:9">
      <c r="A2921" s="49"/>
      <c r="B2921" s="36" t="s">
        <v>4369</v>
      </c>
      <c r="C2921" s="36" t="s">
        <v>4378</v>
      </c>
      <c r="D2921" s="49"/>
      <c r="E2921" s="49"/>
      <c r="F2921" s="49"/>
      <c r="G2921" s="49"/>
      <c r="H2921" s="49"/>
      <c r="I2921" s="49"/>
    </row>
    <row r="2922" ht="15.75" customHeight="1" spans="1:9">
      <c r="A2922" s="49"/>
      <c r="B2922" s="36" t="s">
        <v>4369</v>
      </c>
      <c r="C2922" s="36" t="s">
        <v>4379</v>
      </c>
      <c r="D2922" s="49"/>
      <c r="E2922" s="49"/>
      <c r="F2922" s="49"/>
      <c r="G2922" s="49"/>
      <c r="H2922" s="49"/>
      <c r="I2922" s="49"/>
    </row>
    <row r="2923" ht="15.75" customHeight="1" spans="1:9">
      <c r="A2923" s="49"/>
      <c r="B2923" s="36" t="s">
        <v>4369</v>
      </c>
      <c r="C2923" s="36" t="s">
        <v>4380</v>
      </c>
      <c r="D2923" s="49"/>
      <c r="E2923" s="49"/>
      <c r="F2923" s="49"/>
      <c r="G2923" s="49"/>
      <c r="H2923" s="49"/>
      <c r="I2923" s="49"/>
    </row>
    <row r="2924" ht="15.75" customHeight="1" spans="1:9">
      <c r="A2924" s="49"/>
      <c r="B2924" s="36" t="s">
        <v>4369</v>
      </c>
      <c r="C2924" s="36" t="s">
        <v>4381</v>
      </c>
      <c r="D2924" s="49"/>
      <c r="E2924" s="49"/>
      <c r="F2924" s="49"/>
      <c r="G2924" s="49"/>
      <c r="H2924" s="49"/>
      <c r="I2924" s="49"/>
    </row>
    <row r="2925" ht="15.75" customHeight="1" spans="1:9">
      <c r="A2925" s="49"/>
      <c r="B2925" s="36" t="s">
        <v>4369</v>
      </c>
      <c r="C2925" s="36" t="s">
        <v>4382</v>
      </c>
      <c r="D2925" s="49"/>
      <c r="E2925" s="49"/>
      <c r="F2925" s="49"/>
      <c r="G2925" s="49"/>
      <c r="H2925" s="49"/>
      <c r="I2925" s="49"/>
    </row>
    <row r="2926" ht="15.75" customHeight="1" spans="1:9">
      <c r="A2926" s="49"/>
      <c r="B2926" s="36" t="s">
        <v>4369</v>
      </c>
      <c r="C2926" s="36" t="s">
        <v>33</v>
      </c>
      <c r="D2926" s="49"/>
      <c r="E2926" s="49"/>
      <c r="F2926" s="49"/>
      <c r="G2926" s="49"/>
      <c r="H2926" s="49"/>
      <c r="I2926" s="49"/>
    </row>
    <row r="2927" ht="15.75" customHeight="1" spans="1:9">
      <c r="A2927" s="49"/>
      <c r="B2927" s="36" t="s">
        <v>4369</v>
      </c>
      <c r="C2927" s="36" t="s">
        <v>4383</v>
      </c>
      <c r="D2927" s="49"/>
      <c r="E2927" s="49"/>
      <c r="F2927" s="49"/>
      <c r="G2927" s="49"/>
      <c r="H2927" s="49"/>
      <c r="I2927" s="49"/>
    </row>
    <row r="2928" ht="15.75" customHeight="1" spans="1:9">
      <c r="A2928" s="49"/>
      <c r="B2928" s="36" t="s">
        <v>4369</v>
      </c>
      <c r="C2928" s="36" t="s">
        <v>4384</v>
      </c>
      <c r="D2928" s="49"/>
      <c r="E2928" s="49"/>
      <c r="F2928" s="49"/>
      <c r="G2928" s="49"/>
      <c r="H2928" s="49"/>
      <c r="I2928" s="49"/>
    </row>
    <row r="2929" ht="15.75" customHeight="1" spans="1:9">
      <c r="A2929" s="49"/>
      <c r="B2929" s="36" t="s">
        <v>4369</v>
      </c>
      <c r="C2929" s="36" t="s">
        <v>4385</v>
      </c>
      <c r="D2929" s="49"/>
      <c r="E2929" s="49"/>
      <c r="F2929" s="49"/>
      <c r="G2929" s="49"/>
      <c r="H2929" s="49"/>
      <c r="I2929" s="49"/>
    </row>
    <row r="2930" ht="15.75" customHeight="1" spans="1:9">
      <c r="A2930" s="49"/>
      <c r="B2930" s="36" t="s">
        <v>4369</v>
      </c>
      <c r="C2930" s="36" t="s">
        <v>4386</v>
      </c>
      <c r="D2930" s="49"/>
      <c r="E2930" s="49"/>
      <c r="F2930" s="49"/>
      <c r="G2930" s="49"/>
      <c r="H2930" s="49"/>
      <c r="I2930" s="49"/>
    </row>
    <row r="2931" ht="15.75" customHeight="1" spans="1:9">
      <c r="A2931" s="49"/>
      <c r="B2931" s="36" t="s">
        <v>4369</v>
      </c>
      <c r="C2931" s="36" t="s">
        <v>4387</v>
      </c>
      <c r="D2931" s="49"/>
      <c r="E2931" s="49"/>
      <c r="F2931" s="49"/>
      <c r="G2931" s="49"/>
      <c r="H2931" s="49"/>
      <c r="I2931" s="49"/>
    </row>
    <row r="2932" ht="15.75" customHeight="1" spans="1:9">
      <c r="A2932" s="49"/>
      <c r="B2932" s="36" t="s">
        <v>4369</v>
      </c>
      <c r="C2932" s="36" t="s">
        <v>4388</v>
      </c>
      <c r="D2932" s="49"/>
      <c r="E2932" s="49"/>
      <c r="F2932" s="49"/>
      <c r="G2932" s="49"/>
      <c r="H2932" s="49"/>
      <c r="I2932" s="49"/>
    </row>
    <row r="2933" ht="15.75" customHeight="1" spans="1:9">
      <c r="A2933" s="49"/>
      <c r="B2933" s="36" t="s">
        <v>4369</v>
      </c>
      <c r="C2933" s="36" t="s">
        <v>4389</v>
      </c>
      <c r="D2933" s="49"/>
      <c r="E2933" s="49"/>
      <c r="F2933" s="49"/>
      <c r="G2933" s="49"/>
      <c r="H2933" s="49"/>
      <c r="I2933" s="49"/>
    </row>
    <row r="2934" ht="15.75" customHeight="1" spans="1:9">
      <c r="A2934" s="49"/>
      <c r="B2934" s="36" t="s">
        <v>4369</v>
      </c>
      <c r="C2934" s="36" t="s">
        <v>4390</v>
      </c>
      <c r="D2934" s="49"/>
      <c r="E2934" s="49"/>
      <c r="F2934" s="49"/>
      <c r="G2934" s="49"/>
      <c r="H2934" s="49"/>
      <c r="I2934" s="49"/>
    </row>
    <row r="2935" ht="15.75" customHeight="1" spans="1:9">
      <c r="A2935" s="49"/>
      <c r="B2935" s="36" t="s">
        <v>4369</v>
      </c>
      <c r="C2935" s="36" t="s">
        <v>4391</v>
      </c>
      <c r="D2935" s="49"/>
      <c r="E2935" s="49"/>
      <c r="F2935" s="49"/>
      <c r="G2935" s="49"/>
      <c r="H2935" s="49"/>
      <c r="I2935" s="49"/>
    </row>
    <row r="2936" ht="15.75" customHeight="1" spans="1:9">
      <c r="A2936" s="49"/>
      <c r="B2936" s="36" t="s">
        <v>4369</v>
      </c>
      <c r="C2936" s="36" t="s">
        <v>4392</v>
      </c>
      <c r="D2936" s="49"/>
      <c r="E2936" s="49"/>
      <c r="F2936" s="49"/>
      <c r="G2936" s="49"/>
      <c r="H2936" s="49"/>
      <c r="I2936" s="49"/>
    </row>
    <row r="2937" ht="15.75" customHeight="1" spans="1:9">
      <c r="A2937" s="49"/>
      <c r="B2937" s="36" t="s">
        <v>4369</v>
      </c>
      <c r="C2937" s="36" t="s">
        <v>4393</v>
      </c>
      <c r="D2937" s="49"/>
      <c r="E2937" s="49"/>
      <c r="F2937" s="49"/>
      <c r="G2937" s="49"/>
      <c r="H2937" s="49"/>
      <c r="I2937" s="49"/>
    </row>
    <row r="2938" ht="15.75" customHeight="1" spans="1:9">
      <c r="A2938" s="49"/>
      <c r="B2938" s="36" t="s">
        <v>4369</v>
      </c>
      <c r="C2938" s="36" t="s">
        <v>4394</v>
      </c>
      <c r="D2938" s="49"/>
      <c r="E2938" s="49"/>
      <c r="F2938" s="49"/>
      <c r="G2938" s="49"/>
      <c r="H2938" s="49"/>
      <c r="I2938" s="49"/>
    </row>
    <row r="2939" ht="15.75" customHeight="1" spans="1:9">
      <c r="A2939" s="49"/>
      <c r="B2939" s="36" t="s">
        <v>4369</v>
      </c>
      <c r="C2939" s="36" t="s">
        <v>4395</v>
      </c>
      <c r="D2939" s="49"/>
      <c r="E2939" s="49"/>
      <c r="F2939" s="49"/>
      <c r="G2939" s="49"/>
      <c r="H2939" s="49"/>
      <c r="I2939" s="49"/>
    </row>
    <row r="2940" ht="15.75" customHeight="1" spans="1:9">
      <c r="A2940" s="49"/>
      <c r="B2940" s="36" t="s">
        <v>4369</v>
      </c>
      <c r="C2940" s="36" t="s">
        <v>4396</v>
      </c>
      <c r="D2940" s="49"/>
      <c r="E2940" s="49"/>
      <c r="F2940" s="49"/>
      <c r="G2940" s="49"/>
      <c r="H2940" s="49"/>
      <c r="I2940" s="49"/>
    </row>
    <row r="2941" ht="15.75" customHeight="1" spans="1:9">
      <c r="A2941" s="49"/>
      <c r="B2941" s="36" t="s">
        <v>4369</v>
      </c>
      <c r="C2941" s="36" t="s">
        <v>4397</v>
      </c>
      <c r="D2941" s="49"/>
      <c r="E2941" s="49"/>
      <c r="F2941" s="49"/>
      <c r="G2941" s="49"/>
      <c r="H2941" s="49"/>
      <c r="I2941" s="49"/>
    </row>
    <row r="2942" ht="15.75" customHeight="1" spans="1:9">
      <c r="A2942" s="49"/>
      <c r="B2942" s="36" t="s">
        <v>4369</v>
      </c>
      <c r="C2942" s="36" t="s">
        <v>4398</v>
      </c>
      <c r="D2942" s="49"/>
      <c r="E2942" s="49"/>
      <c r="F2942" s="49"/>
      <c r="G2942" s="49"/>
      <c r="H2942" s="49"/>
      <c r="I2942" s="49"/>
    </row>
    <row r="2943" ht="15.75" customHeight="1" spans="1:9">
      <c r="A2943" s="49"/>
      <c r="B2943" s="36" t="s">
        <v>4369</v>
      </c>
      <c r="C2943" s="36" t="s">
        <v>4399</v>
      </c>
      <c r="D2943" s="49"/>
      <c r="E2943" s="49"/>
      <c r="F2943" s="49"/>
      <c r="G2943" s="49"/>
      <c r="H2943" s="49"/>
      <c r="I2943" s="49"/>
    </row>
    <row r="2944" ht="15.75" customHeight="1" spans="1:9">
      <c r="A2944" s="49"/>
      <c r="B2944" s="36" t="s">
        <v>4369</v>
      </c>
      <c r="C2944" s="36" t="s">
        <v>4400</v>
      </c>
      <c r="D2944" s="49"/>
      <c r="E2944" s="49"/>
      <c r="F2944" s="49"/>
      <c r="G2944" s="49"/>
      <c r="H2944" s="49"/>
      <c r="I2944" s="49"/>
    </row>
    <row r="2945" ht="15.75" customHeight="1" spans="1:9">
      <c r="A2945" s="49"/>
      <c r="B2945" s="36" t="s">
        <v>4369</v>
      </c>
      <c r="C2945" s="36" t="s">
        <v>4401</v>
      </c>
      <c r="D2945" s="49"/>
      <c r="E2945" s="49"/>
      <c r="F2945" s="49"/>
      <c r="G2945" s="49"/>
      <c r="H2945" s="49"/>
      <c r="I2945" s="49"/>
    </row>
    <row r="2946" ht="15.75" customHeight="1" spans="1:9">
      <c r="A2946" s="49"/>
      <c r="B2946" s="36" t="s">
        <v>4369</v>
      </c>
      <c r="C2946" s="36" t="s">
        <v>4402</v>
      </c>
      <c r="D2946" s="49"/>
      <c r="E2946" s="49"/>
      <c r="F2946" s="49"/>
      <c r="G2946" s="49"/>
      <c r="H2946" s="49"/>
      <c r="I2946" s="49"/>
    </row>
    <row r="2947" ht="15.75" customHeight="1" spans="1:9">
      <c r="A2947" s="49"/>
      <c r="B2947" s="36" t="s">
        <v>4369</v>
      </c>
      <c r="C2947" s="36" t="s">
        <v>29</v>
      </c>
      <c r="D2947" s="49"/>
      <c r="E2947" s="49"/>
      <c r="F2947" s="49"/>
      <c r="G2947" s="49"/>
      <c r="H2947" s="49"/>
      <c r="I2947" s="49"/>
    </row>
    <row r="2948" ht="15.75" customHeight="1" spans="1:9">
      <c r="A2948" s="49"/>
      <c r="B2948" s="36" t="s">
        <v>4403</v>
      </c>
      <c r="C2948" s="36" t="s">
        <v>4404</v>
      </c>
      <c r="D2948" s="49"/>
      <c r="E2948" s="49"/>
      <c r="F2948" s="49"/>
      <c r="G2948" s="49"/>
      <c r="H2948" s="49"/>
      <c r="I2948" s="49"/>
    </row>
    <row r="2949" ht="15.75" customHeight="1" spans="1:9">
      <c r="A2949" s="49"/>
      <c r="B2949" s="36" t="s">
        <v>4403</v>
      </c>
      <c r="C2949" s="36" t="s">
        <v>30</v>
      </c>
      <c r="D2949" s="49"/>
      <c r="E2949" s="49"/>
      <c r="F2949" s="49"/>
      <c r="G2949" s="49"/>
      <c r="H2949" s="49"/>
      <c r="I2949" s="49"/>
    </row>
    <row r="2950" ht="15.75" customHeight="1" spans="1:9">
      <c r="A2950" s="49"/>
      <c r="B2950" s="36" t="s">
        <v>4403</v>
      </c>
      <c r="C2950" s="36" t="s">
        <v>4405</v>
      </c>
      <c r="D2950" s="49"/>
      <c r="E2950" s="49"/>
      <c r="F2950" s="49"/>
      <c r="G2950" s="49"/>
      <c r="H2950" s="49"/>
      <c r="I2950" s="49"/>
    </row>
    <row r="2951" ht="15.75" customHeight="1" spans="1:9">
      <c r="A2951" s="49"/>
      <c r="B2951" s="36" t="s">
        <v>4403</v>
      </c>
      <c r="C2951" s="36" t="s">
        <v>4406</v>
      </c>
      <c r="D2951" s="49"/>
      <c r="E2951" s="49"/>
      <c r="F2951" s="49"/>
      <c r="G2951" s="49"/>
      <c r="H2951" s="49"/>
      <c r="I2951" s="49"/>
    </row>
    <row r="2952" ht="15.75" customHeight="1" spans="1:9">
      <c r="A2952" s="49"/>
      <c r="B2952" s="36" t="s">
        <v>4403</v>
      </c>
      <c r="C2952" s="36" t="s">
        <v>4407</v>
      </c>
      <c r="D2952" s="49"/>
      <c r="E2952" s="49"/>
      <c r="F2952" s="49"/>
      <c r="G2952" s="49"/>
      <c r="H2952" s="49"/>
      <c r="I2952" s="49"/>
    </row>
    <row r="2953" ht="15.75" customHeight="1" spans="1:9">
      <c r="A2953" s="49"/>
      <c r="B2953" s="36" t="s">
        <v>4403</v>
      </c>
      <c r="C2953" s="36" t="s">
        <v>4408</v>
      </c>
      <c r="D2953" s="49"/>
      <c r="E2953" s="49"/>
      <c r="F2953" s="49"/>
      <c r="G2953" s="49"/>
      <c r="H2953" s="49"/>
      <c r="I2953" s="49"/>
    </row>
    <row r="2954" ht="15.75" customHeight="1" spans="1:9">
      <c r="A2954" s="49"/>
      <c r="B2954" s="36" t="s">
        <v>4403</v>
      </c>
      <c r="C2954" s="36" t="s">
        <v>4409</v>
      </c>
      <c r="D2954" s="49"/>
      <c r="E2954" s="49"/>
      <c r="F2954" s="49"/>
      <c r="G2954" s="49"/>
      <c r="H2954" s="49"/>
      <c r="I2954" s="49"/>
    </row>
    <row r="2955" ht="15.75" customHeight="1" spans="1:9">
      <c r="A2955" s="49"/>
      <c r="B2955" s="36" t="s">
        <v>4403</v>
      </c>
      <c r="C2955" s="36" t="s">
        <v>4410</v>
      </c>
      <c r="D2955" s="49"/>
      <c r="E2955" s="49"/>
      <c r="F2955" s="49"/>
      <c r="G2955" s="49"/>
      <c r="H2955" s="49"/>
      <c r="I2955" s="49"/>
    </row>
    <row r="2956" ht="15.75" customHeight="1" spans="1:9">
      <c r="A2956" s="49"/>
      <c r="B2956" s="36" t="s">
        <v>4403</v>
      </c>
      <c r="C2956" s="36" t="s">
        <v>4403</v>
      </c>
      <c r="D2956" s="49"/>
      <c r="E2956" s="49"/>
      <c r="F2956" s="49"/>
      <c r="G2956" s="49"/>
      <c r="H2956" s="49"/>
      <c r="I2956" s="49"/>
    </row>
    <row r="2957" ht="15.75" customHeight="1" spans="1:9">
      <c r="A2957" s="49"/>
      <c r="B2957" s="36" t="s">
        <v>4403</v>
      </c>
      <c r="C2957" s="36" t="s">
        <v>4411</v>
      </c>
      <c r="D2957" s="49"/>
      <c r="E2957" s="49"/>
      <c r="F2957" s="49"/>
      <c r="G2957" s="49"/>
      <c r="H2957" s="49"/>
      <c r="I2957" s="49"/>
    </row>
    <row r="2958" ht="15.75" customHeight="1" spans="1:9">
      <c r="A2958" s="49"/>
      <c r="B2958" s="36" t="s">
        <v>4403</v>
      </c>
      <c r="C2958" s="36" t="s">
        <v>4412</v>
      </c>
      <c r="D2958" s="49"/>
      <c r="E2958" s="49"/>
      <c r="F2958" s="49"/>
      <c r="G2958" s="49"/>
      <c r="H2958" s="49"/>
      <c r="I2958" s="49"/>
    </row>
    <row r="2959" ht="15.75" customHeight="1" spans="1:9">
      <c r="A2959" s="49"/>
      <c r="B2959" s="36" t="s">
        <v>4403</v>
      </c>
      <c r="C2959" s="36" t="s">
        <v>4413</v>
      </c>
      <c r="D2959" s="49"/>
      <c r="E2959" s="49"/>
      <c r="F2959" s="49"/>
      <c r="G2959" s="49"/>
      <c r="H2959" s="49"/>
      <c r="I2959" s="49"/>
    </row>
    <row r="2960" ht="15.75" customHeight="1" spans="1:9">
      <c r="A2960" s="49"/>
      <c r="B2960" s="36" t="s">
        <v>4403</v>
      </c>
      <c r="C2960" s="36" t="s">
        <v>4414</v>
      </c>
      <c r="D2960" s="49"/>
      <c r="E2960" s="49"/>
      <c r="F2960" s="49"/>
      <c r="G2960" s="49"/>
      <c r="H2960" s="49"/>
      <c r="I2960" s="49"/>
    </row>
    <row r="2961" ht="15.75" customHeight="1" spans="1:9">
      <c r="A2961" s="49"/>
      <c r="B2961" s="36" t="s">
        <v>4403</v>
      </c>
      <c r="C2961" s="36" t="s">
        <v>4415</v>
      </c>
      <c r="D2961" s="49"/>
      <c r="E2961" s="49"/>
      <c r="F2961" s="49"/>
      <c r="G2961" s="49"/>
      <c r="H2961" s="49"/>
      <c r="I2961" s="49"/>
    </row>
    <row r="2962" ht="15.75" customHeight="1" spans="1:9">
      <c r="A2962" s="49"/>
      <c r="B2962" s="36" t="s">
        <v>4403</v>
      </c>
      <c r="C2962" s="36" t="s">
        <v>4416</v>
      </c>
      <c r="D2962" s="49"/>
      <c r="E2962" s="49"/>
      <c r="F2962" s="49"/>
      <c r="G2962" s="49"/>
      <c r="H2962" s="49"/>
      <c r="I2962" s="49"/>
    </row>
    <row r="2963" ht="15.75" customHeight="1" spans="1:9">
      <c r="A2963" s="49"/>
      <c r="B2963" s="36" t="s">
        <v>4403</v>
      </c>
      <c r="C2963" s="36" t="s">
        <v>4417</v>
      </c>
      <c r="D2963" s="49"/>
      <c r="E2963" s="49"/>
      <c r="F2963" s="49"/>
      <c r="G2963" s="49"/>
      <c r="H2963" s="49"/>
      <c r="I2963" s="49"/>
    </row>
    <row r="2964" ht="15.75" customHeight="1" spans="1:9">
      <c r="A2964" s="49"/>
      <c r="B2964" s="36" t="s">
        <v>4403</v>
      </c>
      <c r="C2964" s="36" t="s">
        <v>4418</v>
      </c>
      <c r="D2964" s="49"/>
      <c r="E2964" s="49"/>
      <c r="F2964" s="49"/>
      <c r="G2964" s="49"/>
      <c r="H2964" s="49"/>
      <c r="I2964" s="49"/>
    </row>
    <row r="2965" ht="15.75" customHeight="1" spans="1:9">
      <c r="A2965" s="49"/>
      <c r="B2965" s="36" t="s">
        <v>4403</v>
      </c>
      <c r="C2965" s="36" t="s">
        <v>4419</v>
      </c>
      <c r="D2965" s="49"/>
      <c r="E2965" s="49"/>
      <c r="F2965" s="49"/>
      <c r="G2965" s="49"/>
      <c r="H2965" s="49"/>
      <c r="I2965" s="49"/>
    </row>
    <row r="2966" ht="15.75" customHeight="1" spans="1:9">
      <c r="A2966" s="49"/>
      <c r="B2966" s="36" t="s">
        <v>4403</v>
      </c>
      <c r="C2966" s="36" t="s">
        <v>4420</v>
      </c>
      <c r="D2966" s="49"/>
      <c r="E2966" s="49"/>
      <c r="F2966" s="49"/>
      <c r="G2966" s="49"/>
      <c r="H2966" s="49"/>
      <c r="I2966" s="49"/>
    </row>
    <row r="2967" ht="15.75" customHeight="1" spans="1:9">
      <c r="A2967" s="49"/>
      <c r="B2967" s="36" t="s">
        <v>4403</v>
      </c>
      <c r="C2967" s="36" t="s">
        <v>4421</v>
      </c>
      <c r="D2967" s="49"/>
      <c r="E2967" s="49"/>
      <c r="F2967" s="49"/>
      <c r="G2967" s="49"/>
      <c r="H2967" s="49"/>
      <c r="I2967" s="49"/>
    </row>
    <row r="2968" ht="15.75" customHeight="1" spans="1:9">
      <c r="A2968" s="49"/>
      <c r="B2968" s="36" t="s">
        <v>4403</v>
      </c>
      <c r="C2968" s="36" t="s">
        <v>4422</v>
      </c>
      <c r="D2968" s="49"/>
      <c r="E2968" s="49"/>
      <c r="F2968" s="49"/>
      <c r="G2968" s="49"/>
      <c r="H2968" s="49"/>
      <c r="I2968" s="49"/>
    </row>
    <row r="2969" ht="15.75" customHeight="1" spans="1:9">
      <c r="A2969" s="49"/>
      <c r="B2969" s="36" t="s">
        <v>4403</v>
      </c>
      <c r="C2969" s="36" t="s">
        <v>4423</v>
      </c>
      <c r="D2969" s="49"/>
      <c r="E2969" s="49"/>
      <c r="F2969" s="49"/>
      <c r="G2969" s="49"/>
      <c r="H2969" s="49"/>
      <c r="I2969" s="49"/>
    </row>
    <row r="2970" ht="15.75" customHeight="1" spans="1:9">
      <c r="A2970" s="49"/>
      <c r="B2970" s="36" t="s">
        <v>4403</v>
      </c>
      <c r="C2970" s="36" t="s">
        <v>4424</v>
      </c>
      <c r="D2970" s="49"/>
      <c r="E2970" s="49"/>
      <c r="F2970" s="49"/>
      <c r="G2970" s="49"/>
      <c r="H2970" s="49"/>
      <c r="I2970" s="49"/>
    </row>
    <row r="2971" ht="15.75" customHeight="1" spans="1:9">
      <c r="A2971" s="49"/>
      <c r="B2971" s="36" t="s">
        <v>4403</v>
      </c>
      <c r="C2971" s="36" t="s">
        <v>4425</v>
      </c>
      <c r="D2971" s="49"/>
      <c r="E2971" s="49"/>
      <c r="F2971" s="49"/>
      <c r="G2971" s="49"/>
      <c r="H2971" s="49"/>
      <c r="I2971" s="49"/>
    </row>
    <row r="2972" ht="15.75" customHeight="1" spans="1:9">
      <c r="A2972" s="49"/>
      <c r="B2972" s="36" t="s">
        <v>4403</v>
      </c>
      <c r="C2972" s="36" t="s">
        <v>4426</v>
      </c>
      <c r="D2972" s="49"/>
      <c r="E2972" s="49"/>
      <c r="F2972" s="49"/>
      <c r="G2972" s="49"/>
      <c r="H2972" s="49"/>
      <c r="I2972" s="49"/>
    </row>
    <row r="2973" ht="15.75" customHeight="1" spans="1:9">
      <c r="A2973" s="49"/>
      <c r="B2973" s="36" t="s">
        <v>4403</v>
      </c>
      <c r="C2973" s="36" t="s">
        <v>4427</v>
      </c>
      <c r="D2973" s="49"/>
      <c r="E2973" s="49"/>
      <c r="F2973" s="49"/>
      <c r="G2973" s="49"/>
      <c r="H2973" s="49"/>
      <c r="I2973" s="49"/>
    </row>
    <row r="2974" ht="15.75" customHeight="1" spans="1:9">
      <c r="A2974" s="49"/>
      <c r="B2974" s="36" t="s">
        <v>4403</v>
      </c>
      <c r="C2974" s="36" t="s">
        <v>4428</v>
      </c>
      <c r="D2974" s="49"/>
      <c r="E2974" s="49"/>
      <c r="F2974" s="49"/>
      <c r="G2974" s="49"/>
      <c r="H2974" s="49"/>
      <c r="I2974" s="49"/>
    </row>
    <row r="2975" ht="15.75" customHeight="1" spans="1:9">
      <c r="A2975" s="49"/>
      <c r="B2975" s="36" t="s">
        <v>4403</v>
      </c>
      <c r="C2975" s="36" t="s">
        <v>4429</v>
      </c>
      <c r="D2975" s="49"/>
      <c r="E2975" s="49"/>
      <c r="F2975" s="49"/>
      <c r="G2975" s="49"/>
      <c r="H2975" s="49"/>
      <c r="I2975" s="49"/>
    </row>
    <row r="2976" ht="15.75" customHeight="1" spans="1:9">
      <c r="A2976" s="49"/>
      <c r="B2976" s="36" t="s">
        <v>4403</v>
      </c>
      <c r="C2976" s="36" t="s">
        <v>4430</v>
      </c>
      <c r="D2976" s="49"/>
      <c r="E2976" s="49"/>
      <c r="F2976" s="49"/>
      <c r="G2976" s="49"/>
      <c r="H2976" s="49"/>
      <c r="I2976" s="49"/>
    </row>
    <row r="2977" ht="15.75" customHeight="1" spans="1:9">
      <c r="A2977" s="49"/>
      <c r="B2977" s="36" t="s">
        <v>4403</v>
      </c>
      <c r="C2977" s="36" t="s">
        <v>4431</v>
      </c>
      <c r="D2977" s="49"/>
      <c r="E2977" s="49"/>
      <c r="F2977" s="49"/>
      <c r="G2977" s="49"/>
      <c r="H2977" s="49"/>
      <c r="I2977" s="49"/>
    </row>
    <row r="2978" ht="15.75" customHeight="1" spans="1:9">
      <c r="A2978" s="49"/>
      <c r="B2978" s="36" t="s">
        <v>4403</v>
      </c>
      <c r="C2978" s="36" t="s">
        <v>4432</v>
      </c>
      <c r="D2978" s="49"/>
      <c r="E2978" s="49"/>
      <c r="F2978" s="49"/>
      <c r="G2978" s="49"/>
      <c r="H2978" s="49"/>
      <c r="I2978" s="49"/>
    </row>
    <row r="2979" ht="15.75" customHeight="1" spans="1:9">
      <c r="A2979" s="49"/>
      <c r="B2979" s="36" t="s">
        <v>4403</v>
      </c>
      <c r="C2979" s="36" t="s">
        <v>4433</v>
      </c>
      <c r="D2979" s="49"/>
      <c r="E2979" s="49"/>
      <c r="F2979" s="49"/>
      <c r="G2979" s="49"/>
      <c r="H2979" s="49"/>
      <c r="I2979" s="49"/>
    </row>
    <row r="2980" ht="15.75" customHeight="1" spans="1:9">
      <c r="A2980" s="49"/>
      <c r="B2980" s="36" t="s">
        <v>4403</v>
      </c>
      <c r="C2980" s="36" t="s">
        <v>4434</v>
      </c>
      <c r="D2980" s="49"/>
      <c r="E2980" s="49"/>
      <c r="F2980" s="49"/>
      <c r="G2980" s="49"/>
      <c r="H2980" s="49"/>
      <c r="I2980" s="49"/>
    </row>
    <row r="2981" ht="15.75" customHeight="1" spans="1:9">
      <c r="A2981" s="49"/>
      <c r="B2981" s="36" t="s">
        <v>4403</v>
      </c>
      <c r="C2981" s="36" t="s">
        <v>4435</v>
      </c>
      <c r="D2981" s="49"/>
      <c r="E2981" s="49"/>
      <c r="F2981" s="49"/>
      <c r="G2981" s="49"/>
      <c r="H2981" s="49"/>
      <c r="I2981" s="49"/>
    </row>
    <row r="2982" ht="15.75" customHeight="1" spans="1:9">
      <c r="A2982" s="49"/>
      <c r="B2982" s="36" t="s">
        <v>4403</v>
      </c>
      <c r="C2982" s="36" t="s">
        <v>4436</v>
      </c>
      <c r="D2982" s="49"/>
      <c r="E2982" s="49"/>
      <c r="F2982" s="49"/>
      <c r="G2982" s="49"/>
      <c r="H2982" s="49"/>
      <c r="I2982" s="49"/>
    </row>
    <row r="2983" ht="15.75" customHeight="1" spans="1:9">
      <c r="A2983" s="49"/>
      <c r="B2983" s="36" t="s">
        <v>4403</v>
      </c>
      <c r="C2983" s="36" t="s">
        <v>4437</v>
      </c>
      <c r="D2983" s="49"/>
      <c r="E2983" s="49"/>
      <c r="F2983" s="49"/>
      <c r="G2983" s="49"/>
      <c r="H2983" s="49"/>
      <c r="I2983" s="49"/>
    </row>
    <row r="2984" ht="15.75" customHeight="1" spans="1:9">
      <c r="A2984" s="49"/>
      <c r="B2984" s="36" t="s">
        <v>4403</v>
      </c>
      <c r="C2984" s="36" t="s">
        <v>4438</v>
      </c>
      <c r="D2984" s="49"/>
      <c r="E2984" s="49"/>
      <c r="F2984" s="49"/>
      <c r="G2984" s="49"/>
      <c r="H2984" s="49"/>
      <c r="I2984" s="49"/>
    </row>
    <row r="2985" ht="15.75" customHeight="1" spans="1:9">
      <c r="A2985" s="49"/>
      <c r="B2985" s="36" t="s">
        <v>4403</v>
      </c>
      <c r="C2985" s="36" t="s">
        <v>4439</v>
      </c>
      <c r="D2985" s="49"/>
      <c r="E2985" s="49"/>
      <c r="F2985" s="49"/>
      <c r="G2985" s="49"/>
      <c r="H2985" s="49"/>
      <c r="I2985" s="49"/>
    </row>
    <row r="2986" ht="15.75" customHeight="1" spans="1:9">
      <c r="A2986" s="49"/>
      <c r="B2986" s="36" t="s">
        <v>4403</v>
      </c>
      <c r="C2986" s="36" t="s">
        <v>4440</v>
      </c>
      <c r="D2986" s="49"/>
      <c r="E2986" s="49"/>
      <c r="F2986" s="49"/>
      <c r="G2986" s="49"/>
      <c r="H2986" s="49"/>
      <c r="I2986" s="49"/>
    </row>
    <row r="2987" ht="15.75" customHeight="1" spans="1:9">
      <c r="A2987" s="49"/>
      <c r="B2987" s="36" t="s">
        <v>4403</v>
      </c>
      <c r="C2987" s="36" t="s">
        <v>4441</v>
      </c>
      <c r="D2987" s="49"/>
      <c r="E2987" s="49"/>
      <c r="F2987" s="49"/>
      <c r="G2987" s="49"/>
      <c r="H2987" s="49"/>
      <c r="I2987" s="49"/>
    </row>
    <row r="2988" ht="15.75" customHeight="1" spans="1:9">
      <c r="A2988" s="49"/>
      <c r="B2988" s="36" t="s">
        <v>4403</v>
      </c>
      <c r="C2988" s="36" t="s">
        <v>4442</v>
      </c>
      <c r="D2988" s="49"/>
      <c r="E2988" s="49"/>
      <c r="F2988" s="49"/>
      <c r="G2988" s="49"/>
      <c r="H2988" s="49"/>
      <c r="I2988" s="49"/>
    </row>
    <row r="2989" ht="15.75" customHeight="1" spans="1:9">
      <c r="A2989" s="49"/>
      <c r="B2989" s="36" t="s">
        <v>4403</v>
      </c>
      <c r="C2989" s="36" t="s">
        <v>4443</v>
      </c>
      <c r="D2989" s="49"/>
      <c r="E2989" s="49"/>
      <c r="F2989" s="49"/>
      <c r="G2989" s="49"/>
      <c r="H2989" s="49"/>
      <c r="I2989" s="49"/>
    </row>
    <row r="2990" ht="15.75" customHeight="1" spans="1:9">
      <c r="A2990" s="49"/>
      <c r="B2990" s="36" t="s">
        <v>4403</v>
      </c>
      <c r="C2990" s="36" t="s">
        <v>4444</v>
      </c>
      <c r="D2990" s="49"/>
      <c r="E2990" s="49"/>
      <c r="F2990" s="49"/>
      <c r="G2990" s="49"/>
      <c r="H2990" s="49"/>
      <c r="I2990" s="49"/>
    </row>
    <row r="2991" ht="15.75" customHeight="1" spans="1:9">
      <c r="A2991" s="49"/>
      <c r="B2991" s="36" t="s">
        <v>4403</v>
      </c>
      <c r="C2991" s="36" t="s">
        <v>4445</v>
      </c>
      <c r="D2991" s="49"/>
      <c r="E2991" s="49"/>
      <c r="F2991" s="49"/>
      <c r="G2991" s="49"/>
      <c r="H2991" s="49"/>
      <c r="I2991" s="49"/>
    </row>
    <row r="2992" ht="15.75" customHeight="1" spans="1:9">
      <c r="A2992" s="49"/>
      <c r="B2992" s="36" t="s">
        <v>4403</v>
      </c>
      <c r="C2992" s="36" t="s">
        <v>4446</v>
      </c>
      <c r="D2992" s="49"/>
      <c r="E2992" s="49"/>
      <c r="F2992" s="49"/>
      <c r="G2992" s="49"/>
      <c r="H2992" s="49"/>
      <c r="I2992" s="49"/>
    </row>
    <row r="2993" ht="15.75" customHeight="1" spans="1:9">
      <c r="A2993" s="49"/>
      <c r="B2993" s="36" t="s">
        <v>4403</v>
      </c>
      <c r="C2993" s="36" t="s">
        <v>4447</v>
      </c>
      <c r="D2993" s="49"/>
      <c r="E2993" s="49"/>
      <c r="F2993" s="49"/>
      <c r="G2993" s="49"/>
      <c r="H2993" s="49"/>
      <c r="I2993" s="49"/>
    </row>
    <row r="2994" ht="15.75" customHeight="1" spans="1:9">
      <c r="A2994" s="49"/>
      <c r="B2994" s="36" t="s">
        <v>4403</v>
      </c>
      <c r="C2994" s="36" t="s">
        <v>4448</v>
      </c>
      <c r="D2994" s="49"/>
      <c r="E2994" s="49"/>
      <c r="F2994" s="49"/>
      <c r="G2994" s="49"/>
      <c r="H2994" s="49"/>
      <c r="I2994" s="49"/>
    </row>
    <row r="2995" ht="15.75" customHeight="1" spans="1:9">
      <c r="A2995" s="49"/>
      <c r="B2995" s="36" t="s">
        <v>4403</v>
      </c>
      <c r="C2995" s="36" t="s">
        <v>4449</v>
      </c>
      <c r="D2995" s="49"/>
      <c r="E2995" s="49"/>
      <c r="F2995" s="49"/>
      <c r="G2995" s="49"/>
      <c r="H2995" s="49"/>
      <c r="I2995" s="49"/>
    </row>
    <row r="2996" ht="15.75" customHeight="1" spans="1:9">
      <c r="A2996" s="49"/>
      <c r="B2996" s="36" t="s">
        <v>4403</v>
      </c>
      <c r="C2996" s="36" t="s">
        <v>4450</v>
      </c>
      <c r="D2996" s="49"/>
      <c r="E2996" s="49"/>
      <c r="F2996" s="49"/>
      <c r="G2996" s="49"/>
      <c r="H2996" s="49"/>
      <c r="I2996" s="49"/>
    </row>
    <row r="2997" ht="15.75" customHeight="1" spans="1:9">
      <c r="A2997" s="49"/>
      <c r="B2997" s="36" t="s">
        <v>4403</v>
      </c>
      <c r="C2997" s="36" t="s">
        <v>4451</v>
      </c>
      <c r="D2997" s="49"/>
      <c r="E2997" s="49"/>
      <c r="F2997" s="49"/>
      <c r="G2997" s="49"/>
      <c r="H2997" s="49"/>
      <c r="I2997" s="49"/>
    </row>
    <row r="2998" ht="15.75" customHeight="1" spans="1:9">
      <c r="A2998" s="49"/>
      <c r="B2998" s="36" t="s">
        <v>4403</v>
      </c>
      <c r="C2998" s="36" t="s">
        <v>4452</v>
      </c>
      <c r="D2998" s="49"/>
      <c r="E2998" s="49"/>
      <c r="F2998" s="49"/>
      <c r="G2998" s="49"/>
      <c r="H2998" s="49"/>
      <c r="I2998" s="49"/>
    </row>
    <row r="2999" ht="15.75" customHeight="1" spans="1:9">
      <c r="A2999" s="49"/>
      <c r="B2999" s="36" t="s">
        <v>4403</v>
      </c>
      <c r="C2999" s="36" t="s">
        <v>4453</v>
      </c>
      <c r="D2999" s="49"/>
      <c r="E2999" s="49"/>
      <c r="F2999" s="49"/>
      <c r="G2999" s="49"/>
      <c r="H2999" s="49"/>
      <c r="I2999" s="49"/>
    </row>
    <row r="3000" ht="15.75" customHeight="1" spans="1:9">
      <c r="A3000" s="49"/>
      <c r="B3000" s="36" t="s">
        <v>4403</v>
      </c>
      <c r="C3000" s="36" t="s">
        <v>4454</v>
      </c>
      <c r="D3000" s="49"/>
      <c r="E3000" s="49"/>
      <c r="F3000" s="49"/>
      <c r="G3000" s="49"/>
      <c r="H3000" s="49"/>
      <c r="I3000" s="49"/>
    </row>
    <row r="3001" ht="15.75" customHeight="1" spans="1:9">
      <c r="A3001" s="49"/>
      <c r="B3001" s="36" t="s">
        <v>4403</v>
      </c>
      <c r="C3001" s="36" t="s">
        <v>4455</v>
      </c>
      <c r="D3001" s="49"/>
      <c r="E3001" s="49"/>
      <c r="F3001" s="49"/>
      <c r="G3001" s="49"/>
      <c r="H3001" s="49"/>
      <c r="I3001" s="49"/>
    </row>
    <row r="3002" ht="15.75" customHeight="1" spans="1:9">
      <c r="A3002" s="49"/>
      <c r="B3002" s="36" t="s">
        <v>4403</v>
      </c>
      <c r="C3002" s="36" t="s">
        <v>4456</v>
      </c>
      <c r="D3002" s="49"/>
      <c r="E3002" s="49"/>
      <c r="F3002" s="49"/>
      <c r="G3002" s="49"/>
      <c r="H3002" s="49"/>
      <c r="I3002" s="49"/>
    </row>
    <row r="3003" ht="15.75" customHeight="1" spans="1:9">
      <c r="A3003" s="49"/>
      <c r="B3003" s="36" t="s">
        <v>4403</v>
      </c>
      <c r="C3003" s="36" t="s">
        <v>4457</v>
      </c>
      <c r="D3003" s="49"/>
      <c r="E3003" s="49"/>
      <c r="F3003" s="49"/>
      <c r="G3003" s="49"/>
      <c r="H3003" s="49"/>
      <c r="I3003" s="49"/>
    </row>
    <row r="3004" ht="15.75" customHeight="1" spans="1:9">
      <c r="A3004" s="49"/>
      <c r="B3004" s="36" t="s">
        <v>4403</v>
      </c>
      <c r="C3004" s="36" t="s">
        <v>4458</v>
      </c>
      <c r="D3004" s="49"/>
      <c r="E3004" s="49"/>
      <c r="F3004" s="49"/>
      <c r="G3004" s="49"/>
      <c r="H3004" s="49"/>
      <c r="I3004" s="49"/>
    </row>
    <row r="3005" ht="15.75" customHeight="1" spans="1:9">
      <c r="A3005" s="49"/>
      <c r="B3005" s="36" t="s">
        <v>4403</v>
      </c>
      <c r="C3005" s="36" t="s">
        <v>4459</v>
      </c>
      <c r="D3005" s="49"/>
      <c r="E3005" s="49"/>
      <c r="F3005" s="49"/>
      <c r="G3005" s="49"/>
      <c r="H3005" s="49"/>
      <c r="I3005" s="49"/>
    </row>
    <row r="3006" ht="15.75" customHeight="1" spans="1:9">
      <c r="A3006" s="49"/>
      <c r="B3006" s="36" t="s">
        <v>4403</v>
      </c>
      <c r="C3006" s="36" t="s">
        <v>4460</v>
      </c>
      <c r="D3006" s="49"/>
      <c r="E3006" s="49"/>
      <c r="F3006" s="49"/>
      <c r="G3006" s="49"/>
      <c r="H3006" s="49"/>
      <c r="I3006" s="49"/>
    </row>
    <row r="3007" ht="15.75" customHeight="1" spans="1:9">
      <c r="A3007" s="49"/>
      <c r="B3007" s="36" t="s">
        <v>4403</v>
      </c>
      <c r="C3007" s="36" t="s">
        <v>4461</v>
      </c>
      <c r="D3007" s="49"/>
      <c r="E3007" s="49"/>
      <c r="F3007" s="49"/>
      <c r="G3007" s="49"/>
      <c r="H3007" s="49"/>
      <c r="I3007" s="49"/>
    </row>
    <row r="3008" ht="15.75" customHeight="1" spans="1:9">
      <c r="A3008" s="49"/>
      <c r="B3008" s="36" t="s">
        <v>4403</v>
      </c>
      <c r="C3008" s="36" t="s">
        <v>4462</v>
      </c>
      <c r="D3008" s="49"/>
      <c r="E3008" s="49"/>
      <c r="F3008" s="49"/>
      <c r="G3008" s="49"/>
      <c r="H3008" s="49"/>
      <c r="I3008" s="49"/>
    </row>
    <row r="3009" ht="15.75" customHeight="1" spans="1:9">
      <c r="A3009" s="49"/>
      <c r="B3009" s="36" t="s">
        <v>4403</v>
      </c>
      <c r="C3009" s="36" t="s">
        <v>4463</v>
      </c>
      <c r="D3009" s="49"/>
      <c r="E3009" s="49"/>
      <c r="F3009" s="49"/>
      <c r="G3009" s="49"/>
      <c r="H3009" s="49"/>
      <c r="I3009" s="49"/>
    </row>
    <row r="3010" ht="15.75" customHeight="1" spans="1:9">
      <c r="A3010" s="49"/>
      <c r="B3010" s="36" t="s">
        <v>4403</v>
      </c>
      <c r="C3010" s="36" t="s">
        <v>4464</v>
      </c>
      <c r="D3010" s="49"/>
      <c r="E3010" s="49"/>
      <c r="F3010" s="49"/>
      <c r="G3010" s="49"/>
      <c r="H3010" s="49"/>
      <c r="I3010" s="49"/>
    </row>
    <row r="3011" ht="15.75" customHeight="1" spans="1:9">
      <c r="A3011" s="49"/>
      <c r="B3011" s="36" t="s">
        <v>4403</v>
      </c>
      <c r="C3011" s="36" t="s">
        <v>4465</v>
      </c>
      <c r="D3011" s="49"/>
      <c r="E3011" s="49"/>
      <c r="F3011" s="49"/>
      <c r="G3011" s="49"/>
      <c r="H3011" s="49"/>
      <c r="I3011" s="49"/>
    </row>
    <row r="3012" ht="15.75" customHeight="1" spans="1:9">
      <c r="A3012" s="49"/>
      <c r="B3012" s="36" t="s">
        <v>4403</v>
      </c>
      <c r="C3012" s="36" t="s">
        <v>4466</v>
      </c>
      <c r="D3012" s="49"/>
      <c r="E3012" s="49"/>
      <c r="F3012" s="49"/>
      <c r="G3012" s="49"/>
      <c r="H3012" s="49"/>
      <c r="I3012" s="49"/>
    </row>
    <row r="3013" ht="15.75" customHeight="1" spans="1:9">
      <c r="A3013" s="49"/>
      <c r="B3013" s="36" t="s">
        <v>4403</v>
      </c>
      <c r="C3013" s="36" t="s">
        <v>4467</v>
      </c>
      <c r="D3013" s="49"/>
      <c r="E3013" s="49"/>
      <c r="F3013" s="49"/>
      <c r="G3013" s="49"/>
      <c r="H3013" s="49"/>
      <c r="I3013" s="49"/>
    </row>
    <row r="3014" ht="15.75" customHeight="1" spans="1:9">
      <c r="A3014" s="49"/>
      <c r="B3014" s="36" t="s">
        <v>4403</v>
      </c>
      <c r="C3014" s="36" t="s">
        <v>4468</v>
      </c>
      <c r="D3014" s="49"/>
      <c r="E3014" s="49"/>
      <c r="F3014" s="49"/>
      <c r="G3014" s="49"/>
      <c r="H3014" s="49"/>
      <c r="I3014" s="49"/>
    </row>
    <row r="3015" ht="15.75" customHeight="1" spans="1:9">
      <c r="A3015" s="49"/>
      <c r="B3015" s="36" t="s">
        <v>4403</v>
      </c>
      <c r="C3015" s="36" t="s">
        <v>4469</v>
      </c>
      <c r="D3015" s="49"/>
      <c r="E3015" s="49"/>
      <c r="F3015" s="49"/>
      <c r="G3015" s="49"/>
      <c r="H3015" s="49"/>
      <c r="I3015" s="49"/>
    </row>
    <row r="3016" ht="15.75" customHeight="1" spans="1:9">
      <c r="A3016" s="49"/>
      <c r="B3016" s="36" t="s">
        <v>4403</v>
      </c>
      <c r="C3016" s="36" t="s">
        <v>4470</v>
      </c>
      <c r="D3016" s="49"/>
      <c r="E3016" s="49"/>
      <c r="F3016" s="49"/>
      <c r="G3016" s="49"/>
      <c r="H3016" s="49"/>
      <c r="I3016" s="49"/>
    </row>
    <row r="3017" ht="15.75" customHeight="1" spans="1:9">
      <c r="A3017" s="49"/>
      <c r="B3017" s="36" t="s">
        <v>4403</v>
      </c>
      <c r="C3017" s="36" t="s">
        <v>4471</v>
      </c>
      <c r="D3017" s="49"/>
      <c r="E3017" s="49"/>
      <c r="F3017" s="49"/>
      <c r="G3017" s="49"/>
      <c r="H3017" s="49"/>
      <c r="I3017" s="49"/>
    </row>
    <row r="3018" ht="15.75" customHeight="1" spans="1:9">
      <c r="A3018" s="49"/>
      <c r="B3018" s="36" t="s">
        <v>4403</v>
      </c>
      <c r="C3018" s="36" t="s">
        <v>4472</v>
      </c>
      <c r="D3018" s="49"/>
      <c r="E3018" s="49"/>
      <c r="F3018" s="49"/>
      <c r="G3018" s="49"/>
      <c r="H3018" s="49"/>
      <c r="I3018" s="49"/>
    </row>
    <row r="3019" ht="15.75" customHeight="1" spans="1:9">
      <c r="A3019" s="49"/>
      <c r="B3019" s="36" t="s">
        <v>4403</v>
      </c>
      <c r="C3019" s="36" t="s">
        <v>4473</v>
      </c>
      <c r="D3019" s="49"/>
      <c r="E3019" s="49"/>
      <c r="F3019" s="49"/>
      <c r="G3019" s="49"/>
      <c r="H3019" s="49"/>
      <c r="I3019" s="49"/>
    </row>
    <row r="3020" ht="15.75" customHeight="1" spans="1:9">
      <c r="A3020" s="49"/>
      <c r="B3020" s="36" t="s">
        <v>4403</v>
      </c>
      <c r="C3020" s="36" t="s">
        <v>4474</v>
      </c>
      <c r="D3020" s="49"/>
      <c r="E3020" s="49"/>
      <c r="F3020" s="49"/>
      <c r="G3020" s="49"/>
      <c r="H3020" s="49"/>
      <c r="I3020" s="49"/>
    </row>
    <row r="3021" ht="15.75" customHeight="1" spans="1:9">
      <c r="A3021" s="49"/>
      <c r="B3021" s="36" t="s">
        <v>4403</v>
      </c>
      <c r="C3021" s="36" t="s">
        <v>4475</v>
      </c>
      <c r="D3021" s="49"/>
      <c r="E3021" s="49"/>
      <c r="F3021" s="49"/>
      <c r="G3021" s="49"/>
      <c r="H3021" s="49"/>
      <c r="I3021" s="49"/>
    </row>
    <row r="3022" ht="15.75" customHeight="1" spans="1:9">
      <c r="A3022" s="49"/>
      <c r="B3022" s="36" t="s">
        <v>4403</v>
      </c>
      <c r="C3022" s="36" t="s">
        <v>4476</v>
      </c>
      <c r="D3022" s="49"/>
      <c r="E3022" s="49"/>
      <c r="F3022" s="49"/>
      <c r="G3022" s="49"/>
      <c r="H3022" s="49"/>
      <c r="I3022" s="49"/>
    </row>
    <row r="3023" ht="15.75" customHeight="1" spans="1:9">
      <c r="A3023" s="49"/>
      <c r="B3023" s="36" t="s">
        <v>4403</v>
      </c>
      <c r="C3023" s="36" t="s">
        <v>4477</v>
      </c>
      <c r="D3023" s="49"/>
      <c r="E3023" s="49"/>
      <c r="F3023" s="49"/>
      <c r="G3023" s="49"/>
      <c r="H3023" s="49"/>
      <c r="I3023" s="49"/>
    </row>
    <row r="3024" ht="15.75" customHeight="1" spans="1:9">
      <c r="A3024" s="49"/>
      <c r="B3024" s="36" t="s">
        <v>4403</v>
      </c>
      <c r="C3024" s="36" t="s">
        <v>4478</v>
      </c>
      <c r="D3024" s="49"/>
      <c r="E3024" s="49"/>
      <c r="F3024" s="49"/>
      <c r="G3024" s="49"/>
      <c r="H3024" s="49"/>
      <c r="I3024" s="49"/>
    </row>
    <row r="3025" ht="15.75" customHeight="1" spans="1:9">
      <c r="A3025" s="49"/>
      <c r="B3025" s="36" t="s">
        <v>4403</v>
      </c>
      <c r="C3025" s="36" t="s">
        <v>4479</v>
      </c>
      <c r="D3025" s="49"/>
      <c r="E3025" s="49"/>
      <c r="F3025" s="49"/>
      <c r="G3025" s="49"/>
      <c r="H3025" s="49"/>
      <c r="I3025" s="49"/>
    </row>
    <row r="3026" ht="15.75" customHeight="1" spans="1:9">
      <c r="A3026" s="49"/>
      <c r="B3026" s="36" t="s">
        <v>4403</v>
      </c>
      <c r="C3026" s="36" t="s">
        <v>4480</v>
      </c>
      <c r="D3026" s="49"/>
      <c r="E3026" s="49"/>
      <c r="F3026" s="49"/>
      <c r="G3026" s="49"/>
      <c r="H3026" s="49"/>
      <c r="I3026" s="49"/>
    </row>
    <row r="3027" ht="15.75" customHeight="1" spans="1:9">
      <c r="A3027" s="49"/>
      <c r="B3027" s="36" t="s">
        <v>4403</v>
      </c>
      <c r="C3027" s="36" t="s">
        <v>4481</v>
      </c>
      <c r="D3027" s="49"/>
      <c r="E3027" s="49"/>
      <c r="F3027" s="49"/>
      <c r="G3027" s="49"/>
      <c r="H3027" s="49"/>
      <c r="I3027" s="49"/>
    </row>
    <row r="3028" ht="15.75" customHeight="1" spans="1:9">
      <c r="A3028" s="49"/>
      <c r="B3028" s="36" t="s">
        <v>4403</v>
      </c>
      <c r="C3028" s="36" t="s">
        <v>4482</v>
      </c>
      <c r="D3028" s="49"/>
      <c r="E3028" s="49"/>
      <c r="F3028" s="49"/>
      <c r="G3028" s="49"/>
      <c r="H3028" s="49"/>
      <c r="I3028" s="49"/>
    </row>
    <row r="3029" ht="15.75" customHeight="1" spans="1:9">
      <c r="A3029" s="49"/>
      <c r="B3029" s="36" t="s">
        <v>4403</v>
      </c>
      <c r="C3029" s="36" t="s">
        <v>4483</v>
      </c>
      <c r="D3029" s="49"/>
      <c r="E3029" s="49"/>
      <c r="F3029" s="49"/>
      <c r="G3029" s="49"/>
      <c r="H3029" s="49"/>
      <c r="I3029" s="49"/>
    </row>
    <row r="3030" ht="15.75" customHeight="1" spans="1:9">
      <c r="A3030" s="49"/>
      <c r="B3030" s="36" t="s">
        <v>4403</v>
      </c>
      <c r="C3030" s="36" t="s">
        <v>4484</v>
      </c>
      <c r="D3030" s="49"/>
      <c r="E3030" s="49"/>
      <c r="F3030" s="49"/>
      <c r="G3030" s="49"/>
      <c r="H3030" s="49"/>
      <c r="I3030" s="49"/>
    </row>
    <row r="3031" ht="15.75" customHeight="1" spans="1:9">
      <c r="A3031" s="49"/>
      <c r="B3031" s="36" t="s">
        <v>4403</v>
      </c>
      <c r="C3031" s="36" t="s">
        <v>4485</v>
      </c>
      <c r="D3031" s="49"/>
      <c r="E3031" s="49"/>
      <c r="F3031" s="49"/>
      <c r="G3031" s="49"/>
      <c r="H3031" s="49"/>
      <c r="I3031" s="49"/>
    </row>
    <row r="3032" ht="15.75" customHeight="1" spans="1:9">
      <c r="A3032" s="49"/>
      <c r="B3032" s="36" t="s">
        <v>4403</v>
      </c>
      <c r="C3032" s="36" t="s">
        <v>4486</v>
      </c>
      <c r="D3032" s="49"/>
      <c r="E3032" s="49"/>
      <c r="F3032" s="49"/>
      <c r="G3032" s="49"/>
      <c r="H3032" s="49"/>
      <c r="I3032" s="49"/>
    </row>
    <row r="3033" ht="15.75" customHeight="1" spans="1:9">
      <c r="A3033" s="49"/>
      <c r="B3033" s="36" t="s">
        <v>4403</v>
      </c>
      <c r="C3033" s="36" t="s">
        <v>4487</v>
      </c>
      <c r="D3033" s="49"/>
      <c r="E3033" s="49"/>
      <c r="F3033" s="49"/>
      <c r="G3033" s="49"/>
      <c r="H3033" s="49"/>
      <c r="I3033" s="49"/>
    </row>
    <row r="3034" ht="15.75" customHeight="1" spans="1:9">
      <c r="A3034" s="49"/>
      <c r="B3034" s="36" t="s">
        <v>4403</v>
      </c>
      <c r="C3034" s="36" t="s">
        <v>4488</v>
      </c>
      <c r="D3034" s="49"/>
      <c r="E3034" s="49"/>
      <c r="F3034" s="49"/>
      <c r="G3034" s="49"/>
      <c r="H3034" s="49"/>
      <c r="I3034" s="49"/>
    </row>
    <row r="3035" ht="15.75" customHeight="1" spans="1:9">
      <c r="A3035" s="49"/>
      <c r="B3035" s="36" t="s">
        <v>4403</v>
      </c>
      <c r="C3035" s="36" t="s">
        <v>4489</v>
      </c>
      <c r="D3035" s="49"/>
      <c r="E3035" s="49"/>
      <c r="F3035" s="49"/>
      <c r="G3035" s="49"/>
      <c r="H3035" s="49"/>
      <c r="I3035" s="49"/>
    </row>
    <row r="3036" ht="15.75" customHeight="1" spans="1:9">
      <c r="A3036" s="49"/>
      <c r="B3036" s="36" t="s">
        <v>4403</v>
      </c>
      <c r="C3036" s="36" t="s">
        <v>4490</v>
      </c>
      <c r="D3036" s="49"/>
      <c r="E3036" s="49"/>
      <c r="F3036" s="49"/>
      <c r="G3036" s="49"/>
      <c r="H3036" s="49"/>
      <c r="I3036" s="49"/>
    </row>
    <row r="3037" ht="15.75" customHeight="1" spans="1:9">
      <c r="A3037" s="49"/>
      <c r="B3037" s="36" t="s">
        <v>4403</v>
      </c>
      <c r="C3037" s="36" t="s">
        <v>4491</v>
      </c>
      <c r="D3037" s="49"/>
      <c r="E3037" s="49"/>
      <c r="F3037" s="49"/>
      <c r="G3037" s="49"/>
      <c r="H3037" s="49"/>
      <c r="I3037" s="49"/>
    </row>
    <row r="3038" ht="15.75" customHeight="1" spans="1:9">
      <c r="A3038" s="49"/>
      <c r="B3038" s="36" t="s">
        <v>4403</v>
      </c>
      <c r="C3038" s="36" t="s">
        <v>4492</v>
      </c>
      <c r="D3038" s="49"/>
      <c r="E3038" s="49"/>
      <c r="F3038" s="49"/>
      <c r="G3038" s="49"/>
      <c r="H3038" s="49"/>
      <c r="I3038" s="49"/>
    </row>
    <row r="3039" ht="15.75" customHeight="1" spans="1:9">
      <c r="A3039" s="49"/>
      <c r="B3039" s="36" t="s">
        <v>4493</v>
      </c>
      <c r="C3039" s="36" t="s">
        <v>4494</v>
      </c>
      <c r="D3039" s="49"/>
      <c r="E3039" s="49"/>
      <c r="F3039" s="49"/>
      <c r="G3039" s="49"/>
      <c r="H3039" s="49"/>
      <c r="I3039" s="49"/>
    </row>
    <row r="3040" ht="15.75" customHeight="1" spans="1:9">
      <c r="A3040" s="49"/>
      <c r="B3040" s="36" t="s">
        <v>4493</v>
      </c>
      <c r="C3040" s="36" t="s">
        <v>32</v>
      </c>
      <c r="D3040" s="49"/>
      <c r="E3040" s="49"/>
      <c r="F3040" s="49"/>
      <c r="G3040" s="49"/>
      <c r="H3040" s="49"/>
      <c r="I3040" s="49"/>
    </row>
    <row r="3041" ht="15.75" customHeight="1" spans="1:9">
      <c r="A3041" s="49"/>
      <c r="B3041" s="36" t="s">
        <v>4493</v>
      </c>
      <c r="C3041" s="36" t="s">
        <v>4495</v>
      </c>
      <c r="D3041" s="49"/>
      <c r="E3041" s="49"/>
      <c r="F3041" s="49"/>
      <c r="G3041" s="49"/>
      <c r="H3041" s="49"/>
      <c r="I3041" s="49"/>
    </row>
    <row r="3042" ht="15.75" customHeight="1" spans="1:9">
      <c r="A3042" s="49"/>
      <c r="B3042" s="36" t="s">
        <v>4493</v>
      </c>
      <c r="C3042" s="36" t="s">
        <v>4496</v>
      </c>
      <c r="D3042" s="49"/>
      <c r="E3042" s="49"/>
      <c r="F3042" s="49"/>
      <c r="G3042" s="49"/>
      <c r="H3042" s="49"/>
      <c r="I3042" s="49"/>
    </row>
    <row r="3043" ht="15.75" customHeight="1" spans="1:9">
      <c r="A3043" s="49"/>
      <c r="B3043" s="36" t="s">
        <v>4493</v>
      </c>
      <c r="C3043" s="36" t="s">
        <v>4497</v>
      </c>
      <c r="D3043" s="49"/>
      <c r="E3043" s="49"/>
      <c r="F3043" s="49"/>
      <c r="G3043" s="49"/>
      <c r="H3043" s="49"/>
      <c r="I3043" s="49"/>
    </row>
    <row r="3044" ht="15.75" customHeight="1" spans="1:9">
      <c r="A3044" s="49"/>
      <c r="B3044" s="36" t="s">
        <v>4493</v>
      </c>
      <c r="C3044" s="36" t="s">
        <v>4498</v>
      </c>
      <c r="D3044" s="49"/>
      <c r="E3044" s="49"/>
      <c r="F3044" s="49"/>
      <c r="G3044" s="49"/>
      <c r="H3044" s="49"/>
      <c r="I3044" s="49"/>
    </row>
    <row r="3045" ht="15.75" customHeight="1" spans="1:9">
      <c r="A3045" s="49"/>
      <c r="B3045" s="36" t="s">
        <v>4493</v>
      </c>
      <c r="C3045" s="36" t="s">
        <v>4499</v>
      </c>
      <c r="D3045" s="49"/>
      <c r="E3045" s="49"/>
      <c r="F3045" s="49"/>
      <c r="G3045" s="49"/>
      <c r="H3045" s="49"/>
      <c r="I3045" s="49"/>
    </row>
    <row r="3046" ht="15.75" customHeight="1" spans="1:9">
      <c r="A3046" s="49"/>
      <c r="B3046" s="36" t="s">
        <v>4493</v>
      </c>
      <c r="C3046" s="36" t="s">
        <v>4500</v>
      </c>
      <c r="D3046" s="49"/>
      <c r="E3046" s="49"/>
      <c r="F3046" s="49"/>
      <c r="G3046" s="49"/>
      <c r="H3046" s="49"/>
      <c r="I3046" s="49"/>
    </row>
    <row r="3047" ht="15.75" customHeight="1" spans="1:9">
      <c r="A3047" s="49"/>
      <c r="B3047" s="36" t="s">
        <v>4493</v>
      </c>
      <c r="C3047" s="36" t="s">
        <v>4501</v>
      </c>
      <c r="D3047" s="49"/>
      <c r="E3047" s="49"/>
      <c r="F3047" s="49"/>
      <c r="G3047" s="49"/>
      <c r="H3047" s="49"/>
      <c r="I3047" s="49"/>
    </row>
    <row r="3048" ht="15.75" customHeight="1" spans="1:9">
      <c r="A3048" s="49"/>
      <c r="B3048" s="36" t="s">
        <v>4493</v>
      </c>
      <c r="C3048" s="36" t="s">
        <v>4493</v>
      </c>
      <c r="D3048" s="49"/>
      <c r="E3048" s="49"/>
      <c r="F3048" s="49"/>
      <c r="G3048" s="49"/>
      <c r="H3048" s="49"/>
      <c r="I3048" s="49"/>
    </row>
    <row r="3049" ht="15.75" customHeight="1" spans="1:9">
      <c r="A3049" s="49"/>
      <c r="B3049" s="36" t="s">
        <v>4493</v>
      </c>
      <c r="C3049" s="36" t="s">
        <v>4502</v>
      </c>
      <c r="D3049" s="49"/>
      <c r="E3049" s="49"/>
      <c r="F3049" s="49"/>
      <c r="G3049" s="49"/>
      <c r="H3049" s="49"/>
      <c r="I3049" s="49"/>
    </row>
    <row r="3050" ht="15.75" customHeight="1" spans="1:9">
      <c r="A3050" s="49"/>
      <c r="B3050" s="36" t="s">
        <v>4493</v>
      </c>
      <c r="C3050" s="36" t="s">
        <v>4503</v>
      </c>
      <c r="D3050" s="49"/>
      <c r="E3050" s="49"/>
      <c r="F3050" s="49"/>
      <c r="G3050" s="49"/>
      <c r="H3050" s="49"/>
      <c r="I3050" s="49"/>
    </row>
    <row r="3051" ht="15.75" customHeight="1" spans="1:9">
      <c r="A3051" s="49"/>
      <c r="B3051" s="36" t="s">
        <v>4493</v>
      </c>
      <c r="C3051" s="36" t="s">
        <v>4504</v>
      </c>
      <c r="D3051" s="49"/>
      <c r="E3051" s="49"/>
      <c r="F3051" s="49"/>
      <c r="G3051" s="49"/>
      <c r="H3051" s="49"/>
      <c r="I3051" s="49"/>
    </row>
    <row r="3052" ht="15.75" customHeight="1" spans="1:9">
      <c r="A3052" s="49"/>
      <c r="B3052" s="36" t="s">
        <v>4493</v>
      </c>
      <c r="C3052" s="36" t="s">
        <v>4505</v>
      </c>
      <c r="D3052" s="49"/>
      <c r="E3052" s="49"/>
      <c r="F3052" s="49"/>
      <c r="G3052" s="49"/>
      <c r="H3052" s="49"/>
      <c r="I3052" s="49"/>
    </row>
    <row r="3053" ht="15.75" customHeight="1" spans="1:9">
      <c r="A3053" s="49"/>
      <c r="B3053" s="36" t="s">
        <v>4493</v>
      </c>
      <c r="C3053" s="36" t="s">
        <v>4506</v>
      </c>
      <c r="D3053" s="49"/>
      <c r="E3053" s="49"/>
      <c r="F3053" s="49"/>
      <c r="G3053" s="49"/>
      <c r="H3053" s="49"/>
      <c r="I3053" s="49"/>
    </row>
    <row r="3054" ht="15.75" customHeight="1" spans="1:9">
      <c r="A3054" s="49"/>
      <c r="B3054" s="36" t="s">
        <v>4493</v>
      </c>
      <c r="C3054" s="36" t="s">
        <v>4507</v>
      </c>
      <c r="D3054" s="49"/>
      <c r="E3054" s="49"/>
      <c r="F3054" s="49"/>
      <c r="G3054" s="49"/>
      <c r="H3054" s="49"/>
      <c r="I3054" s="49"/>
    </row>
    <row r="3055" ht="15.75" customHeight="1" spans="1:9">
      <c r="A3055" s="49"/>
      <c r="B3055" s="36" t="s">
        <v>4493</v>
      </c>
      <c r="C3055" s="36" t="s">
        <v>4508</v>
      </c>
      <c r="D3055" s="49"/>
      <c r="E3055" s="49"/>
      <c r="F3055" s="49"/>
      <c r="G3055" s="49"/>
      <c r="H3055" s="49"/>
      <c r="I3055" s="49"/>
    </row>
    <row r="3056" ht="15.75" customHeight="1" spans="1:9">
      <c r="A3056" s="49"/>
      <c r="B3056" s="36" t="s">
        <v>4493</v>
      </c>
      <c r="C3056" s="36" t="s">
        <v>4509</v>
      </c>
      <c r="D3056" s="49"/>
      <c r="E3056" s="49"/>
      <c r="F3056" s="49"/>
      <c r="G3056" s="49"/>
      <c r="H3056" s="49"/>
      <c r="I3056" s="49"/>
    </row>
    <row r="3057" ht="15.75" customHeight="1" spans="1:9">
      <c r="A3057" s="49"/>
      <c r="B3057" s="36" t="s">
        <v>4493</v>
      </c>
      <c r="C3057" s="36" t="s">
        <v>4510</v>
      </c>
      <c r="D3057" s="49"/>
      <c r="E3057" s="49"/>
      <c r="F3057" s="49"/>
      <c r="G3057" s="49"/>
      <c r="H3057" s="49"/>
      <c r="I3057" s="49"/>
    </row>
    <row r="3058" ht="15.75" customHeight="1" spans="1:9">
      <c r="A3058" s="49"/>
      <c r="B3058" s="36" t="s">
        <v>4493</v>
      </c>
      <c r="C3058" s="36" t="s">
        <v>4511</v>
      </c>
      <c r="D3058" s="49"/>
      <c r="E3058" s="49"/>
      <c r="F3058" s="49"/>
      <c r="G3058" s="49"/>
      <c r="H3058" s="49"/>
      <c r="I3058" s="49"/>
    </row>
    <row r="3059" ht="15.75" customHeight="1" spans="1:9">
      <c r="A3059" s="49"/>
      <c r="B3059" s="36" t="s">
        <v>4493</v>
      </c>
      <c r="C3059" s="36" t="s">
        <v>4512</v>
      </c>
      <c r="D3059" s="49"/>
      <c r="E3059" s="49"/>
      <c r="F3059" s="49"/>
      <c r="G3059" s="49"/>
      <c r="H3059" s="49"/>
      <c r="I3059" s="49"/>
    </row>
    <row r="3060" ht="15.75" customHeight="1" spans="1:9">
      <c r="A3060" s="49"/>
      <c r="B3060" s="36" t="s">
        <v>4493</v>
      </c>
      <c r="C3060" s="36" t="s">
        <v>4513</v>
      </c>
      <c r="D3060" s="49"/>
      <c r="E3060" s="49"/>
      <c r="F3060" s="49"/>
      <c r="G3060" s="49"/>
      <c r="H3060" s="49"/>
      <c r="I3060" s="49"/>
    </row>
    <row r="3061" ht="15.75" customHeight="1" spans="1:9">
      <c r="A3061" s="49"/>
      <c r="B3061" s="36" t="s">
        <v>4493</v>
      </c>
      <c r="C3061" s="36" t="s">
        <v>4514</v>
      </c>
      <c r="D3061" s="49"/>
      <c r="E3061" s="49"/>
      <c r="F3061" s="49"/>
      <c r="G3061" s="49"/>
      <c r="H3061" s="49"/>
      <c r="I3061" s="49"/>
    </row>
    <row r="3062" ht="15.75" customHeight="1" spans="1:9">
      <c r="A3062" s="49"/>
      <c r="B3062" s="36" t="s">
        <v>4493</v>
      </c>
      <c r="C3062" s="36" t="s">
        <v>4515</v>
      </c>
      <c r="D3062" s="49"/>
      <c r="E3062" s="49"/>
      <c r="F3062" s="49"/>
      <c r="G3062" s="49"/>
      <c r="H3062" s="49"/>
      <c r="I3062" s="49"/>
    </row>
    <row r="3063" ht="15.75" customHeight="1" spans="1:9">
      <c r="A3063" s="49"/>
      <c r="B3063" s="36" t="s">
        <v>4493</v>
      </c>
      <c r="C3063" s="36" t="s">
        <v>4516</v>
      </c>
      <c r="D3063" s="49"/>
      <c r="E3063" s="49"/>
      <c r="F3063" s="49"/>
      <c r="G3063" s="49"/>
      <c r="H3063" s="49"/>
      <c r="I3063" s="49"/>
    </row>
    <row r="3064" ht="15.75" customHeight="1" spans="1:9">
      <c r="A3064" s="49"/>
      <c r="B3064" s="36" t="s">
        <v>4493</v>
      </c>
      <c r="C3064" s="36" t="s">
        <v>4517</v>
      </c>
      <c r="D3064" s="49"/>
      <c r="E3064" s="49"/>
      <c r="F3064" s="49"/>
      <c r="G3064" s="49"/>
      <c r="H3064" s="49"/>
      <c r="I3064" s="49"/>
    </row>
    <row r="3065" ht="15.75" customHeight="1" spans="1:9">
      <c r="A3065" s="49"/>
      <c r="B3065" s="36" t="s">
        <v>4493</v>
      </c>
      <c r="C3065" s="36" t="s">
        <v>4518</v>
      </c>
      <c r="D3065" s="49"/>
      <c r="E3065" s="49"/>
      <c r="F3065" s="49"/>
      <c r="G3065" s="49"/>
      <c r="H3065" s="49"/>
      <c r="I3065" s="49"/>
    </row>
    <row r="3066" ht="15.75" customHeight="1" spans="1:9">
      <c r="A3066" s="49"/>
      <c r="B3066" s="36" t="s">
        <v>4493</v>
      </c>
      <c r="C3066" s="36" t="s">
        <v>4519</v>
      </c>
      <c r="D3066" s="49"/>
      <c r="E3066" s="49"/>
      <c r="F3066" s="49"/>
      <c r="G3066" s="49"/>
      <c r="H3066" s="49"/>
      <c r="I3066" s="49"/>
    </row>
    <row r="3067" ht="15.75" customHeight="1" spans="1:9">
      <c r="A3067" s="49"/>
      <c r="B3067" s="36" t="s">
        <v>4493</v>
      </c>
      <c r="C3067" s="36" t="s">
        <v>4520</v>
      </c>
      <c r="D3067" s="49"/>
      <c r="E3067" s="49"/>
      <c r="F3067" s="49"/>
      <c r="G3067" s="49"/>
      <c r="H3067" s="49"/>
      <c r="I3067" s="49"/>
    </row>
    <row r="3068" ht="15.75" customHeight="1" spans="1:9">
      <c r="A3068" s="49"/>
      <c r="B3068" s="36" t="s">
        <v>4493</v>
      </c>
      <c r="C3068" s="36" t="s">
        <v>4521</v>
      </c>
      <c r="D3068" s="49"/>
      <c r="E3068" s="49"/>
      <c r="F3068" s="49"/>
      <c r="G3068" s="49"/>
      <c r="H3068" s="49"/>
      <c r="I3068" s="49"/>
    </row>
    <row r="3069" ht="15.75" customHeight="1" spans="1:9">
      <c r="A3069" s="49"/>
      <c r="B3069" s="36" t="s">
        <v>4493</v>
      </c>
      <c r="C3069" s="36" t="s">
        <v>4522</v>
      </c>
      <c r="D3069" s="49"/>
      <c r="E3069" s="49"/>
      <c r="F3069" s="49"/>
      <c r="G3069" s="49"/>
      <c r="H3069" s="49"/>
      <c r="I3069" s="49"/>
    </row>
    <row r="3070" ht="15.75" customHeight="1" spans="1:9">
      <c r="A3070" s="49"/>
      <c r="B3070" s="36" t="s">
        <v>4493</v>
      </c>
      <c r="C3070" s="36" t="s">
        <v>4523</v>
      </c>
      <c r="D3070" s="49"/>
      <c r="E3070" s="49"/>
      <c r="F3070" s="49"/>
      <c r="G3070" s="49"/>
      <c r="H3070" s="49"/>
      <c r="I3070" s="49"/>
    </row>
    <row r="3071" ht="15.75" customHeight="1" spans="1:9">
      <c r="A3071" s="49"/>
      <c r="B3071" s="36" t="s">
        <v>4493</v>
      </c>
      <c r="C3071" s="36" t="s">
        <v>4524</v>
      </c>
      <c r="D3071" s="49"/>
      <c r="E3071" s="49"/>
      <c r="F3071" s="49"/>
      <c r="G3071" s="49"/>
      <c r="H3071" s="49"/>
      <c r="I3071" s="49"/>
    </row>
    <row r="3072" ht="15.75" customHeight="1" spans="1:9">
      <c r="A3072" s="49"/>
      <c r="B3072" s="36" t="s">
        <v>4493</v>
      </c>
      <c r="C3072" s="36" t="s">
        <v>4525</v>
      </c>
      <c r="D3072" s="49"/>
      <c r="E3072" s="49"/>
      <c r="F3072" s="49"/>
      <c r="G3072" s="49"/>
      <c r="H3072" s="49"/>
      <c r="I3072" s="49"/>
    </row>
    <row r="3073" ht="15.75" customHeight="1" spans="1:9">
      <c r="A3073" s="49"/>
      <c r="B3073" s="36" t="s">
        <v>4493</v>
      </c>
      <c r="C3073" s="36" t="s">
        <v>4526</v>
      </c>
      <c r="D3073" s="49"/>
      <c r="E3073" s="49"/>
      <c r="F3073" s="49"/>
      <c r="G3073" s="49"/>
      <c r="H3073" s="49"/>
      <c r="I3073" s="49"/>
    </row>
    <row r="3074" ht="15.75" customHeight="1" spans="1:9">
      <c r="A3074" s="49"/>
      <c r="B3074" s="36" t="s">
        <v>4493</v>
      </c>
      <c r="C3074" s="36" t="s">
        <v>4527</v>
      </c>
      <c r="D3074" s="49"/>
      <c r="E3074" s="49"/>
      <c r="F3074" s="49"/>
      <c r="G3074" s="49"/>
      <c r="H3074" s="49"/>
      <c r="I3074" s="49"/>
    </row>
    <row r="3075" ht="15.75" customHeight="1" spans="1:9">
      <c r="A3075" s="49"/>
      <c r="B3075" s="36" t="s">
        <v>4493</v>
      </c>
      <c r="C3075" s="36" t="s">
        <v>4528</v>
      </c>
      <c r="D3075" s="49"/>
      <c r="E3075" s="49"/>
      <c r="F3075" s="49"/>
      <c r="G3075" s="49"/>
      <c r="H3075" s="49"/>
      <c r="I3075" s="49"/>
    </row>
    <row r="3076" ht="15.75" customHeight="1" spans="1:9">
      <c r="A3076" s="49"/>
      <c r="B3076" s="36" t="s">
        <v>4493</v>
      </c>
      <c r="C3076" s="36" t="s">
        <v>4529</v>
      </c>
      <c r="D3076" s="49"/>
      <c r="E3076" s="49"/>
      <c r="F3076" s="49"/>
      <c r="G3076" s="49"/>
      <c r="H3076" s="49"/>
      <c r="I3076" s="49"/>
    </row>
    <row r="3077" ht="15.75" customHeight="1" spans="1:9">
      <c r="A3077" s="49"/>
      <c r="B3077" s="36" t="s">
        <v>4493</v>
      </c>
      <c r="C3077" s="36" t="s">
        <v>4530</v>
      </c>
      <c r="D3077" s="49"/>
      <c r="E3077" s="49"/>
      <c r="F3077" s="49"/>
      <c r="G3077" s="49"/>
      <c r="H3077" s="49"/>
      <c r="I3077" s="49"/>
    </row>
    <row r="3078" ht="15.75" customHeight="1" spans="1:9">
      <c r="A3078" s="49"/>
      <c r="B3078" s="36" t="s">
        <v>4493</v>
      </c>
      <c r="C3078" s="36" t="s">
        <v>4531</v>
      </c>
      <c r="D3078" s="49"/>
      <c r="E3078" s="49"/>
      <c r="F3078" s="49"/>
      <c r="G3078" s="49"/>
      <c r="H3078" s="49"/>
      <c r="I3078" s="49"/>
    </row>
    <row r="3079" ht="15.75" customHeight="1" spans="1:9">
      <c r="A3079" s="49"/>
      <c r="B3079" s="36" t="s">
        <v>4493</v>
      </c>
      <c r="C3079" s="36" t="s">
        <v>4532</v>
      </c>
      <c r="D3079" s="49"/>
      <c r="E3079" s="49"/>
      <c r="F3079" s="49"/>
      <c r="G3079" s="49"/>
      <c r="H3079" s="49"/>
      <c r="I3079" s="49"/>
    </row>
    <row r="3080" ht="15.75" customHeight="1" spans="1:9">
      <c r="A3080" s="49"/>
      <c r="B3080" s="36" t="s">
        <v>4493</v>
      </c>
      <c r="C3080" s="36" t="s">
        <v>4533</v>
      </c>
      <c r="D3080" s="49"/>
      <c r="E3080" s="49"/>
      <c r="F3080" s="49"/>
      <c r="G3080" s="49"/>
      <c r="H3080" s="49"/>
      <c r="I3080" s="49"/>
    </row>
    <row r="3081" ht="15.75" customHeight="1" spans="1:9">
      <c r="A3081" s="49"/>
      <c r="B3081" s="36" t="s">
        <v>4493</v>
      </c>
      <c r="C3081" s="36" t="s">
        <v>4534</v>
      </c>
      <c r="D3081" s="49"/>
      <c r="E3081" s="49"/>
      <c r="F3081" s="49"/>
      <c r="G3081" s="49"/>
      <c r="H3081" s="49"/>
      <c r="I3081" s="49"/>
    </row>
    <row r="3082" ht="15.75" customHeight="1" spans="1:9">
      <c r="A3082" s="49"/>
      <c r="B3082" s="36" t="s">
        <v>4493</v>
      </c>
      <c r="C3082" s="36" t="s">
        <v>4535</v>
      </c>
      <c r="D3082" s="49"/>
      <c r="E3082" s="49"/>
      <c r="F3082" s="49"/>
      <c r="G3082" s="49"/>
      <c r="H3082" s="49"/>
      <c r="I3082" s="49"/>
    </row>
    <row r="3083" ht="15.75" customHeight="1" spans="1:9">
      <c r="A3083" s="49"/>
      <c r="B3083" s="36" t="s">
        <v>4493</v>
      </c>
      <c r="C3083" s="36" t="s">
        <v>4536</v>
      </c>
      <c r="D3083" s="49"/>
      <c r="E3083" s="49"/>
      <c r="F3083" s="49"/>
      <c r="G3083" s="49"/>
      <c r="H3083" s="49"/>
      <c r="I3083" s="49"/>
    </row>
    <row r="3084" ht="15.75" customHeight="1" spans="1:9">
      <c r="A3084" s="49"/>
      <c r="B3084" s="36" t="s">
        <v>4493</v>
      </c>
      <c r="C3084" s="36" t="s">
        <v>4537</v>
      </c>
      <c r="D3084" s="49"/>
      <c r="E3084" s="49"/>
      <c r="F3084" s="49"/>
      <c r="G3084" s="49"/>
      <c r="H3084" s="49"/>
      <c r="I3084" s="49"/>
    </row>
    <row r="3085" ht="15.75" customHeight="1" spans="1:9">
      <c r="A3085" s="49"/>
      <c r="B3085" s="36" t="s">
        <v>4493</v>
      </c>
      <c r="C3085" s="36" t="s">
        <v>4538</v>
      </c>
      <c r="D3085" s="49"/>
      <c r="E3085" s="49"/>
      <c r="F3085" s="49"/>
      <c r="G3085" s="49"/>
      <c r="H3085" s="49"/>
      <c r="I3085" s="49"/>
    </row>
    <row r="3086" ht="15.75" customHeight="1" spans="1:9">
      <c r="A3086" s="49"/>
      <c r="B3086" s="36" t="s">
        <v>4493</v>
      </c>
      <c r="C3086" s="36" t="s">
        <v>4539</v>
      </c>
      <c r="D3086" s="49"/>
      <c r="E3086" s="49"/>
      <c r="F3086" s="49"/>
      <c r="G3086" s="49"/>
      <c r="H3086" s="49"/>
      <c r="I3086" s="49"/>
    </row>
    <row r="3087" ht="15.75" customHeight="1" spans="1:9">
      <c r="A3087" s="49"/>
      <c r="B3087" s="36" t="s">
        <v>4493</v>
      </c>
      <c r="C3087" s="36" t="s">
        <v>4540</v>
      </c>
      <c r="D3087" s="49"/>
      <c r="E3087" s="49"/>
      <c r="F3087" s="49"/>
      <c r="G3087" s="49"/>
      <c r="H3087" s="49"/>
      <c r="I3087" s="49"/>
    </row>
    <row r="3088" ht="15.75" customHeight="1" spans="1:9">
      <c r="A3088" s="49"/>
      <c r="B3088" s="36" t="s">
        <v>4493</v>
      </c>
      <c r="C3088" s="36" t="s">
        <v>4541</v>
      </c>
      <c r="D3088" s="49"/>
      <c r="E3088" s="49"/>
      <c r="F3088" s="49"/>
      <c r="G3088" s="49"/>
      <c r="H3088" s="49"/>
      <c r="I3088" s="49"/>
    </row>
    <row r="3089" ht="15.75" customHeight="1" spans="1:9">
      <c r="A3089" s="49"/>
      <c r="B3089" s="36" t="s">
        <v>4493</v>
      </c>
      <c r="C3089" s="36" t="s">
        <v>4542</v>
      </c>
      <c r="D3089" s="49"/>
      <c r="E3089" s="49"/>
      <c r="F3089" s="49"/>
      <c r="G3089" s="49"/>
      <c r="H3089" s="49"/>
      <c r="I3089" s="49"/>
    </row>
    <row r="3090" ht="15.75" customHeight="1" spans="1:9">
      <c r="A3090" s="49"/>
      <c r="B3090" s="36" t="s">
        <v>4493</v>
      </c>
      <c r="C3090" s="36" t="s">
        <v>4543</v>
      </c>
      <c r="D3090" s="49"/>
      <c r="E3090" s="49"/>
      <c r="F3090" s="49"/>
      <c r="G3090" s="49"/>
      <c r="H3090" s="49"/>
      <c r="I3090" s="49"/>
    </row>
    <row r="3091" ht="15.75" customHeight="1" spans="1:9">
      <c r="A3091" s="49"/>
      <c r="B3091" s="36" t="s">
        <v>4493</v>
      </c>
      <c r="C3091" s="36" t="s">
        <v>4544</v>
      </c>
      <c r="D3091" s="49"/>
      <c r="E3091" s="49"/>
      <c r="F3091" s="49"/>
      <c r="G3091" s="49"/>
      <c r="H3091" s="49"/>
      <c r="I3091" s="49"/>
    </row>
    <row r="3092" ht="15.75" customHeight="1" spans="1:9">
      <c r="A3092" s="49"/>
      <c r="B3092" s="36" t="s">
        <v>4493</v>
      </c>
      <c r="C3092" s="36" t="s">
        <v>4545</v>
      </c>
      <c r="D3092" s="49"/>
      <c r="E3092" s="49"/>
      <c r="F3092" s="49"/>
      <c r="G3092" s="49"/>
      <c r="H3092" s="49"/>
      <c r="I3092" s="49"/>
    </row>
    <row r="3093" ht="15.75" customHeight="1" spans="1:9">
      <c r="A3093" s="49"/>
      <c r="B3093" s="36" t="s">
        <v>4493</v>
      </c>
      <c r="C3093" s="36" t="s">
        <v>4546</v>
      </c>
      <c r="D3093" s="49"/>
      <c r="E3093" s="49"/>
      <c r="F3093" s="49"/>
      <c r="G3093" s="49"/>
      <c r="H3093" s="49"/>
      <c r="I3093" s="49"/>
    </row>
    <row r="3094" ht="15.75" customHeight="1" spans="1:9">
      <c r="A3094" s="49"/>
      <c r="B3094" s="36" t="s">
        <v>4493</v>
      </c>
      <c r="C3094" s="36" t="s">
        <v>4547</v>
      </c>
      <c r="D3094" s="49"/>
      <c r="E3094" s="49"/>
      <c r="F3094" s="49"/>
      <c r="G3094" s="49"/>
      <c r="H3094" s="49"/>
      <c r="I3094" s="49"/>
    </row>
    <row r="3095" ht="15.75" customHeight="1" spans="1:9">
      <c r="A3095" s="49"/>
      <c r="B3095" s="36" t="s">
        <v>4493</v>
      </c>
      <c r="C3095" s="36" t="s">
        <v>4548</v>
      </c>
      <c r="D3095" s="49"/>
      <c r="E3095" s="49"/>
      <c r="F3095" s="49"/>
      <c r="G3095" s="49"/>
      <c r="H3095" s="49"/>
      <c r="I3095" s="49"/>
    </row>
    <row r="3096" ht="15.75" customHeight="1" spans="1:9">
      <c r="A3096" s="49"/>
      <c r="B3096" s="36" t="s">
        <v>4493</v>
      </c>
      <c r="C3096" s="36" t="s">
        <v>4549</v>
      </c>
      <c r="D3096" s="49"/>
      <c r="E3096" s="49"/>
      <c r="F3096" s="49"/>
      <c r="G3096" s="49"/>
      <c r="H3096" s="49"/>
      <c r="I3096" s="49"/>
    </row>
    <row r="3097" ht="15.75" customHeight="1" spans="1:9">
      <c r="A3097" s="49"/>
      <c r="B3097" s="36" t="s">
        <v>4493</v>
      </c>
      <c r="C3097" s="36" t="s">
        <v>4550</v>
      </c>
      <c r="D3097" s="49"/>
      <c r="E3097" s="49"/>
      <c r="F3097" s="49"/>
      <c r="G3097" s="49"/>
      <c r="H3097" s="49"/>
      <c r="I3097" s="49"/>
    </row>
    <row r="3098" ht="15.75" customHeight="1" spans="1:9">
      <c r="A3098" s="49"/>
      <c r="B3098" s="36" t="s">
        <v>4493</v>
      </c>
      <c r="C3098" s="36" t="s">
        <v>4551</v>
      </c>
      <c r="D3098" s="49"/>
      <c r="E3098" s="49"/>
      <c r="F3098" s="49"/>
      <c r="G3098" s="49"/>
      <c r="H3098" s="49"/>
      <c r="I3098" s="49"/>
    </row>
    <row r="3099" ht="15.75" customHeight="1" spans="1:9">
      <c r="A3099" s="49"/>
      <c r="B3099" s="36" t="s">
        <v>4493</v>
      </c>
      <c r="C3099" s="36" t="s">
        <v>4552</v>
      </c>
      <c r="D3099" s="49"/>
      <c r="E3099" s="49"/>
      <c r="F3099" s="49"/>
      <c r="G3099" s="49"/>
      <c r="H3099" s="49"/>
      <c r="I3099" s="49"/>
    </row>
    <row r="3100" ht="15.75" customHeight="1" spans="1:9">
      <c r="A3100" s="49"/>
      <c r="B3100" s="36" t="s">
        <v>4493</v>
      </c>
      <c r="C3100" s="36" t="s">
        <v>4553</v>
      </c>
      <c r="D3100" s="49"/>
      <c r="E3100" s="49"/>
      <c r="F3100" s="49"/>
      <c r="G3100" s="49"/>
      <c r="H3100" s="49"/>
      <c r="I3100" s="49"/>
    </row>
    <row r="3101" ht="15.75" customHeight="1" spans="1:9">
      <c r="A3101" s="49"/>
      <c r="B3101" s="36" t="s">
        <v>4493</v>
      </c>
      <c r="C3101" s="36" t="s">
        <v>4554</v>
      </c>
      <c r="D3101" s="49"/>
      <c r="E3101" s="49"/>
      <c r="F3101" s="49"/>
      <c r="G3101" s="49"/>
      <c r="H3101" s="49"/>
      <c r="I3101" s="49"/>
    </row>
    <row r="3102" ht="15.75" customHeight="1" spans="1:9">
      <c r="A3102" s="49"/>
      <c r="B3102" s="36" t="s">
        <v>4493</v>
      </c>
      <c r="C3102" s="36" t="s">
        <v>4555</v>
      </c>
      <c r="D3102" s="49"/>
      <c r="E3102" s="49"/>
      <c r="F3102" s="49"/>
      <c r="G3102" s="49"/>
      <c r="H3102" s="49"/>
      <c r="I3102" s="49"/>
    </row>
    <row r="3103" ht="15.75" customHeight="1" spans="1:9">
      <c r="A3103" s="49"/>
      <c r="B3103" s="36" t="s">
        <v>4493</v>
      </c>
      <c r="C3103" s="36" t="s">
        <v>4556</v>
      </c>
      <c r="D3103" s="49"/>
      <c r="E3103" s="49"/>
      <c r="F3103" s="49"/>
      <c r="G3103" s="49"/>
      <c r="H3103" s="49"/>
      <c r="I3103" s="49"/>
    </row>
    <row r="3104" ht="15.75" customHeight="1" spans="1:9">
      <c r="A3104" s="49"/>
      <c r="B3104" s="36" t="s">
        <v>4493</v>
      </c>
      <c r="C3104" s="36" t="s">
        <v>4557</v>
      </c>
      <c r="D3104" s="49"/>
      <c r="E3104" s="49"/>
      <c r="F3104" s="49"/>
      <c r="G3104" s="49"/>
      <c r="H3104" s="49"/>
      <c r="I3104" s="49"/>
    </row>
    <row r="3105" ht="15.75" customHeight="1" spans="1:9">
      <c r="A3105" s="49"/>
      <c r="B3105" s="36" t="s">
        <v>4493</v>
      </c>
      <c r="C3105" s="36" t="s">
        <v>4558</v>
      </c>
      <c r="D3105" s="49"/>
      <c r="E3105" s="49"/>
      <c r="F3105" s="49"/>
      <c r="G3105" s="49"/>
      <c r="H3105" s="49"/>
      <c r="I3105" s="49"/>
    </row>
    <row r="3106" ht="15.75" customHeight="1" spans="1:9">
      <c r="A3106" s="49"/>
      <c r="B3106" s="36" t="s">
        <v>4493</v>
      </c>
      <c r="C3106" s="36" t="s">
        <v>4559</v>
      </c>
      <c r="D3106" s="49"/>
      <c r="E3106" s="49"/>
      <c r="F3106" s="49"/>
      <c r="G3106" s="49"/>
      <c r="H3106" s="49"/>
      <c r="I3106" s="49"/>
    </row>
    <row r="3107" ht="15.75" customHeight="1" spans="1:9">
      <c r="A3107" s="49"/>
      <c r="B3107" s="36" t="s">
        <v>4493</v>
      </c>
      <c r="C3107" s="36" t="s">
        <v>4560</v>
      </c>
      <c r="D3107" s="49"/>
      <c r="E3107" s="49"/>
      <c r="F3107" s="49"/>
      <c r="G3107" s="49"/>
      <c r="H3107" s="49"/>
      <c r="I3107" s="49"/>
    </row>
    <row r="3108" ht="15.75" customHeight="1" spans="1:9">
      <c r="A3108" s="49"/>
      <c r="B3108" s="36" t="s">
        <v>4493</v>
      </c>
      <c r="C3108" s="36" t="s">
        <v>4561</v>
      </c>
      <c r="D3108" s="49"/>
      <c r="E3108" s="49"/>
      <c r="F3108" s="49"/>
      <c r="G3108" s="49"/>
      <c r="H3108" s="49"/>
      <c r="I3108" s="49"/>
    </row>
    <row r="3109" ht="15.75" customHeight="1" spans="1:9">
      <c r="A3109" s="49"/>
      <c r="B3109" s="36" t="s">
        <v>4493</v>
      </c>
      <c r="C3109" s="36" t="s">
        <v>4562</v>
      </c>
      <c r="D3109" s="49"/>
      <c r="E3109" s="49"/>
      <c r="F3109" s="49"/>
      <c r="G3109" s="49"/>
      <c r="H3109" s="49"/>
      <c r="I3109" s="49"/>
    </row>
    <row r="3110" ht="15.75" customHeight="1" spans="1:9">
      <c r="A3110" s="49"/>
      <c r="B3110" s="36" t="s">
        <v>4493</v>
      </c>
      <c r="C3110" s="36" t="s">
        <v>4563</v>
      </c>
      <c r="D3110" s="49"/>
      <c r="E3110" s="49"/>
      <c r="F3110" s="49"/>
      <c r="G3110" s="49"/>
      <c r="H3110" s="49"/>
      <c r="I3110" s="49"/>
    </row>
    <row r="3111" ht="15.75" customHeight="1" spans="1:9">
      <c r="A3111" s="49"/>
      <c r="B3111" s="36" t="s">
        <v>4493</v>
      </c>
      <c r="C3111" s="36" t="s">
        <v>4564</v>
      </c>
      <c r="D3111" s="49"/>
      <c r="E3111" s="49"/>
      <c r="F3111" s="49"/>
      <c r="G3111" s="49"/>
      <c r="H3111" s="49"/>
      <c r="I3111" s="49"/>
    </row>
    <row r="3112" ht="15.75" customHeight="1" spans="1:9">
      <c r="A3112" s="49"/>
      <c r="B3112" s="36" t="s">
        <v>4493</v>
      </c>
      <c r="C3112" s="36" t="s">
        <v>4565</v>
      </c>
      <c r="D3112" s="49"/>
      <c r="E3112" s="49"/>
      <c r="F3112" s="49"/>
      <c r="G3112" s="49"/>
      <c r="H3112" s="49"/>
      <c r="I3112" s="49"/>
    </row>
    <row r="3113" ht="15.75" customHeight="1" spans="1:9">
      <c r="A3113" s="49"/>
      <c r="B3113" s="36" t="s">
        <v>4493</v>
      </c>
      <c r="C3113" s="36" t="s">
        <v>4566</v>
      </c>
      <c r="D3113" s="49"/>
      <c r="E3113" s="49"/>
      <c r="F3113" s="49"/>
      <c r="G3113" s="49"/>
      <c r="H3113" s="49"/>
      <c r="I3113" s="49"/>
    </row>
    <row r="3114" ht="15.75" customHeight="1" spans="1:9">
      <c r="A3114" s="49"/>
      <c r="B3114" s="36" t="s">
        <v>4493</v>
      </c>
      <c r="C3114" s="36" t="s">
        <v>4567</v>
      </c>
      <c r="D3114" s="49"/>
      <c r="E3114" s="49"/>
      <c r="F3114" s="49"/>
      <c r="G3114" s="49"/>
      <c r="H3114" s="49"/>
      <c r="I3114" s="49"/>
    </row>
    <row r="3115" ht="15.75" customHeight="1" spans="1:9">
      <c r="A3115" s="49"/>
      <c r="B3115" s="36" t="s">
        <v>4493</v>
      </c>
      <c r="C3115" s="36" t="s">
        <v>4568</v>
      </c>
      <c r="D3115" s="49"/>
      <c r="E3115" s="49"/>
      <c r="F3115" s="49"/>
      <c r="G3115" s="49"/>
      <c r="H3115" s="49"/>
      <c r="I3115" s="49"/>
    </row>
    <row r="3116" ht="15.75" customHeight="1" spans="1:9">
      <c r="A3116" s="49"/>
      <c r="B3116" s="36" t="s">
        <v>4493</v>
      </c>
      <c r="C3116" s="36" t="s">
        <v>4569</v>
      </c>
      <c r="D3116" s="49"/>
      <c r="E3116" s="49"/>
      <c r="F3116" s="49"/>
      <c r="G3116" s="49"/>
      <c r="H3116" s="49"/>
      <c r="I3116" s="49"/>
    </row>
    <row r="3117" ht="15.75" customHeight="1" spans="1:9">
      <c r="A3117" s="49"/>
      <c r="B3117" s="36" t="s">
        <v>4493</v>
      </c>
      <c r="C3117" s="36" t="s">
        <v>4570</v>
      </c>
      <c r="D3117" s="49"/>
      <c r="E3117" s="49"/>
      <c r="F3117" s="49"/>
      <c r="G3117" s="49"/>
      <c r="H3117" s="49"/>
      <c r="I3117" s="49"/>
    </row>
    <row r="3118" ht="15.75" customHeight="1" spans="1:9">
      <c r="A3118" s="49"/>
      <c r="B3118" s="36" t="s">
        <v>4493</v>
      </c>
      <c r="C3118" s="36" t="s">
        <v>4571</v>
      </c>
      <c r="D3118" s="49"/>
      <c r="E3118" s="49"/>
      <c r="F3118" s="49"/>
      <c r="G3118" s="49"/>
      <c r="H3118" s="49"/>
      <c r="I3118" s="49"/>
    </row>
    <row r="3119" ht="15.75" customHeight="1" spans="1:9">
      <c r="A3119" s="49"/>
      <c r="B3119" s="36" t="s">
        <v>4493</v>
      </c>
      <c r="C3119" s="36" t="s">
        <v>4572</v>
      </c>
      <c r="D3119" s="49"/>
      <c r="E3119" s="49"/>
      <c r="F3119" s="49"/>
      <c r="G3119" s="49"/>
      <c r="H3119" s="49"/>
      <c r="I3119" s="49"/>
    </row>
    <row r="3120" ht="15.75" customHeight="1" spans="1:9">
      <c r="A3120" s="49"/>
      <c r="B3120" s="36" t="s">
        <v>4493</v>
      </c>
      <c r="C3120" s="36" t="s">
        <v>4573</v>
      </c>
      <c r="D3120" s="49"/>
      <c r="E3120" s="49"/>
      <c r="F3120" s="49"/>
      <c r="G3120" s="49"/>
      <c r="H3120" s="49"/>
      <c r="I3120" s="49"/>
    </row>
    <row r="3121" ht="15.75" customHeight="1" spans="1:9">
      <c r="A3121" s="49"/>
      <c r="B3121" s="36" t="s">
        <v>4493</v>
      </c>
      <c r="C3121" s="36" t="s">
        <v>4574</v>
      </c>
      <c r="D3121" s="49"/>
      <c r="E3121" s="49"/>
      <c r="F3121" s="49"/>
      <c r="G3121" s="49"/>
      <c r="H3121" s="49"/>
      <c r="I3121" s="49"/>
    </row>
    <row r="3122" ht="15.75" customHeight="1" spans="1:9">
      <c r="A3122" s="49"/>
      <c r="B3122" s="36" t="s">
        <v>4493</v>
      </c>
      <c r="C3122" s="36" t="s">
        <v>4575</v>
      </c>
      <c r="D3122" s="49"/>
      <c r="E3122" s="49"/>
      <c r="F3122" s="49"/>
      <c r="G3122" s="49"/>
      <c r="H3122" s="49"/>
      <c r="I3122" s="49"/>
    </row>
    <row r="3123" ht="15.75" customHeight="1" spans="1:9">
      <c r="A3123" s="49"/>
      <c r="B3123" s="36" t="s">
        <v>4493</v>
      </c>
      <c r="C3123" s="36" t="s">
        <v>4576</v>
      </c>
      <c r="D3123" s="49"/>
      <c r="E3123" s="49"/>
      <c r="F3123" s="49"/>
      <c r="G3123" s="49"/>
      <c r="H3123" s="49"/>
      <c r="I3123" s="49"/>
    </row>
    <row r="3124" ht="15.75" customHeight="1" spans="1:9">
      <c r="A3124" s="49"/>
      <c r="B3124" s="36" t="s">
        <v>4493</v>
      </c>
      <c r="C3124" s="36" t="s">
        <v>4577</v>
      </c>
      <c r="D3124" s="49"/>
      <c r="E3124" s="49"/>
      <c r="F3124" s="49"/>
      <c r="G3124" s="49"/>
      <c r="H3124" s="49"/>
      <c r="I3124" s="49"/>
    </row>
    <row r="3125" ht="15.75" customHeight="1" spans="1:9">
      <c r="A3125" s="49"/>
      <c r="B3125" s="36" t="s">
        <v>4493</v>
      </c>
      <c r="C3125" s="36" t="s">
        <v>4578</v>
      </c>
      <c r="D3125" s="49"/>
      <c r="E3125" s="49"/>
      <c r="F3125" s="49"/>
      <c r="G3125" s="49"/>
      <c r="H3125" s="49"/>
      <c r="I3125" s="49"/>
    </row>
    <row r="3126" ht="15.75" customHeight="1" spans="1:9">
      <c r="A3126" s="49"/>
      <c r="B3126" s="36" t="s">
        <v>4493</v>
      </c>
      <c r="C3126" s="36" t="s">
        <v>4579</v>
      </c>
      <c r="D3126" s="49"/>
      <c r="E3126" s="49"/>
      <c r="F3126" s="49"/>
      <c r="G3126" s="49"/>
      <c r="H3126" s="49"/>
      <c r="I3126" s="49"/>
    </row>
    <row r="3127" ht="15.75" customHeight="1" spans="1:9">
      <c r="A3127" s="49"/>
      <c r="B3127" s="36" t="s">
        <v>4493</v>
      </c>
      <c r="C3127" s="36" t="s">
        <v>4580</v>
      </c>
      <c r="D3127" s="49"/>
      <c r="E3127" s="49"/>
      <c r="F3127" s="49"/>
      <c r="G3127" s="49"/>
      <c r="H3127" s="49"/>
      <c r="I3127" s="49"/>
    </row>
    <row r="3128" ht="15.75" customHeight="1" spans="1:9">
      <c r="A3128" s="49"/>
      <c r="B3128" s="36" t="s">
        <v>4493</v>
      </c>
      <c r="C3128" s="36" t="s">
        <v>4581</v>
      </c>
      <c r="D3128" s="49"/>
      <c r="E3128" s="49"/>
      <c r="F3128" s="49"/>
      <c r="G3128" s="49"/>
      <c r="H3128" s="49"/>
      <c r="I3128" s="49"/>
    </row>
    <row r="3129" ht="15.75" customHeight="1" spans="1:9">
      <c r="A3129" s="49"/>
      <c r="B3129" s="36" t="s">
        <v>4493</v>
      </c>
      <c r="C3129" s="36" t="s">
        <v>4582</v>
      </c>
      <c r="D3129" s="49"/>
      <c r="E3129" s="49"/>
      <c r="F3129" s="49"/>
      <c r="G3129" s="49"/>
      <c r="H3129" s="49"/>
      <c r="I3129" s="49"/>
    </row>
    <row r="3130" ht="15.75" customHeight="1" spans="1:9">
      <c r="A3130" s="49"/>
      <c r="B3130" s="36" t="s">
        <v>4493</v>
      </c>
      <c r="C3130" s="36" t="s">
        <v>4583</v>
      </c>
      <c r="D3130" s="49"/>
      <c r="E3130" s="49"/>
      <c r="F3130" s="49"/>
      <c r="G3130" s="49"/>
      <c r="H3130" s="49"/>
      <c r="I3130" s="49"/>
    </row>
    <row r="3131" ht="15.75" customHeight="1" spans="1:9">
      <c r="A3131" s="49"/>
      <c r="B3131" s="36" t="s">
        <v>4493</v>
      </c>
      <c r="C3131" s="36" t="s">
        <v>4584</v>
      </c>
      <c r="D3131" s="49"/>
      <c r="E3131" s="49"/>
      <c r="F3131" s="49"/>
      <c r="G3131" s="49"/>
      <c r="H3131" s="49"/>
      <c r="I3131" s="49"/>
    </row>
    <row r="3132" ht="15.75" customHeight="1" spans="1:9">
      <c r="A3132" s="49"/>
      <c r="B3132" s="36" t="s">
        <v>4493</v>
      </c>
      <c r="C3132" s="36" t="s">
        <v>4585</v>
      </c>
      <c r="D3132" s="49"/>
      <c r="E3132" s="49"/>
      <c r="F3132" s="49"/>
      <c r="G3132" s="49"/>
      <c r="H3132" s="49"/>
      <c r="I3132" s="49"/>
    </row>
    <row r="3133" ht="15.75" customHeight="1" spans="1:9">
      <c r="A3133" s="49"/>
      <c r="B3133" s="36" t="s">
        <v>4493</v>
      </c>
      <c r="C3133" s="36" t="s">
        <v>4586</v>
      </c>
      <c r="D3133" s="49"/>
      <c r="E3133" s="49"/>
      <c r="F3133" s="49"/>
      <c r="G3133" s="49"/>
      <c r="H3133" s="49"/>
      <c r="I3133" s="49"/>
    </row>
    <row r="3134" ht="15.75" customHeight="1" spans="1:9">
      <c r="A3134" s="49"/>
      <c r="B3134" s="36" t="s">
        <v>4493</v>
      </c>
      <c r="C3134" s="36" t="s">
        <v>4587</v>
      </c>
      <c r="D3134" s="49"/>
      <c r="E3134" s="49"/>
      <c r="F3134" s="49"/>
      <c r="G3134" s="49"/>
      <c r="H3134" s="49"/>
      <c r="I3134" s="49"/>
    </row>
    <row r="3135" ht="15.75" customHeight="1" spans="1:9">
      <c r="A3135" s="49"/>
      <c r="B3135" s="36" t="s">
        <v>4493</v>
      </c>
      <c r="C3135" s="36" t="s">
        <v>4588</v>
      </c>
      <c r="D3135" s="49"/>
      <c r="E3135" s="49"/>
      <c r="F3135" s="49"/>
      <c r="G3135" s="49"/>
      <c r="H3135" s="49"/>
      <c r="I3135" s="49"/>
    </row>
    <row r="3136" ht="15.75" customHeight="1" spans="1:9">
      <c r="A3136" s="49"/>
      <c r="B3136" s="36" t="s">
        <v>4493</v>
      </c>
      <c r="C3136" s="36" t="s">
        <v>4589</v>
      </c>
      <c r="D3136" s="49"/>
      <c r="E3136" s="49"/>
      <c r="F3136" s="49"/>
      <c r="G3136" s="49"/>
      <c r="H3136" s="49"/>
      <c r="I3136" s="49"/>
    </row>
    <row r="3137" ht="15.75" customHeight="1" spans="1:9">
      <c r="A3137" s="49"/>
      <c r="B3137" s="36" t="s">
        <v>4493</v>
      </c>
      <c r="C3137" s="36" t="s">
        <v>4590</v>
      </c>
      <c r="D3137" s="49"/>
      <c r="E3137" s="49"/>
      <c r="F3137" s="49"/>
      <c r="G3137" s="49"/>
      <c r="H3137" s="49"/>
      <c r="I3137" s="49"/>
    </row>
    <row r="3138" ht="15.75" customHeight="1" spans="1:9">
      <c r="A3138" s="49"/>
      <c r="B3138" s="36" t="s">
        <v>4493</v>
      </c>
      <c r="C3138" s="36" t="s">
        <v>4591</v>
      </c>
      <c r="D3138" s="49"/>
      <c r="E3138" s="49"/>
      <c r="F3138" s="49"/>
      <c r="G3138" s="49"/>
      <c r="H3138" s="49"/>
      <c r="I3138" s="49"/>
    </row>
    <row r="3139" ht="15.75" customHeight="1" spans="1:9">
      <c r="A3139" s="49"/>
      <c r="B3139" s="36" t="s">
        <v>4493</v>
      </c>
      <c r="C3139" s="36" t="s">
        <v>4592</v>
      </c>
      <c r="D3139" s="49"/>
      <c r="E3139" s="49"/>
      <c r="F3139" s="49"/>
      <c r="G3139" s="49"/>
      <c r="H3139" s="49"/>
      <c r="I3139" s="49"/>
    </row>
    <row r="3140" ht="15.75" customHeight="1" spans="1:9">
      <c r="A3140" s="49"/>
      <c r="B3140" s="36" t="s">
        <v>4493</v>
      </c>
      <c r="C3140" s="36" t="s">
        <v>4593</v>
      </c>
      <c r="D3140" s="49"/>
      <c r="E3140" s="49"/>
      <c r="F3140" s="49"/>
      <c r="G3140" s="49"/>
      <c r="H3140" s="49"/>
      <c r="I3140" s="49"/>
    </row>
    <row r="3141" ht="15.75" customHeight="1" spans="1:9">
      <c r="A3141" s="49"/>
      <c r="B3141" s="36" t="s">
        <v>4493</v>
      </c>
      <c r="C3141" s="36" t="s">
        <v>4594</v>
      </c>
      <c r="D3141" s="49"/>
      <c r="E3141" s="49"/>
      <c r="F3141" s="49"/>
      <c r="G3141" s="49"/>
      <c r="H3141" s="49"/>
      <c r="I3141" s="49"/>
    </row>
    <row r="3142" ht="15.75" customHeight="1" spans="1:9">
      <c r="A3142" s="49"/>
      <c r="B3142" s="36" t="s">
        <v>4493</v>
      </c>
      <c r="C3142" s="36" t="s">
        <v>4595</v>
      </c>
      <c r="D3142" s="49"/>
      <c r="E3142" s="49"/>
      <c r="F3142" s="49"/>
      <c r="G3142" s="49"/>
      <c r="H3142" s="49"/>
      <c r="I3142" s="49"/>
    </row>
    <row r="3143" ht="15.75" customHeight="1" spans="1:9">
      <c r="A3143" s="49"/>
      <c r="B3143" s="36" t="s">
        <v>4493</v>
      </c>
      <c r="C3143" s="36" t="s">
        <v>4596</v>
      </c>
      <c r="D3143" s="49"/>
      <c r="E3143" s="49"/>
      <c r="F3143" s="49"/>
      <c r="G3143" s="49"/>
      <c r="H3143" s="49"/>
      <c r="I3143" s="49"/>
    </row>
    <row r="3144" ht="15.75" customHeight="1" spans="1:9">
      <c r="A3144" s="49"/>
      <c r="B3144" s="36" t="s">
        <v>4493</v>
      </c>
      <c r="C3144" s="36" t="s">
        <v>4597</v>
      </c>
      <c r="D3144" s="49"/>
      <c r="E3144" s="49"/>
      <c r="F3144" s="49"/>
      <c r="G3144" s="49"/>
      <c r="H3144" s="49"/>
      <c r="I3144" s="49"/>
    </row>
    <row r="3145" ht="15.75" customHeight="1" spans="1:9">
      <c r="A3145" s="49"/>
      <c r="B3145" s="36" t="s">
        <v>4493</v>
      </c>
      <c r="C3145" s="36" t="s">
        <v>4598</v>
      </c>
      <c r="D3145" s="49"/>
      <c r="E3145" s="49"/>
      <c r="F3145" s="49"/>
      <c r="G3145" s="49"/>
      <c r="H3145" s="49"/>
      <c r="I3145" s="49"/>
    </row>
    <row r="3146" ht="15.75" customHeight="1" spans="1:9">
      <c r="A3146" s="49"/>
      <c r="B3146" s="36" t="s">
        <v>4493</v>
      </c>
      <c r="C3146" s="36" t="s">
        <v>4599</v>
      </c>
      <c r="D3146" s="49"/>
      <c r="E3146" s="49"/>
      <c r="F3146" s="49"/>
      <c r="G3146" s="49"/>
      <c r="H3146" s="49"/>
      <c r="I3146" s="49"/>
    </row>
    <row r="3147" ht="15.75" customHeight="1" spans="1:9">
      <c r="A3147" s="49"/>
      <c r="B3147" s="36" t="s">
        <v>4493</v>
      </c>
      <c r="C3147" s="36" t="s">
        <v>4600</v>
      </c>
      <c r="D3147" s="49"/>
      <c r="E3147" s="49"/>
      <c r="F3147" s="49"/>
      <c r="G3147" s="49"/>
      <c r="H3147" s="49"/>
      <c r="I3147" s="49"/>
    </row>
    <row r="3148" ht="15.75" customHeight="1" spans="1:9">
      <c r="A3148" s="49"/>
      <c r="B3148" s="36" t="s">
        <v>4493</v>
      </c>
      <c r="C3148" s="36" t="s">
        <v>4601</v>
      </c>
      <c r="D3148" s="49"/>
      <c r="E3148" s="49"/>
      <c r="F3148" s="49"/>
      <c r="G3148" s="49"/>
      <c r="H3148" s="49"/>
      <c r="I3148" s="49"/>
    </row>
    <row r="3149" ht="15.75" customHeight="1" spans="1:9">
      <c r="A3149" s="49"/>
      <c r="B3149" s="36" t="s">
        <v>4493</v>
      </c>
      <c r="C3149" s="36" t="s">
        <v>4602</v>
      </c>
      <c r="D3149" s="49"/>
      <c r="E3149" s="49"/>
      <c r="F3149" s="49"/>
      <c r="G3149" s="49"/>
      <c r="H3149" s="49"/>
      <c r="I3149" s="49"/>
    </row>
    <row r="3150" ht="15.75" customHeight="1" spans="1:9">
      <c r="A3150" s="49"/>
      <c r="B3150" s="36" t="s">
        <v>4493</v>
      </c>
      <c r="C3150" s="36" t="s">
        <v>4603</v>
      </c>
      <c r="D3150" s="49"/>
      <c r="E3150" s="49"/>
      <c r="F3150" s="49"/>
      <c r="G3150" s="49"/>
      <c r="H3150" s="49"/>
      <c r="I3150" s="49"/>
    </row>
    <row r="3151" ht="15.75" customHeight="1" spans="1:9">
      <c r="A3151" s="49"/>
      <c r="B3151" s="36" t="s">
        <v>4493</v>
      </c>
      <c r="C3151" s="36" t="s">
        <v>4604</v>
      </c>
      <c r="D3151" s="49"/>
      <c r="E3151" s="49"/>
      <c r="F3151" s="49"/>
      <c r="G3151" s="49"/>
      <c r="H3151" s="49"/>
      <c r="I3151" s="49"/>
    </row>
    <row r="3152" ht="15.75" customHeight="1" spans="1:9">
      <c r="A3152" s="49"/>
      <c r="B3152" s="36" t="s">
        <v>4493</v>
      </c>
      <c r="C3152" s="36" t="s">
        <v>4605</v>
      </c>
      <c r="D3152" s="49"/>
      <c r="E3152" s="49"/>
      <c r="F3152" s="49"/>
      <c r="G3152" s="49"/>
      <c r="H3152" s="49"/>
      <c r="I3152" s="49"/>
    </row>
    <row r="3153" ht="15.75" customHeight="1" spans="1:9">
      <c r="A3153" s="49"/>
      <c r="B3153" s="36" t="s">
        <v>4493</v>
      </c>
      <c r="C3153" s="36" t="s">
        <v>4606</v>
      </c>
      <c r="D3153" s="49"/>
      <c r="E3153" s="49"/>
      <c r="F3153" s="49"/>
      <c r="G3153" s="49"/>
      <c r="H3153" s="49"/>
      <c r="I3153" s="49"/>
    </row>
    <row r="3154" ht="15.75" customHeight="1" spans="1:9">
      <c r="A3154" s="49"/>
      <c r="B3154" s="36" t="s">
        <v>4493</v>
      </c>
      <c r="C3154" s="36" t="s">
        <v>4607</v>
      </c>
      <c r="D3154" s="49"/>
      <c r="E3154" s="49"/>
      <c r="F3154" s="49"/>
      <c r="G3154" s="49"/>
      <c r="H3154" s="49"/>
      <c r="I3154" s="49"/>
    </row>
    <row r="3155" ht="15.75" customHeight="1" spans="1:9">
      <c r="A3155" s="49"/>
      <c r="B3155" s="36" t="s">
        <v>4493</v>
      </c>
      <c r="C3155" s="36" t="s">
        <v>4608</v>
      </c>
      <c r="D3155" s="49"/>
      <c r="E3155" s="49"/>
      <c r="F3155" s="49"/>
      <c r="G3155" s="49"/>
      <c r="H3155" s="49"/>
      <c r="I3155" s="49"/>
    </row>
    <row r="3156" ht="15.75" customHeight="1" spans="1:9">
      <c r="A3156" s="49"/>
      <c r="B3156" s="36" t="s">
        <v>4493</v>
      </c>
      <c r="C3156" s="36" t="s">
        <v>4609</v>
      </c>
      <c r="D3156" s="49"/>
      <c r="E3156" s="49"/>
      <c r="F3156" s="49"/>
      <c r="G3156" s="49"/>
      <c r="H3156" s="49"/>
      <c r="I3156" s="49"/>
    </row>
    <row r="3157" ht="15.75" customHeight="1" spans="1:9">
      <c r="A3157" s="49"/>
      <c r="B3157" s="36" t="s">
        <v>4493</v>
      </c>
      <c r="C3157" s="36" t="s">
        <v>4610</v>
      </c>
      <c r="D3157" s="49"/>
      <c r="E3157" s="49"/>
      <c r="F3157" s="49"/>
      <c r="G3157" s="49"/>
      <c r="H3157" s="49"/>
      <c r="I3157" s="49"/>
    </row>
    <row r="3158" ht="15.75" customHeight="1" spans="1:9">
      <c r="A3158" s="49"/>
      <c r="B3158" s="36" t="s">
        <v>4493</v>
      </c>
      <c r="C3158" s="36" t="s">
        <v>4611</v>
      </c>
      <c r="D3158" s="49"/>
      <c r="E3158" s="49"/>
      <c r="F3158" s="49"/>
      <c r="G3158" s="49"/>
      <c r="H3158" s="49"/>
      <c r="I3158" s="49"/>
    </row>
    <row r="3159" ht="15.75" customHeight="1" spans="1:9">
      <c r="A3159" s="49"/>
      <c r="B3159" s="36" t="s">
        <v>4493</v>
      </c>
      <c r="C3159" s="36" t="s">
        <v>4612</v>
      </c>
      <c r="D3159" s="49"/>
      <c r="E3159" s="49"/>
      <c r="F3159" s="49"/>
      <c r="G3159" s="49"/>
      <c r="H3159" s="49"/>
      <c r="I3159" s="49"/>
    </row>
    <row r="3160" ht="15.75" customHeight="1" spans="1:9">
      <c r="A3160" s="49"/>
      <c r="B3160" s="36" t="s">
        <v>4493</v>
      </c>
      <c r="C3160" s="36" t="s">
        <v>147</v>
      </c>
      <c r="D3160" s="49"/>
      <c r="E3160" s="49"/>
      <c r="F3160" s="49"/>
      <c r="G3160" s="49"/>
      <c r="H3160" s="49"/>
      <c r="I3160" s="49"/>
    </row>
    <row r="3161" ht="15.75" customHeight="1" spans="1:9">
      <c r="A3161" s="49"/>
      <c r="B3161" s="36" t="s">
        <v>4493</v>
      </c>
      <c r="C3161" s="36" t="s">
        <v>4613</v>
      </c>
      <c r="D3161" s="49"/>
      <c r="E3161" s="49"/>
      <c r="F3161" s="49"/>
      <c r="G3161" s="49"/>
      <c r="H3161" s="49"/>
      <c r="I3161" s="49"/>
    </row>
    <row r="3162" ht="15.75" customHeight="1" spans="1:9">
      <c r="A3162" s="49"/>
      <c r="B3162" s="36" t="s">
        <v>4493</v>
      </c>
      <c r="C3162" s="36" t="s">
        <v>4614</v>
      </c>
      <c r="D3162" s="49"/>
      <c r="E3162" s="49"/>
      <c r="F3162" s="49"/>
      <c r="G3162" s="49"/>
      <c r="H3162" s="49"/>
      <c r="I3162" s="49"/>
    </row>
    <row r="3163" ht="15.75" customHeight="1" spans="1:9">
      <c r="A3163" s="49"/>
      <c r="B3163" s="36" t="s">
        <v>4493</v>
      </c>
      <c r="C3163" s="36" t="s">
        <v>4615</v>
      </c>
      <c r="D3163" s="49"/>
      <c r="E3163" s="49"/>
      <c r="F3163" s="49"/>
      <c r="G3163" s="49"/>
      <c r="H3163" s="49"/>
      <c r="I3163" s="49"/>
    </row>
    <row r="3164" ht="15.75" customHeight="1" spans="1:9">
      <c r="A3164" s="49"/>
      <c r="B3164" s="36" t="s">
        <v>4493</v>
      </c>
      <c r="C3164" s="36" t="s">
        <v>4616</v>
      </c>
      <c r="D3164" s="49"/>
      <c r="E3164" s="49"/>
      <c r="F3164" s="49"/>
      <c r="G3164" s="49"/>
      <c r="H3164" s="49"/>
      <c r="I3164" s="49"/>
    </row>
    <row r="3165" ht="15.75" customHeight="1" spans="1:9">
      <c r="A3165" s="49"/>
      <c r="B3165" s="36" t="s">
        <v>4493</v>
      </c>
      <c r="C3165" s="36" t="s">
        <v>4617</v>
      </c>
      <c r="D3165" s="49"/>
      <c r="E3165" s="49"/>
      <c r="F3165" s="49"/>
      <c r="G3165" s="49"/>
      <c r="H3165" s="49"/>
      <c r="I3165" s="49"/>
    </row>
    <row r="3166" ht="15.75" customHeight="1" spans="1:9">
      <c r="A3166" s="49"/>
      <c r="B3166" s="36" t="s">
        <v>4493</v>
      </c>
      <c r="C3166" s="36" t="s">
        <v>4618</v>
      </c>
      <c r="D3166" s="49"/>
      <c r="E3166" s="49"/>
      <c r="F3166" s="49"/>
      <c r="G3166" s="49"/>
      <c r="H3166" s="49"/>
      <c r="I3166" s="49"/>
    </row>
    <row r="3167" ht="15.75" customHeight="1" spans="1:9">
      <c r="A3167" s="49"/>
      <c r="B3167" s="36" t="s">
        <v>4493</v>
      </c>
      <c r="C3167" s="36" t="s">
        <v>4619</v>
      </c>
      <c r="D3167" s="49"/>
      <c r="E3167" s="49"/>
      <c r="F3167" s="49"/>
      <c r="G3167" s="49"/>
      <c r="H3167" s="49"/>
      <c r="I3167" s="49"/>
    </row>
    <row r="3168" ht="15.75" customHeight="1" spans="1:9">
      <c r="A3168" s="49"/>
      <c r="B3168" s="36" t="s">
        <v>4493</v>
      </c>
      <c r="C3168" s="36" t="s">
        <v>4620</v>
      </c>
      <c r="D3168" s="49"/>
      <c r="E3168" s="49"/>
      <c r="F3168" s="49"/>
      <c r="G3168" s="49"/>
      <c r="H3168" s="49"/>
      <c r="I3168" s="49"/>
    </row>
    <row r="3169" ht="15.75" customHeight="1" spans="1:9">
      <c r="A3169" s="49"/>
      <c r="B3169" s="36" t="s">
        <v>4493</v>
      </c>
      <c r="C3169" s="36" t="s">
        <v>4621</v>
      </c>
      <c r="D3169" s="49"/>
      <c r="E3169" s="49"/>
      <c r="F3169" s="49"/>
      <c r="G3169" s="49"/>
      <c r="H3169" s="49"/>
      <c r="I3169" s="49"/>
    </row>
    <row r="3170" ht="15.75" customHeight="1" spans="1:9">
      <c r="A3170" s="49"/>
      <c r="B3170" s="36" t="s">
        <v>4493</v>
      </c>
      <c r="C3170" s="36" t="s">
        <v>4622</v>
      </c>
      <c r="D3170" s="49"/>
      <c r="E3170" s="49"/>
      <c r="F3170" s="49"/>
      <c r="G3170" s="49"/>
      <c r="H3170" s="49"/>
      <c r="I3170" s="49"/>
    </row>
    <row r="3171" ht="15.75" customHeight="1" spans="1:9">
      <c r="A3171" s="49"/>
      <c r="B3171" s="36" t="s">
        <v>4493</v>
      </c>
      <c r="C3171" s="36" t="s">
        <v>4623</v>
      </c>
      <c r="D3171" s="49"/>
      <c r="E3171" s="49"/>
      <c r="F3171" s="49"/>
      <c r="G3171" s="49"/>
      <c r="H3171" s="49"/>
      <c r="I3171" s="49"/>
    </row>
    <row r="3172" ht="15.75" customHeight="1" spans="1:9">
      <c r="A3172" s="49"/>
      <c r="B3172" s="36" t="s">
        <v>4493</v>
      </c>
      <c r="C3172" s="36" t="s">
        <v>4624</v>
      </c>
      <c r="D3172" s="49"/>
      <c r="E3172" s="49"/>
      <c r="F3172" s="49"/>
      <c r="G3172" s="49"/>
      <c r="H3172" s="49"/>
      <c r="I3172" s="49"/>
    </row>
    <row r="3173" ht="15.75" customHeight="1" spans="1:9">
      <c r="A3173" s="49"/>
      <c r="B3173" s="36" t="s">
        <v>4493</v>
      </c>
      <c r="C3173" s="36" t="s">
        <v>4625</v>
      </c>
      <c r="D3173" s="49"/>
      <c r="E3173" s="49"/>
      <c r="F3173" s="49"/>
      <c r="G3173" s="49"/>
      <c r="H3173" s="49"/>
      <c r="I3173" s="49"/>
    </row>
    <row r="3174" ht="15.75" customHeight="1" spans="1:9">
      <c r="A3174" s="49"/>
      <c r="B3174" s="36" t="s">
        <v>4493</v>
      </c>
      <c r="C3174" s="36" t="s">
        <v>4626</v>
      </c>
      <c r="D3174" s="49"/>
      <c r="E3174" s="49"/>
      <c r="F3174" s="49"/>
      <c r="G3174" s="49"/>
      <c r="H3174" s="49"/>
      <c r="I3174" s="49"/>
    </row>
    <row r="3175" ht="15.75" customHeight="1" spans="1:9">
      <c r="A3175" s="49"/>
      <c r="B3175" s="36" t="s">
        <v>4627</v>
      </c>
      <c r="C3175" s="36" t="s">
        <v>4628</v>
      </c>
      <c r="D3175" s="49"/>
      <c r="E3175" s="49"/>
      <c r="F3175" s="49"/>
      <c r="G3175" s="49"/>
      <c r="H3175" s="49"/>
      <c r="I3175" s="49"/>
    </row>
    <row r="3176" ht="15.75" customHeight="1" spans="1:9">
      <c r="A3176" s="49"/>
      <c r="B3176" s="36" t="s">
        <v>4627</v>
      </c>
      <c r="C3176" s="36" t="s">
        <v>34</v>
      </c>
      <c r="D3176" s="49"/>
      <c r="E3176" s="49"/>
      <c r="F3176" s="49"/>
      <c r="G3176" s="49"/>
      <c r="H3176" s="49"/>
      <c r="I3176" s="49"/>
    </row>
    <row r="3177" ht="15.75" customHeight="1" spans="1:9">
      <c r="A3177" s="49"/>
      <c r="B3177" s="36" t="s">
        <v>4627</v>
      </c>
      <c r="C3177" s="36" t="s">
        <v>4629</v>
      </c>
      <c r="D3177" s="49"/>
      <c r="E3177" s="49"/>
      <c r="F3177" s="49"/>
      <c r="G3177" s="49"/>
      <c r="H3177" s="49"/>
      <c r="I3177" s="49"/>
    </row>
    <row r="3178" ht="15.75" customHeight="1" spans="1:9">
      <c r="A3178" s="49"/>
      <c r="B3178" s="36" t="s">
        <v>4627</v>
      </c>
      <c r="C3178" s="36" t="s">
        <v>4630</v>
      </c>
      <c r="D3178" s="49"/>
      <c r="E3178" s="49"/>
      <c r="F3178" s="49"/>
      <c r="G3178" s="49"/>
      <c r="H3178" s="49"/>
      <c r="I3178" s="49"/>
    </row>
    <row r="3179" ht="15.75" customHeight="1" spans="1:9">
      <c r="A3179" s="49"/>
      <c r="B3179" s="36" t="s">
        <v>4627</v>
      </c>
      <c r="C3179" s="36" t="s">
        <v>4631</v>
      </c>
      <c r="D3179" s="49"/>
      <c r="E3179" s="49"/>
      <c r="F3179" s="49"/>
      <c r="G3179" s="49"/>
      <c r="H3179" s="49"/>
      <c r="I3179" s="49"/>
    </row>
    <row r="3180" ht="15.75" customHeight="1" spans="1:9">
      <c r="A3180" s="49"/>
      <c r="B3180" s="36" t="s">
        <v>4627</v>
      </c>
      <c r="C3180" s="36" t="s">
        <v>4632</v>
      </c>
      <c r="D3180" s="49"/>
      <c r="E3180" s="49"/>
      <c r="F3180" s="49"/>
      <c r="G3180" s="49"/>
      <c r="H3180" s="49"/>
      <c r="I3180" s="49"/>
    </row>
    <row r="3181" ht="15.75" customHeight="1" spans="1:9">
      <c r="A3181" s="49"/>
      <c r="B3181" s="36" t="s">
        <v>4627</v>
      </c>
      <c r="C3181" s="36" t="s">
        <v>4633</v>
      </c>
      <c r="D3181" s="49"/>
      <c r="E3181" s="49"/>
      <c r="F3181" s="49"/>
      <c r="G3181" s="49"/>
      <c r="H3181" s="49"/>
      <c r="I3181" s="49"/>
    </row>
    <row r="3182" ht="15.75" customHeight="1" spans="1:9">
      <c r="A3182" s="49"/>
      <c r="B3182" s="36" t="s">
        <v>4627</v>
      </c>
      <c r="C3182" s="36" t="s">
        <v>4634</v>
      </c>
      <c r="D3182" s="49"/>
      <c r="E3182" s="49"/>
      <c r="F3182" s="49"/>
      <c r="G3182" s="49"/>
      <c r="H3182" s="49"/>
      <c r="I3182" s="49"/>
    </row>
    <row r="3183" ht="15.75" customHeight="1" spans="1:9">
      <c r="A3183" s="49"/>
      <c r="B3183" s="36" t="s">
        <v>4627</v>
      </c>
      <c r="C3183" s="36" t="s">
        <v>4635</v>
      </c>
      <c r="D3183" s="49"/>
      <c r="E3183" s="49"/>
      <c r="F3183" s="49"/>
      <c r="G3183" s="49"/>
      <c r="H3183" s="49"/>
      <c r="I3183" s="49"/>
    </row>
    <row r="3184" ht="15.75" customHeight="1" spans="1:9">
      <c r="A3184" s="49"/>
      <c r="B3184" s="36" t="s">
        <v>4627</v>
      </c>
      <c r="C3184" s="36" t="s">
        <v>4627</v>
      </c>
      <c r="D3184" s="49"/>
      <c r="E3184" s="49"/>
      <c r="F3184" s="49"/>
      <c r="G3184" s="49"/>
      <c r="H3184" s="49"/>
      <c r="I3184" s="49"/>
    </row>
    <row r="3185" ht="15.75" customHeight="1" spans="1:9">
      <c r="A3185" s="49"/>
      <c r="B3185" s="36" t="s">
        <v>4627</v>
      </c>
      <c r="C3185" s="36" t="s">
        <v>4636</v>
      </c>
      <c r="D3185" s="49"/>
      <c r="E3185" s="49"/>
      <c r="F3185" s="49"/>
      <c r="G3185" s="49"/>
      <c r="H3185" s="49"/>
      <c r="I3185" s="49"/>
    </row>
    <row r="3186" ht="15.75" customHeight="1" spans="1:9">
      <c r="A3186" s="49"/>
      <c r="B3186" s="36" t="s">
        <v>4627</v>
      </c>
      <c r="C3186" s="36" t="s">
        <v>4637</v>
      </c>
      <c r="D3186" s="49"/>
      <c r="E3186" s="49"/>
      <c r="F3186" s="49"/>
      <c r="G3186" s="49"/>
      <c r="H3186" s="49"/>
      <c r="I3186" s="49"/>
    </row>
    <row r="3187" ht="15.75" customHeight="1" spans="1:9">
      <c r="A3187" s="49"/>
      <c r="B3187" s="36" t="s">
        <v>4627</v>
      </c>
      <c r="C3187" s="36" t="s">
        <v>4638</v>
      </c>
      <c r="D3187" s="49"/>
      <c r="E3187" s="49"/>
      <c r="F3187" s="49"/>
      <c r="G3187" s="49"/>
      <c r="H3187" s="49"/>
      <c r="I3187" s="49"/>
    </row>
    <row r="3188" ht="15.75" customHeight="1" spans="1:9">
      <c r="A3188" s="49"/>
      <c r="B3188" s="36" t="s">
        <v>4627</v>
      </c>
      <c r="C3188" s="36" t="s">
        <v>4639</v>
      </c>
      <c r="D3188" s="49"/>
      <c r="E3188" s="49"/>
      <c r="F3188" s="49"/>
      <c r="G3188" s="49"/>
      <c r="H3188" s="49"/>
      <c r="I3188" s="49"/>
    </row>
    <row r="3189" ht="15.75" customHeight="1" spans="1:9">
      <c r="A3189" s="49"/>
      <c r="B3189" s="36" t="s">
        <v>4627</v>
      </c>
      <c r="C3189" s="36" t="s">
        <v>4640</v>
      </c>
      <c r="D3189" s="49"/>
      <c r="E3189" s="49"/>
      <c r="F3189" s="49"/>
      <c r="G3189" s="49"/>
      <c r="H3189" s="49"/>
      <c r="I3189" s="49"/>
    </row>
    <row r="3190" ht="15.75" customHeight="1" spans="1:9">
      <c r="A3190" s="49"/>
      <c r="B3190" s="36" t="s">
        <v>4627</v>
      </c>
      <c r="C3190" s="36" t="s">
        <v>4641</v>
      </c>
      <c r="D3190" s="49"/>
      <c r="E3190" s="49"/>
      <c r="F3190" s="49"/>
      <c r="G3190" s="49"/>
      <c r="H3190" s="49"/>
      <c r="I3190" s="49"/>
    </row>
    <row r="3191" ht="15.75" customHeight="1" spans="1:9">
      <c r="A3191" s="49"/>
      <c r="B3191" s="36" t="s">
        <v>4627</v>
      </c>
      <c r="C3191" s="36" t="s">
        <v>4642</v>
      </c>
      <c r="D3191" s="49"/>
      <c r="E3191" s="49"/>
      <c r="F3191" s="49"/>
      <c r="G3191" s="49"/>
      <c r="H3191" s="49"/>
      <c r="I3191" s="49"/>
    </row>
    <row r="3192" ht="15.75" customHeight="1" spans="1:9">
      <c r="A3192" s="49"/>
      <c r="B3192" s="36" t="s">
        <v>4627</v>
      </c>
      <c r="C3192" s="36" t="s">
        <v>4643</v>
      </c>
      <c r="D3192" s="49"/>
      <c r="E3192" s="49"/>
      <c r="F3192" s="49"/>
      <c r="G3192" s="49"/>
      <c r="H3192" s="49"/>
      <c r="I3192" s="49"/>
    </row>
    <row r="3193" ht="15.75" customHeight="1" spans="1:9">
      <c r="A3193" s="49"/>
      <c r="B3193" s="36" t="s">
        <v>4627</v>
      </c>
      <c r="C3193" s="36" t="s">
        <v>4644</v>
      </c>
      <c r="D3193" s="49"/>
      <c r="E3193" s="49"/>
      <c r="F3193" s="49"/>
      <c r="G3193" s="49"/>
      <c r="H3193" s="49"/>
      <c r="I3193" s="49"/>
    </row>
    <row r="3194" ht="15.75" customHeight="1" spans="1:9">
      <c r="A3194" s="49"/>
      <c r="B3194" s="36" t="s">
        <v>4627</v>
      </c>
      <c r="C3194" s="36" t="s">
        <v>4645</v>
      </c>
      <c r="D3194" s="49"/>
      <c r="E3194" s="49"/>
      <c r="F3194" s="49"/>
      <c r="G3194" s="49"/>
      <c r="H3194" s="49"/>
      <c r="I3194" s="49"/>
    </row>
    <row r="3195" ht="15.75" customHeight="1" spans="1:9">
      <c r="A3195" s="49"/>
      <c r="B3195" s="36" t="s">
        <v>4627</v>
      </c>
      <c r="C3195" s="36" t="s">
        <v>4646</v>
      </c>
      <c r="D3195" s="49"/>
      <c r="E3195" s="49"/>
      <c r="F3195" s="49"/>
      <c r="G3195" s="49"/>
      <c r="H3195" s="49"/>
      <c r="I3195" s="49"/>
    </row>
    <row r="3196" ht="15.75" customHeight="1" spans="1:9">
      <c r="A3196" s="49"/>
      <c r="B3196" s="36" t="s">
        <v>4627</v>
      </c>
      <c r="C3196" s="36" t="s">
        <v>4647</v>
      </c>
      <c r="D3196" s="49"/>
      <c r="E3196" s="49"/>
      <c r="F3196" s="49"/>
      <c r="G3196" s="49"/>
      <c r="H3196" s="49"/>
      <c r="I3196" s="49"/>
    </row>
    <row r="3197" ht="15.75" customHeight="1" spans="1:9">
      <c r="A3197" s="49"/>
      <c r="B3197" s="36" t="s">
        <v>4627</v>
      </c>
      <c r="C3197" s="36" t="s">
        <v>4648</v>
      </c>
      <c r="D3197" s="49"/>
      <c r="E3197" s="49"/>
      <c r="F3197" s="49"/>
      <c r="G3197" s="49"/>
      <c r="H3197" s="49"/>
      <c r="I3197" s="49"/>
    </row>
    <row r="3198" ht="15.75" customHeight="1" spans="1:9">
      <c r="A3198" s="49"/>
      <c r="B3198" s="36" t="s">
        <v>4627</v>
      </c>
      <c r="C3198" s="36" t="s">
        <v>4649</v>
      </c>
      <c r="D3198" s="49"/>
      <c r="E3198" s="49"/>
      <c r="F3198" s="49"/>
      <c r="G3198" s="49"/>
      <c r="H3198" s="49"/>
      <c r="I3198" s="49"/>
    </row>
    <row r="3199" ht="15.75" customHeight="1" spans="1:9">
      <c r="A3199" s="49"/>
      <c r="B3199" s="36" t="s">
        <v>4627</v>
      </c>
      <c r="C3199" s="36" t="s">
        <v>4650</v>
      </c>
      <c r="D3199" s="49"/>
      <c r="E3199" s="49"/>
      <c r="F3199" s="49"/>
      <c r="G3199" s="49"/>
      <c r="H3199" s="49"/>
      <c r="I3199" s="49"/>
    </row>
    <row r="3200" ht="15.75" customHeight="1" spans="1:9">
      <c r="A3200" s="49"/>
      <c r="B3200" s="36" t="s">
        <v>4627</v>
      </c>
      <c r="C3200" s="36" t="s">
        <v>4651</v>
      </c>
      <c r="D3200" s="49"/>
      <c r="E3200" s="49"/>
      <c r="F3200" s="49"/>
      <c r="G3200" s="49"/>
      <c r="H3200" s="49"/>
      <c r="I3200" s="49"/>
    </row>
    <row r="3201" ht="15.75" customHeight="1" spans="1:9">
      <c r="A3201" s="49"/>
      <c r="B3201" s="36" t="s">
        <v>4627</v>
      </c>
      <c r="C3201" s="36" t="s">
        <v>4652</v>
      </c>
      <c r="D3201" s="49"/>
      <c r="E3201" s="49"/>
      <c r="F3201" s="49"/>
      <c r="G3201" s="49"/>
      <c r="H3201" s="49"/>
      <c r="I3201" s="49"/>
    </row>
    <row r="3202" ht="15.75" customHeight="1" spans="1:9">
      <c r="A3202" s="49"/>
      <c r="B3202" s="36" t="s">
        <v>4627</v>
      </c>
      <c r="C3202" s="36" t="s">
        <v>4653</v>
      </c>
      <c r="D3202" s="49"/>
      <c r="E3202" s="49"/>
      <c r="F3202" s="49"/>
      <c r="G3202" s="49"/>
      <c r="H3202" s="49"/>
      <c r="I3202" s="49"/>
    </row>
    <row r="3203" ht="15.75" customHeight="1" spans="1:9">
      <c r="A3203" s="49"/>
      <c r="B3203" s="36" t="s">
        <v>4627</v>
      </c>
      <c r="C3203" s="36" t="s">
        <v>4654</v>
      </c>
      <c r="D3203" s="49"/>
      <c r="E3203" s="49"/>
      <c r="F3203" s="49"/>
      <c r="G3203" s="49"/>
      <c r="H3203" s="49"/>
      <c r="I3203" s="49"/>
    </row>
    <row r="3204" ht="15.75" customHeight="1" spans="1:9">
      <c r="A3204" s="49"/>
      <c r="B3204" s="36" t="s">
        <v>4627</v>
      </c>
      <c r="C3204" s="36" t="s">
        <v>4655</v>
      </c>
      <c r="D3204" s="49"/>
      <c r="E3204" s="49"/>
      <c r="F3204" s="49"/>
      <c r="G3204" s="49"/>
      <c r="H3204" s="49"/>
      <c r="I3204" s="49"/>
    </row>
    <row r="3205" ht="15.75" customHeight="1" spans="1:9">
      <c r="A3205" s="49"/>
      <c r="B3205" s="36" t="s">
        <v>4627</v>
      </c>
      <c r="C3205" s="36" t="s">
        <v>4656</v>
      </c>
      <c r="D3205" s="49"/>
      <c r="E3205" s="49"/>
      <c r="F3205" s="49"/>
      <c r="G3205" s="49"/>
      <c r="H3205" s="49"/>
      <c r="I3205" s="49"/>
    </row>
    <row r="3206" ht="15.75" customHeight="1" spans="1:9">
      <c r="A3206" s="49"/>
      <c r="B3206" s="36" t="s">
        <v>4627</v>
      </c>
      <c r="C3206" s="36" t="s">
        <v>4657</v>
      </c>
      <c r="D3206" s="49"/>
      <c r="E3206" s="49"/>
      <c r="F3206" s="49"/>
      <c r="G3206" s="49"/>
      <c r="H3206" s="49"/>
      <c r="I3206" s="49"/>
    </row>
    <row r="3207" ht="15.75" customHeight="1" spans="1:9">
      <c r="A3207" s="49"/>
      <c r="B3207" s="36" t="s">
        <v>4627</v>
      </c>
      <c r="C3207" s="36" t="s">
        <v>4658</v>
      </c>
      <c r="D3207" s="49"/>
      <c r="E3207" s="49"/>
      <c r="F3207" s="49"/>
      <c r="G3207" s="49"/>
      <c r="H3207" s="49"/>
      <c r="I3207" s="49"/>
    </row>
    <row r="3208" ht="15.75" customHeight="1" spans="1:9">
      <c r="A3208" s="49"/>
      <c r="B3208" s="36" t="s">
        <v>4627</v>
      </c>
      <c r="C3208" s="36" t="s">
        <v>4659</v>
      </c>
      <c r="D3208" s="49"/>
      <c r="E3208" s="49"/>
      <c r="F3208" s="49"/>
      <c r="G3208" s="49"/>
      <c r="H3208" s="49"/>
      <c r="I3208" s="49"/>
    </row>
    <row r="3209" ht="15.75" customHeight="1" spans="1:9">
      <c r="A3209" s="49"/>
      <c r="B3209" s="36" t="s">
        <v>4627</v>
      </c>
      <c r="C3209" s="36" t="s">
        <v>4660</v>
      </c>
      <c r="D3209" s="49"/>
      <c r="E3209" s="49"/>
      <c r="F3209" s="49"/>
      <c r="G3209" s="49"/>
      <c r="H3209" s="49"/>
      <c r="I3209" s="49"/>
    </row>
    <row r="3210" ht="15.75" customHeight="1" spans="1:9">
      <c r="A3210" s="49"/>
      <c r="B3210" s="36" t="s">
        <v>4627</v>
      </c>
      <c r="C3210" s="36" t="s">
        <v>4661</v>
      </c>
      <c r="D3210" s="49"/>
      <c r="E3210" s="49"/>
      <c r="F3210" s="49"/>
      <c r="G3210" s="49"/>
      <c r="H3210" s="49"/>
      <c r="I3210" s="49"/>
    </row>
    <row r="3211" ht="15.75" customHeight="1" spans="1:9">
      <c r="A3211" s="49"/>
      <c r="B3211" s="36" t="s">
        <v>4627</v>
      </c>
      <c r="C3211" s="36" t="s">
        <v>4662</v>
      </c>
      <c r="D3211" s="49"/>
      <c r="E3211" s="49"/>
      <c r="F3211" s="49"/>
      <c r="G3211" s="49"/>
      <c r="H3211" s="49"/>
      <c r="I3211" s="49"/>
    </row>
    <row r="3212" ht="15.75" customHeight="1" spans="1:9">
      <c r="A3212" s="49"/>
      <c r="B3212" s="36" t="s">
        <v>4627</v>
      </c>
      <c r="C3212" s="36" t="s">
        <v>4663</v>
      </c>
      <c r="D3212" s="49"/>
      <c r="E3212" s="49"/>
      <c r="F3212" s="49"/>
      <c r="G3212" s="49"/>
      <c r="H3212" s="49"/>
      <c r="I3212" s="49"/>
    </row>
    <row r="3213" ht="15.75" customHeight="1" spans="1:9">
      <c r="A3213" s="49"/>
      <c r="B3213" s="36" t="s">
        <v>4627</v>
      </c>
      <c r="C3213" s="36" t="s">
        <v>4664</v>
      </c>
      <c r="D3213" s="49"/>
      <c r="E3213" s="49"/>
      <c r="F3213" s="49"/>
      <c r="G3213" s="49"/>
      <c r="H3213" s="49"/>
      <c r="I3213" s="49"/>
    </row>
    <row r="3214" ht="15.75" customHeight="1" spans="1:9">
      <c r="A3214" s="49"/>
      <c r="B3214" s="36" t="s">
        <v>4627</v>
      </c>
      <c r="C3214" s="36" t="s">
        <v>4665</v>
      </c>
      <c r="D3214" s="49"/>
      <c r="E3214" s="49"/>
      <c r="F3214" s="49"/>
      <c r="G3214" s="49"/>
      <c r="H3214" s="49"/>
      <c r="I3214" s="49"/>
    </row>
    <row r="3215" ht="15.75" customHeight="1" spans="1:9">
      <c r="A3215" s="49"/>
      <c r="B3215" s="36" t="s">
        <v>4627</v>
      </c>
      <c r="C3215" s="36" t="s">
        <v>4666</v>
      </c>
      <c r="D3215" s="49"/>
      <c r="E3215" s="49"/>
      <c r="F3215" s="49"/>
      <c r="G3215" s="49"/>
      <c r="H3215" s="49"/>
      <c r="I3215" s="49"/>
    </row>
    <row r="3216" ht="15.75" customHeight="1" spans="1:9">
      <c r="A3216" s="49"/>
      <c r="B3216" s="36" t="s">
        <v>4627</v>
      </c>
      <c r="C3216" s="36" t="s">
        <v>4667</v>
      </c>
      <c r="D3216" s="49"/>
      <c r="E3216" s="49"/>
      <c r="F3216" s="49"/>
      <c r="G3216" s="49"/>
      <c r="H3216" s="49"/>
      <c r="I3216" s="49"/>
    </row>
    <row r="3217" ht="15.75" customHeight="1" spans="1:9">
      <c r="A3217" s="49"/>
      <c r="B3217" s="36" t="s">
        <v>4627</v>
      </c>
      <c r="C3217" s="36" t="s">
        <v>4668</v>
      </c>
      <c r="D3217" s="49"/>
      <c r="E3217" s="49"/>
      <c r="F3217" s="49"/>
      <c r="G3217" s="49"/>
      <c r="H3217" s="49"/>
      <c r="I3217" s="49"/>
    </row>
    <row r="3218" ht="15.75" customHeight="1" spans="1:9">
      <c r="A3218" s="49"/>
      <c r="B3218" s="36" t="s">
        <v>4627</v>
      </c>
      <c r="C3218" s="36" t="s">
        <v>4669</v>
      </c>
      <c r="D3218" s="49"/>
      <c r="E3218" s="49"/>
      <c r="F3218" s="49"/>
      <c r="G3218" s="49"/>
      <c r="H3218" s="49"/>
      <c r="I3218" s="49"/>
    </row>
    <row r="3219" ht="15.75" customHeight="1" spans="1:9">
      <c r="A3219" s="49"/>
      <c r="B3219" s="36" t="s">
        <v>4627</v>
      </c>
      <c r="C3219" s="36" t="s">
        <v>4670</v>
      </c>
      <c r="D3219" s="49"/>
      <c r="E3219" s="49"/>
      <c r="F3219" s="49"/>
      <c r="G3219" s="49"/>
      <c r="H3219" s="49"/>
      <c r="I3219" s="49"/>
    </row>
    <row r="3220" ht="15.75" customHeight="1" spans="1:9">
      <c r="A3220" s="49"/>
      <c r="B3220" s="36" t="s">
        <v>4627</v>
      </c>
      <c r="C3220" s="36" t="s">
        <v>4671</v>
      </c>
      <c r="D3220" s="49"/>
      <c r="E3220" s="49"/>
      <c r="F3220" s="49"/>
      <c r="G3220" s="49"/>
      <c r="H3220" s="49"/>
      <c r="I3220" s="49"/>
    </row>
    <row r="3221" ht="15.75" customHeight="1" spans="1:9">
      <c r="A3221" s="49"/>
      <c r="B3221" s="36" t="s">
        <v>4627</v>
      </c>
      <c r="C3221" s="36" t="s">
        <v>4672</v>
      </c>
      <c r="D3221" s="49"/>
      <c r="E3221" s="49"/>
      <c r="F3221" s="49"/>
      <c r="G3221" s="49"/>
      <c r="H3221" s="49"/>
      <c r="I3221" s="49"/>
    </row>
    <row r="3222" ht="15.75" customHeight="1" spans="1:9">
      <c r="A3222" s="49"/>
      <c r="B3222" s="36" t="s">
        <v>4627</v>
      </c>
      <c r="C3222" s="36" t="s">
        <v>4673</v>
      </c>
      <c r="D3222" s="49"/>
      <c r="E3222" s="49"/>
      <c r="F3222" s="49"/>
      <c r="G3222" s="49"/>
      <c r="H3222" s="49"/>
      <c r="I3222" s="49"/>
    </row>
    <row r="3223" ht="15.75" customHeight="1" spans="1:9">
      <c r="A3223" s="49"/>
      <c r="B3223" s="36" t="s">
        <v>4627</v>
      </c>
      <c r="C3223" s="36" t="s">
        <v>4674</v>
      </c>
      <c r="D3223" s="49"/>
      <c r="E3223" s="49"/>
      <c r="F3223" s="49"/>
      <c r="G3223" s="49"/>
      <c r="H3223" s="49"/>
      <c r="I3223" s="49"/>
    </row>
    <row r="3224" ht="15.75" customHeight="1" spans="1:9">
      <c r="A3224" s="49"/>
      <c r="B3224" s="36" t="s">
        <v>4627</v>
      </c>
      <c r="C3224" s="36" t="s">
        <v>4675</v>
      </c>
      <c r="D3224" s="49"/>
      <c r="E3224" s="49"/>
      <c r="F3224" s="49"/>
      <c r="G3224" s="49"/>
      <c r="H3224" s="49"/>
      <c r="I3224" s="49"/>
    </row>
    <row r="3225" ht="15.75" customHeight="1" spans="1:9">
      <c r="A3225" s="49"/>
      <c r="B3225" s="36" t="s">
        <v>4627</v>
      </c>
      <c r="C3225" s="36" t="s">
        <v>4676</v>
      </c>
      <c r="D3225" s="49"/>
      <c r="E3225" s="49"/>
      <c r="F3225" s="49"/>
      <c r="G3225" s="49"/>
      <c r="H3225" s="49"/>
      <c r="I3225" s="49"/>
    </row>
    <row r="3226" ht="15.75" customHeight="1" spans="1:9">
      <c r="A3226" s="49"/>
      <c r="B3226" s="36" t="s">
        <v>4627</v>
      </c>
      <c r="C3226" s="36" t="s">
        <v>4677</v>
      </c>
      <c r="D3226" s="49"/>
      <c r="E3226" s="49"/>
      <c r="F3226" s="49"/>
      <c r="G3226" s="49"/>
      <c r="H3226" s="49"/>
      <c r="I3226" s="49"/>
    </row>
    <row r="3227" ht="15.75" customHeight="1" spans="1:9">
      <c r="A3227" s="49"/>
      <c r="B3227" s="36" t="s">
        <v>4627</v>
      </c>
      <c r="C3227" s="36" t="s">
        <v>4678</v>
      </c>
      <c r="D3227" s="49"/>
      <c r="E3227" s="49"/>
      <c r="F3227" s="49"/>
      <c r="G3227" s="49"/>
      <c r="H3227" s="49"/>
      <c r="I3227" s="49"/>
    </row>
    <row r="3228" ht="15.75" customHeight="1" spans="1:9">
      <c r="A3228" s="49"/>
      <c r="B3228" s="36" t="s">
        <v>4627</v>
      </c>
      <c r="C3228" s="36" t="s">
        <v>4679</v>
      </c>
      <c r="D3228" s="49"/>
      <c r="E3228" s="49"/>
      <c r="F3228" s="49"/>
      <c r="G3228" s="49"/>
      <c r="H3228" s="49"/>
      <c r="I3228" s="49"/>
    </row>
    <row r="3229" ht="15.75" customHeight="1" spans="1:9">
      <c r="A3229" s="49"/>
      <c r="B3229" s="36" t="s">
        <v>4627</v>
      </c>
      <c r="C3229" s="36" t="s">
        <v>4680</v>
      </c>
      <c r="D3229" s="49"/>
      <c r="E3229" s="49"/>
      <c r="F3229" s="49"/>
      <c r="G3229" s="49"/>
      <c r="H3229" s="49"/>
      <c r="I3229" s="49"/>
    </row>
    <row r="3230" ht="15.75" customHeight="1" spans="1:9">
      <c r="A3230" s="49"/>
      <c r="B3230" s="36" t="s">
        <v>4627</v>
      </c>
      <c r="C3230" s="36" t="s">
        <v>4681</v>
      </c>
      <c r="D3230" s="49"/>
      <c r="E3230" s="49"/>
      <c r="F3230" s="49"/>
      <c r="G3230" s="49"/>
      <c r="H3230" s="49"/>
      <c r="I3230" s="49"/>
    </row>
    <row r="3231" ht="15.75" customHeight="1" spans="1:9">
      <c r="A3231" s="49"/>
      <c r="B3231" s="36" t="s">
        <v>4627</v>
      </c>
      <c r="C3231" s="36" t="s">
        <v>4682</v>
      </c>
      <c r="D3231" s="49"/>
      <c r="E3231" s="49"/>
      <c r="F3231" s="49"/>
      <c r="G3231" s="49"/>
      <c r="H3231" s="49"/>
      <c r="I3231" s="49"/>
    </row>
    <row r="3232" ht="15.75" customHeight="1" spans="1:9">
      <c r="A3232" s="49"/>
      <c r="B3232" s="36" t="s">
        <v>4627</v>
      </c>
      <c r="C3232" s="36" t="s">
        <v>4683</v>
      </c>
      <c r="D3232" s="49"/>
      <c r="E3232" s="49"/>
      <c r="F3232" s="49"/>
      <c r="G3232" s="49"/>
      <c r="H3232" s="49"/>
      <c r="I3232" s="49"/>
    </row>
    <row r="3233" ht="15.75" customHeight="1" spans="1:9">
      <c r="A3233" s="49"/>
      <c r="B3233" s="36" t="s">
        <v>4627</v>
      </c>
      <c r="C3233" s="36" t="s">
        <v>4684</v>
      </c>
      <c r="D3233" s="49"/>
      <c r="E3233" s="49"/>
      <c r="F3233" s="49"/>
      <c r="G3233" s="49"/>
      <c r="H3233" s="49"/>
      <c r="I3233" s="49"/>
    </row>
    <row r="3234" ht="15.75" customHeight="1" spans="1:9">
      <c r="A3234" s="49"/>
      <c r="B3234" s="36" t="s">
        <v>4627</v>
      </c>
      <c r="C3234" s="36" t="s">
        <v>4685</v>
      </c>
      <c r="D3234" s="49"/>
      <c r="E3234" s="49"/>
      <c r="F3234" s="49"/>
      <c r="G3234" s="49"/>
      <c r="H3234" s="49"/>
      <c r="I3234" s="49"/>
    </row>
    <row r="3235" ht="15.75" customHeight="1" spans="1:9">
      <c r="A3235" s="49"/>
      <c r="B3235" s="36" t="s">
        <v>4627</v>
      </c>
      <c r="C3235" s="36" t="s">
        <v>4686</v>
      </c>
      <c r="D3235" s="49"/>
      <c r="E3235" s="49"/>
      <c r="F3235" s="49"/>
      <c r="G3235" s="49"/>
      <c r="H3235" s="49"/>
      <c r="I3235" s="49"/>
    </row>
    <row r="3236" ht="15.75" customHeight="1" spans="1:9">
      <c r="A3236" s="49"/>
      <c r="B3236" s="36" t="s">
        <v>4627</v>
      </c>
      <c r="C3236" s="36" t="s">
        <v>4687</v>
      </c>
      <c r="D3236" s="49"/>
      <c r="E3236" s="49"/>
      <c r="F3236" s="49"/>
      <c r="G3236" s="49"/>
      <c r="H3236" s="49"/>
      <c r="I3236" s="49"/>
    </row>
    <row r="3237" ht="15.75" customHeight="1" spans="1:9">
      <c r="A3237" s="49"/>
      <c r="B3237" s="36" t="s">
        <v>4627</v>
      </c>
      <c r="C3237" s="36" t="s">
        <v>4688</v>
      </c>
      <c r="D3237" s="49"/>
      <c r="E3237" s="49"/>
      <c r="F3237" s="49"/>
      <c r="G3237" s="49"/>
      <c r="H3237" s="49"/>
      <c r="I3237" s="49"/>
    </row>
    <row r="3238" ht="15.75" customHeight="1" spans="1:9">
      <c r="A3238" s="49"/>
      <c r="B3238" s="36" t="s">
        <v>4627</v>
      </c>
      <c r="C3238" s="36" t="s">
        <v>4689</v>
      </c>
      <c r="D3238" s="49"/>
      <c r="E3238" s="49"/>
      <c r="F3238" s="49"/>
      <c r="G3238" s="49"/>
      <c r="H3238" s="49"/>
      <c r="I3238" s="49"/>
    </row>
    <row r="3239" ht="15.75" customHeight="1" spans="1:9">
      <c r="A3239" s="49"/>
      <c r="B3239" s="36" t="s">
        <v>4627</v>
      </c>
      <c r="C3239" s="36" t="s">
        <v>4690</v>
      </c>
      <c r="D3239" s="49"/>
      <c r="E3239" s="49"/>
      <c r="F3239" s="49"/>
      <c r="G3239" s="49"/>
      <c r="H3239" s="49"/>
      <c r="I3239" s="49"/>
    </row>
    <row r="3240" ht="15.75" customHeight="1" spans="1:9">
      <c r="A3240" s="49"/>
      <c r="B3240" s="36" t="s">
        <v>4627</v>
      </c>
      <c r="C3240" s="36" t="s">
        <v>4691</v>
      </c>
      <c r="D3240" s="49"/>
      <c r="E3240" s="49"/>
      <c r="F3240" s="49"/>
      <c r="G3240" s="49"/>
      <c r="H3240" s="49"/>
      <c r="I3240" s="49"/>
    </row>
    <row r="3241" ht="15.75" customHeight="1" spans="1:9">
      <c r="A3241" s="49"/>
      <c r="B3241" s="36" t="s">
        <v>4627</v>
      </c>
      <c r="C3241" s="36" t="s">
        <v>4692</v>
      </c>
      <c r="D3241" s="49"/>
      <c r="E3241" s="49"/>
      <c r="F3241" s="49"/>
      <c r="G3241" s="49"/>
      <c r="H3241" s="49"/>
      <c r="I3241" s="49"/>
    </row>
    <row r="3242" ht="15.75" customHeight="1" spans="1:9">
      <c r="A3242" s="49"/>
      <c r="B3242" s="36" t="s">
        <v>4627</v>
      </c>
      <c r="C3242" s="36" t="s">
        <v>4693</v>
      </c>
      <c r="D3242" s="49"/>
      <c r="E3242" s="49"/>
      <c r="F3242" s="49"/>
      <c r="G3242" s="49"/>
      <c r="H3242" s="49"/>
      <c r="I3242" s="49"/>
    </row>
    <row r="3243" ht="15.75" customHeight="1" spans="1:9">
      <c r="A3243" s="49"/>
      <c r="B3243" s="36" t="s">
        <v>4627</v>
      </c>
      <c r="C3243" s="36" t="s">
        <v>4694</v>
      </c>
      <c r="D3243" s="49"/>
      <c r="E3243" s="49"/>
      <c r="F3243" s="49"/>
      <c r="G3243" s="49"/>
      <c r="H3243" s="49"/>
      <c r="I3243" s="49"/>
    </row>
    <row r="3244" ht="15.75" customHeight="1" spans="1:9">
      <c r="A3244" s="49"/>
      <c r="B3244" s="36" t="s">
        <v>4627</v>
      </c>
      <c r="C3244" s="36" t="s">
        <v>4695</v>
      </c>
      <c r="D3244" s="49"/>
      <c r="E3244" s="49"/>
      <c r="F3244" s="49"/>
      <c r="G3244" s="49"/>
      <c r="H3244" s="49"/>
      <c r="I3244" s="49"/>
    </row>
    <row r="3245" ht="15.75" customHeight="1" spans="1:9">
      <c r="A3245" s="49"/>
      <c r="B3245" s="36" t="s">
        <v>4627</v>
      </c>
      <c r="C3245" s="36" t="s">
        <v>4696</v>
      </c>
      <c r="D3245" s="49"/>
      <c r="E3245" s="49"/>
      <c r="F3245" s="49"/>
      <c r="G3245" s="49"/>
      <c r="H3245" s="49"/>
      <c r="I3245" s="49"/>
    </row>
    <row r="3246" ht="15.75" customHeight="1" spans="1:9">
      <c r="A3246" s="49"/>
      <c r="B3246" s="36" t="s">
        <v>4627</v>
      </c>
      <c r="C3246" s="36" t="s">
        <v>4697</v>
      </c>
      <c r="D3246" s="49"/>
      <c r="E3246" s="49"/>
      <c r="F3246" s="49"/>
      <c r="G3246" s="49"/>
      <c r="H3246" s="49"/>
      <c r="I3246" s="49"/>
    </row>
    <row r="3247" ht="15.75" customHeight="1" spans="1:9">
      <c r="A3247" s="49"/>
      <c r="B3247" s="36" t="s">
        <v>4627</v>
      </c>
      <c r="C3247" s="36" t="s">
        <v>4698</v>
      </c>
      <c r="D3247" s="49"/>
      <c r="E3247" s="49"/>
      <c r="F3247" s="49"/>
      <c r="G3247" s="49"/>
      <c r="H3247" s="49"/>
      <c r="I3247" s="49"/>
    </row>
    <row r="3248" ht="15.75" customHeight="1" spans="1:9">
      <c r="A3248" s="49"/>
      <c r="B3248" s="36" t="s">
        <v>4627</v>
      </c>
      <c r="C3248" s="36" t="s">
        <v>4699</v>
      </c>
      <c r="D3248" s="49"/>
      <c r="E3248" s="49"/>
      <c r="F3248" s="49"/>
      <c r="G3248" s="49"/>
      <c r="H3248" s="49"/>
      <c r="I3248" s="49"/>
    </row>
    <row r="3249" ht="15.75" customHeight="1" spans="1:9">
      <c r="A3249" s="49"/>
      <c r="B3249" s="36" t="s">
        <v>4627</v>
      </c>
      <c r="C3249" s="36" t="s">
        <v>4700</v>
      </c>
      <c r="D3249" s="49"/>
      <c r="E3249" s="49"/>
      <c r="F3249" s="49"/>
      <c r="G3249" s="49"/>
      <c r="H3249" s="49"/>
      <c r="I3249" s="49"/>
    </row>
    <row r="3250" ht="15.75" customHeight="1" spans="1:9">
      <c r="A3250" s="49"/>
      <c r="B3250" s="36" t="s">
        <v>4627</v>
      </c>
      <c r="C3250" s="36" t="s">
        <v>4701</v>
      </c>
      <c r="D3250" s="49"/>
      <c r="E3250" s="49"/>
      <c r="F3250" s="49"/>
      <c r="G3250" s="49"/>
      <c r="H3250" s="49"/>
      <c r="I3250" s="49"/>
    </row>
    <row r="3251" ht="15.75" customHeight="1" spans="1:9">
      <c r="A3251" s="49"/>
      <c r="B3251" s="36" t="s">
        <v>4627</v>
      </c>
      <c r="C3251" s="36" t="s">
        <v>4702</v>
      </c>
      <c r="D3251" s="49"/>
      <c r="E3251" s="49"/>
      <c r="F3251" s="49"/>
      <c r="G3251" s="49"/>
      <c r="H3251" s="49"/>
      <c r="I3251" s="49"/>
    </row>
    <row r="3252" ht="15.75" customHeight="1" spans="1:9">
      <c r="A3252" s="49"/>
      <c r="B3252" s="36" t="s">
        <v>4627</v>
      </c>
      <c r="C3252" s="36" t="s">
        <v>4703</v>
      </c>
      <c r="D3252" s="49"/>
      <c r="E3252" s="49"/>
      <c r="F3252" s="49"/>
      <c r="G3252" s="49"/>
      <c r="H3252" s="49"/>
      <c r="I3252" s="49"/>
    </row>
    <row r="3253" ht="15.75" customHeight="1" spans="1:9">
      <c r="A3253" s="49"/>
      <c r="B3253" s="36" t="s">
        <v>4627</v>
      </c>
      <c r="C3253" s="36" t="s">
        <v>4704</v>
      </c>
      <c r="D3253" s="49"/>
      <c r="E3253" s="49"/>
      <c r="F3253" s="49"/>
      <c r="G3253" s="49"/>
      <c r="H3253" s="49"/>
      <c r="I3253" s="49"/>
    </row>
    <row r="3254" ht="15.75" customHeight="1" spans="1:9">
      <c r="A3254" s="49"/>
      <c r="B3254" s="36" t="s">
        <v>4627</v>
      </c>
      <c r="C3254" s="36" t="s">
        <v>4705</v>
      </c>
      <c r="D3254" s="49"/>
      <c r="E3254" s="49"/>
      <c r="F3254" s="49"/>
      <c r="G3254" s="49"/>
      <c r="H3254" s="49"/>
      <c r="I3254" s="49"/>
    </row>
    <row r="3255" ht="15.75" customHeight="1" spans="1:9">
      <c r="A3255" s="49"/>
      <c r="B3255" s="36" t="s">
        <v>4627</v>
      </c>
      <c r="C3255" s="36" t="s">
        <v>4706</v>
      </c>
      <c r="D3255" s="49"/>
      <c r="E3255" s="49"/>
      <c r="F3255" s="49"/>
      <c r="G3255" s="49"/>
      <c r="H3255" s="49"/>
      <c r="I3255" s="49"/>
    </row>
    <row r="3256" ht="15.75" customHeight="1" spans="1:9">
      <c r="A3256" s="49"/>
      <c r="B3256" s="36" t="s">
        <v>4627</v>
      </c>
      <c r="C3256" s="36" t="s">
        <v>4707</v>
      </c>
      <c r="D3256" s="49"/>
      <c r="E3256" s="49"/>
      <c r="F3256" s="49"/>
      <c r="G3256" s="49"/>
      <c r="H3256" s="49"/>
      <c r="I3256" s="49"/>
    </row>
    <row r="3257" ht="15.75" customHeight="1" spans="1:9">
      <c r="A3257" s="49"/>
      <c r="B3257" s="36" t="s">
        <v>4627</v>
      </c>
      <c r="C3257" s="36" t="s">
        <v>4708</v>
      </c>
      <c r="D3257" s="49"/>
      <c r="E3257" s="49"/>
      <c r="F3257" s="49"/>
      <c r="G3257" s="49"/>
      <c r="H3257" s="49"/>
      <c r="I3257" s="49"/>
    </row>
    <row r="3258" ht="15.75" customHeight="1" spans="1:9">
      <c r="A3258" s="49"/>
      <c r="B3258" s="36" t="s">
        <v>4627</v>
      </c>
      <c r="C3258" s="36" t="s">
        <v>4709</v>
      </c>
      <c r="D3258" s="49"/>
      <c r="E3258" s="49"/>
      <c r="F3258" s="49"/>
      <c r="G3258" s="49"/>
      <c r="H3258" s="49"/>
      <c r="I3258" s="49"/>
    </row>
    <row r="3259" ht="15.75" customHeight="1" spans="1:9">
      <c r="A3259" s="49"/>
      <c r="B3259" s="36" t="s">
        <v>4627</v>
      </c>
      <c r="C3259" s="36" t="s">
        <v>4710</v>
      </c>
      <c r="D3259" s="49"/>
      <c r="E3259" s="49"/>
      <c r="F3259" s="49"/>
      <c r="G3259" s="49"/>
      <c r="H3259" s="49"/>
      <c r="I3259" s="49"/>
    </row>
    <row r="3260" ht="15.75" customHeight="1" spans="1:9">
      <c r="A3260" s="49"/>
      <c r="B3260" s="36" t="s">
        <v>4627</v>
      </c>
      <c r="C3260" s="36" t="s">
        <v>4711</v>
      </c>
      <c r="D3260" s="49"/>
      <c r="E3260" s="49"/>
      <c r="F3260" s="49"/>
      <c r="G3260" s="49"/>
      <c r="H3260" s="49"/>
      <c r="I3260" s="49"/>
    </row>
    <row r="3261" ht="15.75" customHeight="1" spans="1:9">
      <c r="A3261" s="49"/>
      <c r="B3261" s="36" t="s">
        <v>4627</v>
      </c>
      <c r="C3261" s="36" t="s">
        <v>4712</v>
      </c>
      <c r="D3261" s="49"/>
      <c r="E3261" s="49"/>
      <c r="F3261" s="49"/>
      <c r="G3261" s="49"/>
      <c r="H3261" s="49"/>
      <c r="I3261" s="49"/>
    </row>
    <row r="3262" ht="15.75" customHeight="1" spans="1:9">
      <c r="A3262" s="49"/>
      <c r="B3262" s="36" t="s">
        <v>4627</v>
      </c>
      <c r="C3262" s="36" t="s">
        <v>4713</v>
      </c>
      <c r="D3262" s="49"/>
      <c r="E3262" s="49"/>
      <c r="F3262" s="49"/>
      <c r="G3262" s="49"/>
      <c r="H3262" s="49"/>
      <c r="I3262" s="49"/>
    </row>
    <row r="3263" ht="15.75" customHeight="1" spans="1:9">
      <c r="A3263" s="49"/>
      <c r="B3263" s="36" t="s">
        <v>4627</v>
      </c>
      <c r="C3263" s="36" t="s">
        <v>4714</v>
      </c>
      <c r="D3263" s="49"/>
      <c r="E3263" s="49"/>
      <c r="F3263" s="49"/>
      <c r="G3263" s="49"/>
      <c r="H3263" s="49"/>
      <c r="I3263" s="49"/>
    </row>
    <row r="3264" ht="15.75" customHeight="1" spans="1:9">
      <c r="A3264" s="49"/>
      <c r="B3264" s="36" t="s">
        <v>4627</v>
      </c>
      <c r="C3264" s="36" t="s">
        <v>4715</v>
      </c>
      <c r="D3264" s="49"/>
      <c r="E3264" s="49"/>
      <c r="F3264" s="49"/>
      <c r="G3264" s="49"/>
      <c r="H3264" s="49"/>
      <c r="I3264" s="49"/>
    </row>
    <row r="3265" ht="15.75" customHeight="1" spans="1:9">
      <c r="A3265" s="49"/>
      <c r="B3265" s="36" t="s">
        <v>4627</v>
      </c>
      <c r="C3265" s="36" t="s">
        <v>4716</v>
      </c>
      <c r="D3265" s="49"/>
      <c r="E3265" s="49"/>
      <c r="F3265" s="49"/>
      <c r="G3265" s="49"/>
      <c r="H3265" s="49"/>
      <c r="I3265" s="49"/>
    </row>
    <row r="3266" ht="15.75" customHeight="1" spans="1:9">
      <c r="A3266" s="49"/>
      <c r="B3266" s="36" t="s">
        <v>4627</v>
      </c>
      <c r="C3266" s="36" t="s">
        <v>4717</v>
      </c>
      <c r="D3266" s="49"/>
      <c r="E3266" s="49"/>
      <c r="F3266" s="49"/>
      <c r="G3266" s="49"/>
      <c r="H3266" s="49"/>
      <c r="I3266" s="49"/>
    </row>
    <row r="3267" ht="15.75" customHeight="1" spans="1:9">
      <c r="A3267" s="49"/>
      <c r="B3267" s="36" t="s">
        <v>4627</v>
      </c>
      <c r="C3267" s="36" t="s">
        <v>4718</v>
      </c>
      <c r="D3267" s="49"/>
      <c r="E3267" s="49"/>
      <c r="F3267" s="49"/>
      <c r="G3267" s="49"/>
      <c r="H3267" s="49"/>
      <c r="I3267" s="49"/>
    </row>
    <row r="3268" ht="15.75" customHeight="1" spans="1:9">
      <c r="A3268" s="49"/>
      <c r="B3268" s="36" t="s">
        <v>4627</v>
      </c>
      <c r="C3268" s="36" t="s">
        <v>4719</v>
      </c>
      <c r="D3268" s="49"/>
      <c r="E3268" s="49"/>
      <c r="F3268" s="49"/>
      <c r="G3268" s="49"/>
      <c r="H3268" s="49"/>
      <c r="I3268" s="49"/>
    </row>
    <row r="3269" ht="15.75" customHeight="1" spans="1:9">
      <c r="A3269" s="49"/>
      <c r="B3269" s="36" t="s">
        <v>4627</v>
      </c>
      <c r="C3269" s="36" t="s">
        <v>4720</v>
      </c>
      <c r="D3269" s="49"/>
      <c r="E3269" s="49"/>
      <c r="F3269" s="49"/>
      <c r="G3269" s="49"/>
      <c r="H3269" s="49"/>
      <c r="I3269" s="49"/>
    </row>
    <row r="3270" ht="15.75" customHeight="1" spans="1:9">
      <c r="A3270" s="49"/>
      <c r="B3270" s="36" t="s">
        <v>4627</v>
      </c>
      <c r="C3270" s="36" t="s">
        <v>4721</v>
      </c>
      <c r="D3270" s="49"/>
      <c r="E3270" s="49"/>
      <c r="F3270" s="49"/>
      <c r="G3270" s="49"/>
      <c r="H3270" s="49"/>
      <c r="I3270" s="49"/>
    </row>
    <row r="3271" ht="15.75" customHeight="1" spans="1:9">
      <c r="A3271" s="49"/>
      <c r="B3271" s="36" t="s">
        <v>4722</v>
      </c>
      <c r="C3271" s="36" t="s">
        <v>4723</v>
      </c>
      <c r="D3271" s="49"/>
      <c r="E3271" s="49"/>
      <c r="F3271" s="49"/>
      <c r="G3271" s="49"/>
      <c r="H3271" s="49"/>
      <c r="I3271" s="49"/>
    </row>
    <row r="3272" ht="15.75" customHeight="1" spans="1:9">
      <c r="A3272" s="49"/>
      <c r="B3272" s="36" t="s">
        <v>4722</v>
      </c>
      <c r="C3272" s="36" t="s">
        <v>4724</v>
      </c>
      <c r="D3272" s="49"/>
      <c r="E3272" s="49"/>
      <c r="F3272" s="49"/>
      <c r="G3272" s="49"/>
      <c r="H3272" s="49"/>
      <c r="I3272" s="49"/>
    </row>
    <row r="3273" ht="15.75" customHeight="1" spans="1:9">
      <c r="A3273" s="49"/>
      <c r="B3273" s="36" t="s">
        <v>4722</v>
      </c>
      <c r="C3273" s="36" t="s">
        <v>4722</v>
      </c>
      <c r="D3273" s="49"/>
      <c r="E3273" s="49"/>
      <c r="F3273" s="49"/>
      <c r="G3273" s="49"/>
      <c r="H3273" s="49"/>
      <c r="I3273" s="49"/>
    </row>
    <row r="3274" ht="15.75" customHeight="1" spans="1:9">
      <c r="A3274" s="49"/>
      <c r="B3274" s="36" t="s">
        <v>4722</v>
      </c>
      <c r="C3274" s="36" t="s">
        <v>4725</v>
      </c>
      <c r="D3274" s="49"/>
      <c r="E3274" s="49"/>
      <c r="F3274" s="49"/>
      <c r="G3274" s="49"/>
      <c r="H3274" s="49"/>
      <c r="I3274" s="49"/>
    </row>
    <row r="3275" ht="15.75" customHeight="1" spans="1:9">
      <c r="A3275" s="49"/>
      <c r="B3275" s="36" t="s">
        <v>4722</v>
      </c>
      <c r="C3275" s="36" t="s">
        <v>4726</v>
      </c>
      <c r="D3275" s="49"/>
      <c r="E3275" s="49"/>
      <c r="F3275" s="49"/>
      <c r="G3275" s="49"/>
      <c r="H3275" s="49"/>
      <c r="I3275" s="49"/>
    </row>
    <row r="3276" ht="15.75" customHeight="1" spans="1:9">
      <c r="A3276" s="49"/>
      <c r="B3276" s="36" t="s">
        <v>4722</v>
      </c>
      <c r="C3276" s="36" t="s">
        <v>4727</v>
      </c>
      <c r="D3276" s="49"/>
      <c r="E3276" s="49"/>
      <c r="F3276" s="49"/>
      <c r="G3276" s="49"/>
      <c r="H3276" s="49"/>
      <c r="I3276" s="49"/>
    </row>
    <row r="3277" ht="15.75" customHeight="1" spans="1:9">
      <c r="A3277" s="49"/>
      <c r="B3277" s="36" t="s">
        <v>4722</v>
      </c>
      <c r="C3277" s="36" t="s">
        <v>4728</v>
      </c>
      <c r="D3277" s="49"/>
      <c r="E3277" s="49"/>
      <c r="F3277" s="49"/>
      <c r="G3277" s="49"/>
      <c r="H3277" s="49"/>
      <c r="I3277" s="49"/>
    </row>
    <row r="3278" ht="15.75" customHeight="1" spans="1:9">
      <c r="A3278" s="49"/>
      <c r="B3278" s="36" t="s">
        <v>4722</v>
      </c>
      <c r="C3278" s="36" t="s">
        <v>4729</v>
      </c>
      <c r="D3278" s="49"/>
      <c r="E3278" s="49"/>
      <c r="F3278" s="49"/>
      <c r="G3278" s="49"/>
      <c r="H3278" s="49"/>
      <c r="I3278" s="49"/>
    </row>
    <row r="3279" ht="15.75" customHeight="1" spans="1:9">
      <c r="A3279" s="49"/>
      <c r="B3279" s="36" t="s">
        <v>4722</v>
      </c>
      <c r="C3279" s="36" t="s">
        <v>4730</v>
      </c>
      <c r="D3279" s="49"/>
      <c r="E3279" s="49"/>
      <c r="F3279" s="49"/>
      <c r="G3279" s="49"/>
      <c r="H3279" s="49"/>
      <c r="I3279" s="49"/>
    </row>
    <row r="3280" ht="15.75" customHeight="1" spans="1:9">
      <c r="A3280" s="49"/>
      <c r="B3280" s="36" t="s">
        <v>4722</v>
      </c>
      <c r="C3280" s="36" t="s">
        <v>4595</v>
      </c>
      <c r="D3280" s="49"/>
      <c r="E3280" s="49"/>
      <c r="F3280" s="49"/>
      <c r="G3280" s="49"/>
      <c r="H3280" s="49"/>
      <c r="I3280" s="49"/>
    </row>
    <row r="3281" ht="15.75" customHeight="1" spans="1:9">
      <c r="A3281" s="49"/>
      <c r="B3281" s="36" t="s">
        <v>4722</v>
      </c>
      <c r="C3281" s="36" t="s">
        <v>4731</v>
      </c>
      <c r="D3281" s="49"/>
      <c r="E3281" s="49"/>
      <c r="F3281" s="49"/>
      <c r="G3281" s="49"/>
      <c r="H3281" s="49"/>
      <c r="I3281" s="49"/>
    </row>
    <row r="3282" ht="15.75" customHeight="1" spans="1:9">
      <c r="A3282" s="49"/>
      <c r="B3282" s="36" t="s">
        <v>4722</v>
      </c>
      <c r="C3282" s="36" t="s">
        <v>4732</v>
      </c>
      <c r="D3282" s="49"/>
      <c r="E3282" s="49"/>
      <c r="F3282" s="49"/>
      <c r="G3282" s="49"/>
      <c r="H3282" s="49"/>
      <c r="I3282" s="49"/>
    </row>
    <row r="3283" ht="15.75" customHeight="1" spans="1:9">
      <c r="A3283" s="49"/>
      <c r="B3283" s="36" t="s">
        <v>4722</v>
      </c>
      <c r="C3283" s="36" t="s">
        <v>4733</v>
      </c>
      <c r="D3283" s="49"/>
      <c r="E3283" s="49"/>
      <c r="F3283" s="49"/>
      <c r="G3283" s="49"/>
      <c r="H3283" s="49"/>
      <c r="I3283" s="49"/>
    </row>
    <row r="3284" ht="15.75" customHeight="1" spans="1:9">
      <c r="A3284" s="49"/>
      <c r="B3284" s="36" t="s">
        <v>4722</v>
      </c>
      <c r="C3284" s="36" t="s">
        <v>4734</v>
      </c>
      <c r="D3284" s="49"/>
      <c r="E3284" s="49"/>
      <c r="F3284" s="49"/>
      <c r="G3284" s="49"/>
      <c r="H3284" s="49"/>
      <c r="I3284" s="49"/>
    </row>
    <row r="3285" ht="15.75" customHeight="1" spans="1:9">
      <c r="A3285" s="49"/>
      <c r="B3285" s="36" t="s">
        <v>4722</v>
      </c>
      <c r="C3285" s="36" t="s">
        <v>4735</v>
      </c>
      <c r="D3285" s="49"/>
      <c r="E3285" s="49"/>
      <c r="F3285" s="49"/>
      <c r="G3285" s="49"/>
      <c r="H3285" s="49"/>
      <c r="I3285" s="49"/>
    </row>
    <row r="3286" ht="15.75" customHeight="1" spans="1:9">
      <c r="A3286" s="49"/>
      <c r="B3286" s="36" t="s">
        <v>4722</v>
      </c>
      <c r="C3286" s="36" t="s">
        <v>4736</v>
      </c>
      <c r="D3286" s="49"/>
      <c r="E3286" s="49"/>
      <c r="F3286" s="49"/>
      <c r="G3286" s="49"/>
      <c r="H3286" s="49"/>
      <c r="I3286" s="49"/>
    </row>
    <row r="3287" ht="15.75" customHeight="1" spans="1:9">
      <c r="A3287" s="49"/>
      <c r="B3287" s="36" t="s">
        <v>4722</v>
      </c>
      <c r="C3287" s="36" t="s">
        <v>4737</v>
      </c>
      <c r="D3287" s="49"/>
      <c r="E3287" s="49"/>
      <c r="F3287" s="49"/>
      <c r="G3287" s="49"/>
      <c r="H3287" s="49"/>
      <c r="I3287" s="49"/>
    </row>
    <row r="3288" ht="15.75" customHeight="1" spans="1:9">
      <c r="A3288" s="49"/>
      <c r="B3288" s="36" t="s">
        <v>4722</v>
      </c>
      <c r="C3288" s="36" t="s">
        <v>4738</v>
      </c>
      <c r="D3288" s="49"/>
      <c r="E3288" s="49"/>
      <c r="F3288" s="49"/>
      <c r="G3288" s="49"/>
      <c r="H3288" s="49"/>
      <c r="I3288" s="49"/>
    </row>
    <row r="3289" ht="15.75" customHeight="1" spans="1:9">
      <c r="A3289" s="49"/>
      <c r="B3289" s="36" t="s">
        <v>4722</v>
      </c>
      <c r="C3289" s="36" t="s">
        <v>4739</v>
      </c>
      <c r="D3289" s="49"/>
      <c r="E3289" s="49"/>
      <c r="F3289" s="49"/>
      <c r="G3289" s="49"/>
      <c r="H3289" s="49"/>
      <c r="I3289" s="49"/>
    </row>
    <row r="3290" ht="15.75" customHeight="1" spans="1:9">
      <c r="A3290" s="49"/>
      <c r="B3290" s="36" t="s">
        <v>4722</v>
      </c>
      <c r="C3290" s="36" t="s">
        <v>4740</v>
      </c>
      <c r="D3290" s="49"/>
      <c r="E3290" s="49"/>
      <c r="F3290" s="49"/>
      <c r="G3290" s="49"/>
      <c r="H3290" s="49"/>
      <c r="I3290" s="49"/>
    </row>
    <row r="3291" ht="15.75" customHeight="1" spans="1:9">
      <c r="A3291" s="49"/>
      <c r="B3291" s="36" t="s">
        <v>4722</v>
      </c>
      <c r="C3291" s="36" t="s">
        <v>4741</v>
      </c>
      <c r="D3291" s="49"/>
      <c r="E3291" s="49"/>
      <c r="F3291" s="49"/>
      <c r="G3291" s="49"/>
      <c r="H3291" s="49"/>
      <c r="I3291" s="49"/>
    </row>
    <row r="3292" ht="15.75" customHeight="1" spans="1:9">
      <c r="A3292" s="49"/>
      <c r="B3292" s="36" t="s">
        <v>4722</v>
      </c>
      <c r="C3292" s="36" t="s">
        <v>4527</v>
      </c>
      <c r="D3292" s="49"/>
      <c r="E3292" s="49"/>
      <c r="F3292" s="49"/>
      <c r="G3292" s="49"/>
      <c r="H3292" s="49"/>
      <c r="I3292" s="49"/>
    </row>
    <row r="3293" ht="15.75" customHeight="1" spans="1:9">
      <c r="A3293" s="49"/>
      <c r="B3293" s="36" t="s">
        <v>4722</v>
      </c>
      <c r="C3293" s="36" t="s">
        <v>4742</v>
      </c>
      <c r="D3293" s="49"/>
      <c r="E3293" s="49"/>
      <c r="F3293" s="49"/>
      <c r="G3293" s="49"/>
      <c r="H3293" s="49"/>
      <c r="I3293" s="49"/>
    </row>
    <row r="3294" ht="15.75" customHeight="1" spans="1:9">
      <c r="A3294" s="49"/>
      <c r="B3294" s="36" t="s">
        <v>4722</v>
      </c>
      <c r="C3294" s="36" t="s">
        <v>4743</v>
      </c>
      <c r="D3294" s="49"/>
      <c r="E3294" s="49"/>
      <c r="F3294" s="49"/>
      <c r="G3294" s="49"/>
      <c r="H3294" s="49"/>
      <c r="I3294" s="49"/>
    </row>
    <row r="3295" ht="15.75" customHeight="1" spans="1:9">
      <c r="A3295" s="49"/>
      <c r="B3295" s="36" t="s">
        <v>4722</v>
      </c>
      <c r="C3295" s="36" t="s">
        <v>4744</v>
      </c>
      <c r="D3295" s="49"/>
      <c r="E3295" s="49"/>
      <c r="F3295" s="49"/>
      <c r="G3295" s="49"/>
      <c r="H3295" s="49"/>
      <c r="I3295" s="49"/>
    </row>
    <row r="3296" ht="15.75" customHeight="1" spans="1:9">
      <c r="A3296" s="49"/>
      <c r="B3296" s="36" t="s">
        <v>4722</v>
      </c>
      <c r="C3296" s="36" t="s">
        <v>4745</v>
      </c>
      <c r="D3296" s="49"/>
      <c r="E3296" s="49"/>
      <c r="F3296" s="49"/>
      <c r="G3296" s="49"/>
      <c r="H3296" s="49"/>
      <c r="I3296" s="49"/>
    </row>
    <row r="3297" ht="15.75" customHeight="1" spans="1:9">
      <c r="A3297" s="49"/>
      <c r="B3297" s="36" t="s">
        <v>4722</v>
      </c>
      <c r="C3297" s="36" t="s">
        <v>32</v>
      </c>
      <c r="D3297" s="49"/>
      <c r="E3297" s="49"/>
      <c r="F3297" s="49"/>
      <c r="G3297" s="49"/>
      <c r="H3297" s="49"/>
      <c r="I3297" s="49"/>
    </row>
    <row r="3298" ht="15.75" customHeight="1" spans="1:9">
      <c r="A3298" s="49"/>
      <c r="B3298" s="36" t="s">
        <v>4722</v>
      </c>
      <c r="C3298" s="36" t="s">
        <v>4746</v>
      </c>
      <c r="D3298" s="49"/>
      <c r="E3298" s="49"/>
      <c r="F3298" s="49"/>
      <c r="G3298" s="49"/>
      <c r="H3298" s="49"/>
      <c r="I3298" s="49"/>
    </row>
    <row r="3299" ht="15.75" customHeight="1" spans="1:9">
      <c r="A3299" s="49"/>
      <c r="B3299" s="36" t="s">
        <v>4722</v>
      </c>
      <c r="C3299" s="36" t="s">
        <v>4747</v>
      </c>
      <c r="D3299" s="49"/>
      <c r="E3299" s="49"/>
      <c r="F3299" s="49"/>
      <c r="G3299" s="49"/>
      <c r="H3299" s="49"/>
      <c r="I3299" s="49"/>
    </row>
    <row r="3300" ht="15.75" customHeight="1" spans="1:9">
      <c r="A3300" s="49"/>
      <c r="B3300" s="36" t="s">
        <v>4722</v>
      </c>
      <c r="C3300" s="36" t="s">
        <v>29</v>
      </c>
      <c r="D3300" s="49"/>
      <c r="E3300" s="49"/>
      <c r="F3300" s="49"/>
      <c r="G3300" s="49"/>
      <c r="H3300" s="49"/>
      <c r="I3300" s="49"/>
    </row>
    <row r="3301" ht="15.75" customHeight="1" spans="1:9">
      <c r="A3301" s="49"/>
      <c r="B3301" s="36" t="s">
        <v>4722</v>
      </c>
      <c r="C3301" s="36" t="s">
        <v>4748</v>
      </c>
      <c r="D3301" s="49"/>
      <c r="E3301" s="49"/>
      <c r="F3301" s="49"/>
      <c r="G3301" s="49"/>
      <c r="H3301" s="49"/>
      <c r="I3301" s="49"/>
    </row>
    <row r="3302" ht="15.75" customHeight="1" spans="1:9">
      <c r="A3302" s="49"/>
      <c r="B3302" s="36" t="s">
        <v>4722</v>
      </c>
      <c r="C3302" s="36" t="s">
        <v>4749</v>
      </c>
      <c r="D3302" s="49"/>
      <c r="E3302" s="49"/>
      <c r="F3302" s="49"/>
      <c r="G3302" s="49"/>
      <c r="H3302" s="49"/>
      <c r="I3302" s="49"/>
    </row>
    <row r="3303" ht="15.75" customHeight="1" spans="1:9">
      <c r="A3303" s="49"/>
      <c r="B3303" s="36" t="s">
        <v>4722</v>
      </c>
      <c r="C3303" s="36" t="s">
        <v>4750</v>
      </c>
      <c r="D3303" s="49"/>
      <c r="E3303" s="49"/>
      <c r="F3303" s="49"/>
      <c r="G3303" s="49"/>
      <c r="H3303" s="49"/>
      <c r="I3303" s="49"/>
    </row>
    <row r="3304" ht="15.75" customHeight="1" spans="1:9">
      <c r="A3304" s="49"/>
      <c r="B3304" s="36" t="s">
        <v>4722</v>
      </c>
      <c r="C3304" s="36" t="s">
        <v>4751</v>
      </c>
      <c r="D3304" s="49"/>
      <c r="E3304" s="49"/>
      <c r="F3304" s="49"/>
      <c r="G3304" s="49"/>
      <c r="H3304" s="49"/>
      <c r="I3304" s="49"/>
    </row>
    <row r="3305" ht="15.75" customHeight="1" spans="1:9">
      <c r="A3305" s="49"/>
      <c r="B3305" s="36" t="s">
        <v>4722</v>
      </c>
      <c r="C3305" s="36" t="s">
        <v>4509</v>
      </c>
      <c r="D3305" s="49"/>
      <c r="E3305" s="49"/>
      <c r="F3305" s="49"/>
      <c r="G3305" s="49"/>
      <c r="H3305" s="49"/>
      <c r="I3305" s="49"/>
    </row>
    <row r="3306" ht="15.75" customHeight="1" spans="1:9">
      <c r="A3306" s="49"/>
      <c r="B3306" s="36" t="s">
        <v>4722</v>
      </c>
      <c r="C3306" s="36" t="s">
        <v>4752</v>
      </c>
      <c r="D3306" s="49"/>
      <c r="E3306" s="49"/>
      <c r="F3306" s="49"/>
      <c r="G3306" s="49"/>
      <c r="H3306" s="49"/>
      <c r="I3306" s="49"/>
    </row>
    <row r="3307" ht="15.75" customHeight="1" spans="1:9">
      <c r="A3307" s="49"/>
      <c r="B3307" s="36" t="s">
        <v>4722</v>
      </c>
      <c r="C3307" s="36" t="s">
        <v>4753</v>
      </c>
      <c r="D3307" s="49"/>
      <c r="E3307" s="49"/>
      <c r="F3307" s="49"/>
      <c r="G3307" s="49"/>
      <c r="H3307" s="49"/>
      <c r="I3307" s="49"/>
    </row>
    <row r="3308" ht="15.75" customHeight="1" spans="1:9">
      <c r="A3308" s="49"/>
      <c r="B3308" s="36" t="s">
        <v>4722</v>
      </c>
      <c r="C3308" s="36" t="s">
        <v>4754</v>
      </c>
      <c r="D3308" s="49"/>
      <c r="E3308" s="49"/>
      <c r="F3308" s="49"/>
      <c r="G3308" s="49"/>
      <c r="H3308" s="49"/>
      <c r="I3308" s="49"/>
    </row>
    <row r="3309" ht="15.75" customHeight="1" spans="1:9">
      <c r="A3309" s="49"/>
      <c r="B3309" s="36" t="s">
        <v>4722</v>
      </c>
      <c r="C3309" s="36" t="s">
        <v>4755</v>
      </c>
      <c r="D3309" s="49"/>
      <c r="E3309" s="49"/>
      <c r="F3309" s="49"/>
      <c r="G3309" s="49"/>
      <c r="H3309" s="49"/>
      <c r="I3309" s="49"/>
    </row>
    <row r="3310" ht="15.75" customHeight="1" spans="1:9">
      <c r="A3310" s="49"/>
      <c r="B3310" s="36" t="s">
        <v>4722</v>
      </c>
      <c r="C3310" s="36" t="s">
        <v>4756</v>
      </c>
      <c r="D3310" s="49"/>
      <c r="E3310" s="49"/>
      <c r="F3310" s="49"/>
      <c r="G3310" s="49"/>
      <c r="H3310" s="49"/>
      <c r="I3310" s="49"/>
    </row>
    <row r="3311" ht="15.75" customHeight="1" spans="1:9">
      <c r="A3311" s="49"/>
      <c r="B3311" s="36" t="s">
        <v>4722</v>
      </c>
      <c r="C3311" s="36" t="s">
        <v>4757</v>
      </c>
      <c r="D3311" s="49"/>
      <c r="E3311" s="49"/>
      <c r="F3311" s="49"/>
      <c r="G3311" s="49"/>
      <c r="H3311" s="49"/>
      <c r="I3311" s="49"/>
    </row>
    <row r="3312" ht="15.75" customHeight="1" spans="1:9">
      <c r="A3312" s="49"/>
      <c r="B3312" s="36" t="s">
        <v>4722</v>
      </c>
      <c r="C3312" s="36" t="s">
        <v>4758</v>
      </c>
      <c r="D3312" s="49"/>
      <c r="E3312" s="49"/>
      <c r="F3312" s="49"/>
      <c r="G3312" s="49"/>
      <c r="H3312" s="49"/>
      <c r="I3312" s="49"/>
    </row>
    <row r="3313" ht="15.75" customHeight="1" spans="1:9">
      <c r="A3313" s="49"/>
      <c r="B3313" s="36" t="s">
        <v>4722</v>
      </c>
      <c r="C3313" s="36" t="s">
        <v>4759</v>
      </c>
      <c r="D3313" s="49"/>
      <c r="E3313" s="49"/>
      <c r="F3313" s="49"/>
      <c r="G3313" s="49"/>
      <c r="H3313" s="49"/>
      <c r="I3313" s="49"/>
    </row>
    <row r="3314" ht="15.75" customHeight="1" spans="1:9">
      <c r="A3314" s="49"/>
      <c r="B3314" s="36" t="s">
        <v>4722</v>
      </c>
      <c r="C3314" s="36" t="s">
        <v>4760</v>
      </c>
      <c r="D3314" s="49"/>
      <c r="E3314" s="49"/>
      <c r="F3314" s="49"/>
      <c r="G3314" s="49"/>
      <c r="H3314" s="49"/>
      <c r="I3314" s="49"/>
    </row>
    <row r="3315" ht="15.75" customHeight="1" spans="1:9">
      <c r="A3315" s="49"/>
      <c r="B3315" s="36" t="s">
        <v>4722</v>
      </c>
      <c r="C3315" s="36" t="s">
        <v>4761</v>
      </c>
      <c r="D3315" s="49"/>
      <c r="E3315" s="49"/>
      <c r="F3315" s="49"/>
      <c r="G3315" s="49"/>
      <c r="H3315" s="49"/>
      <c r="I3315" s="49"/>
    </row>
    <row r="3316" ht="15.75" customHeight="1" spans="1:9">
      <c r="A3316" s="49"/>
      <c r="B3316" s="36" t="s">
        <v>4722</v>
      </c>
      <c r="C3316" s="36" t="s">
        <v>4762</v>
      </c>
      <c r="D3316" s="49"/>
      <c r="E3316" s="49"/>
      <c r="F3316" s="49"/>
      <c r="G3316" s="49"/>
      <c r="H3316" s="49"/>
      <c r="I3316" s="49"/>
    </row>
    <row r="3317" ht="15.75" customHeight="1" spans="1:9">
      <c r="A3317" s="49"/>
      <c r="B3317" s="36" t="s">
        <v>4722</v>
      </c>
      <c r="C3317" s="36" t="s">
        <v>4763</v>
      </c>
      <c r="D3317" s="49"/>
      <c r="E3317" s="49"/>
      <c r="F3317" s="49"/>
      <c r="G3317" s="49"/>
      <c r="H3317" s="49"/>
      <c r="I3317" s="49"/>
    </row>
    <row r="3318" ht="15.75" customHeight="1" spans="1:9">
      <c r="A3318" s="49"/>
      <c r="B3318" s="36" t="s">
        <v>4722</v>
      </c>
      <c r="C3318" s="36" t="s">
        <v>4764</v>
      </c>
      <c r="D3318" s="49"/>
      <c r="E3318" s="49"/>
      <c r="F3318" s="49"/>
      <c r="G3318" s="49"/>
      <c r="H3318" s="49"/>
      <c r="I3318" s="49"/>
    </row>
    <row r="3319" ht="15.75" customHeight="1" spans="1:9">
      <c r="A3319" s="49"/>
      <c r="B3319" s="36" t="s">
        <v>4722</v>
      </c>
      <c r="C3319" s="36" t="s">
        <v>4765</v>
      </c>
      <c r="D3319" s="49"/>
      <c r="E3319" s="49"/>
      <c r="F3319" s="49"/>
      <c r="G3319" s="49"/>
      <c r="H3319" s="49"/>
      <c r="I3319" s="49"/>
    </row>
    <row r="3320" ht="15.75" customHeight="1" spans="1:9">
      <c r="A3320" s="49"/>
      <c r="B3320" s="36" t="s">
        <v>4722</v>
      </c>
      <c r="C3320" s="36" t="s">
        <v>4766</v>
      </c>
      <c r="D3320" s="49"/>
      <c r="E3320" s="49"/>
      <c r="F3320" s="49"/>
      <c r="G3320" s="49"/>
      <c r="H3320" s="49"/>
      <c r="I3320" s="49"/>
    </row>
    <row r="3321" ht="15.75" customHeight="1" spans="1:9">
      <c r="A3321" s="49"/>
      <c r="B3321" s="36" t="s">
        <v>4722</v>
      </c>
      <c r="C3321" s="36" t="s">
        <v>4501</v>
      </c>
      <c r="D3321" s="49"/>
      <c r="E3321" s="49"/>
      <c r="F3321" s="49"/>
      <c r="G3321" s="49"/>
      <c r="H3321" s="49"/>
      <c r="I3321" s="49"/>
    </row>
    <row r="3322" ht="15.75" customHeight="1" spans="1:9">
      <c r="A3322" s="49"/>
      <c r="B3322" s="36" t="s">
        <v>4722</v>
      </c>
      <c r="C3322" s="36" t="s">
        <v>4767</v>
      </c>
      <c r="D3322" s="49"/>
      <c r="E3322" s="49"/>
      <c r="F3322" s="49"/>
      <c r="G3322" s="49"/>
      <c r="H3322" s="49"/>
      <c r="I3322" s="49"/>
    </row>
    <row r="3323" ht="15.75" customHeight="1" spans="1:9">
      <c r="A3323" s="49"/>
      <c r="B3323" s="36" t="s">
        <v>4722</v>
      </c>
      <c r="C3323" s="36" t="s">
        <v>4768</v>
      </c>
      <c r="D3323" s="49"/>
      <c r="E3323" s="49"/>
      <c r="F3323" s="49"/>
      <c r="G3323" s="49"/>
      <c r="H3323" s="49"/>
      <c r="I3323" s="49"/>
    </row>
    <row r="3324" ht="15.75" customHeight="1" spans="1:9">
      <c r="A3324" s="49"/>
      <c r="B3324" s="36" t="s">
        <v>4722</v>
      </c>
      <c r="C3324" s="36" t="s">
        <v>4497</v>
      </c>
      <c r="D3324" s="49"/>
      <c r="E3324" s="49"/>
      <c r="F3324" s="49"/>
      <c r="G3324" s="49"/>
      <c r="H3324" s="49"/>
      <c r="I3324" s="49"/>
    </row>
    <row r="3325" ht="15.75" customHeight="1" spans="1:9">
      <c r="A3325" s="49"/>
      <c r="B3325" s="36" t="s">
        <v>4722</v>
      </c>
      <c r="C3325" s="36" t="s">
        <v>4769</v>
      </c>
      <c r="D3325" s="49"/>
      <c r="E3325" s="49"/>
      <c r="F3325" s="49"/>
      <c r="G3325" s="49"/>
      <c r="H3325" s="49"/>
      <c r="I3325" s="49"/>
    </row>
    <row r="3326" ht="15.75" customHeight="1" spans="1:9">
      <c r="A3326" s="49"/>
      <c r="B3326" s="36" t="s">
        <v>4722</v>
      </c>
      <c r="C3326" s="36" t="s">
        <v>4770</v>
      </c>
      <c r="D3326" s="49"/>
      <c r="E3326" s="49"/>
      <c r="F3326" s="49"/>
      <c r="G3326" s="49"/>
      <c r="H3326" s="49"/>
      <c r="I3326" s="49"/>
    </row>
    <row r="3327" ht="15.75" customHeight="1" spans="1:9">
      <c r="A3327" s="49"/>
      <c r="B3327" s="36" t="s">
        <v>4722</v>
      </c>
      <c r="C3327" s="36" t="s">
        <v>4771</v>
      </c>
      <c r="D3327" s="49"/>
      <c r="E3327" s="49"/>
      <c r="F3327" s="49"/>
      <c r="G3327" s="49"/>
      <c r="H3327" s="49"/>
      <c r="I3327" s="49"/>
    </row>
    <row r="3328" ht="15.75" customHeight="1" spans="1:9">
      <c r="A3328" s="49"/>
      <c r="B3328" s="36" t="s">
        <v>4722</v>
      </c>
      <c r="C3328" s="36" t="s">
        <v>4772</v>
      </c>
      <c r="D3328" s="49"/>
      <c r="E3328" s="49"/>
      <c r="F3328" s="49"/>
      <c r="G3328" s="49"/>
      <c r="H3328" s="49"/>
      <c r="I3328" s="49"/>
    </row>
    <row r="3329" ht="15.75" customHeight="1" spans="1:9">
      <c r="A3329" s="49"/>
      <c r="B3329" s="36" t="s">
        <v>4722</v>
      </c>
      <c r="C3329" s="36" t="s">
        <v>4773</v>
      </c>
      <c r="D3329" s="49"/>
      <c r="E3329" s="49"/>
      <c r="F3329" s="49"/>
      <c r="G3329" s="49"/>
      <c r="H3329" s="49"/>
      <c r="I3329" s="49"/>
    </row>
    <row r="3330" ht="15.75" customHeight="1" spans="1:9">
      <c r="A3330" s="49"/>
      <c r="B3330" s="36" t="s">
        <v>4722</v>
      </c>
      <c r="C3330" s="36" t="s">
        <v>4774</v>
      </c>
      <c r="D3330" s="49"/>
      <c r="E3330" s="49"/>
      <c r="F3330" s="49"/>
      <c r="G3330" s="49"/>
      <c r="H3330" s="49"/>
      <c r="I3330" s="49"/>
    </row>
    <row r="3331" ht="15.75" customHeight="1" spans="1:9">
      <c r="A3331" s="49"/>
      <c r="B3331" s="36" t="s">
        <v>4722</v>
      </c>
      <c r="C3331" s="36" t="s">
        <v>4775</v>
      </c>
      <c r="D3331" s="49"/>
      <c r="E3331" s="49"/>
      <c r="F3331" s="49"/>
      <c r="G3331" s="49"/>
      <c r="H3331" s="49"/>
      <c r="I3331" s="49"/>
    </row>
    <row r="3332" ht="15.75" customHeight="1" spans="1:9">
      <c r="A3332" s="49"/>
      <c r="B3332" s="36" t="s">
        <v>4722</v>
      </c>
      <c r="C3332" s="36" t="s">
        <v>4776</v>
      </c>
      <c r="D3332" s="49"/>
      <c r="E3332" s="49"/>
      <c r="F3332" s="49"/>
      <c r="G3332" s="49"/>
      <c r="H3332" s="49"/>
      <c r="I3332" s="49"/>
    </row>
    <row r="3333" ht="15.75" customHeight="1" spans="1:9">
      <c r="A3333" s="49"/>
      <c r="B3333" s="36" t="s">
        <v>4722</v>
      </c>
      <c r="C3333" s="36" t="s">
        <v>4777</v>
      </c>
      <c r="D3333" s="49"/>
      <c r="E3333" s="49"/>
      <c r="F3333" s="49"/>
      <c r="G3333" s="49"/>
      <c r="H3333" s="49"/>
      <c r="I3333" s="49"/>
    </row>
    <row r="3334" ht="15.75" customHeight="1" spans="1:9">
      <c r="A3334" s="49"/>
      <c r="B3334" s="36" t="s">
        <v>4722</v>
      </c>
      <c r="C3334" s="36" t="s">
        <v>4778</v>
      </c>
      <c r="D3334" s="49"/>
      <c r="E3334" s="49"/>
      <c r="F3334" s="49"/>
      <c r="G3334" s="49"/>
      <c r="H3334" s="49"/>
      <c r="I3334" s="49"/>
    </row>
    <row r="3335" ht="15.75" customHeight="1" spans="1:9">
      <c r="A3335" s="49"/>
      <c r="B3335" s="36" t="s">
        <v>4722</v>
      </c>
      <c r="C3335" s="36" t="s">
        <v>4779</v>
      </c>
      <c r="D3335" s="49"/>
      <c r="E3335" s="49"/>
      <c r="F3335" s="49"/>
      <c r="G3335" s="49"/>
      <c r="H3335" s="49"/>
      <c r="I3335" s="49"/>
    </row>
    <row r="3336" ht="15.75" customHeight="1" spans="1:9">
      <c r="A3336" s="49"/>
      <c r="B3336" s="36" t="s">
        <v>4722</v>
      </c>
      <c r="C3336" s="36" t="s">
        <v>4780</v>
      </c>
      <c r="D3336" s="49"/>
      <c r="E3336" s="49"/>
      <c r="F3336" s="49"/>
      <c r="G3336" s="49"/>
      <c r="H3336" s="49"/>
      <c r="I3336" s="49"/>
    </row>
    <row r="3337" ht="15.75" customHeight="1" spans="1:9">
      <c r="A3337" s="49"/>
      <c r="B3337" s="36" t="s">
        <v>4722</v>
      </c>
      <c r="C3337" s="36" t="s">
        <v>4781</v>
      </c>
      <c r="D3337" s="49"/>
      <c r="E3337" s="49"/>
      <c r="F3337" s="49"/>
      <c r="G3337" s="49"/>
      <c r="H3337" s="49"/>
      <c r="I3337" s="49"/>
    </row>
    <row r="3338" ht="15.75" customHeight="1" spans="1:9">
      <c r="A3338" s="49"/>
      <c r="B3338" s="36" t="s">
        <v>4722</v>
      </c>
      <c r="C3338" s="36" t="s">
        <v>4782</v>
      </c>
      <c r="D3338" s="49"/>
      <c r="E3338" s="49"/>
      <c r="F3338" s="49"/>
      <c r="G3338" s="49"/>
      <c r="H3338" s="49"/>
      <c r="I3338" s="49"/>
    </row>
    <row r="3339" ht="15.75" customHeight="1" spans="1:9">
      <c r="A3339" s="49"/>
      <c r="B3339" s="36" t="s">
        <v>4722</v>
      </c>
      <c r="C3339" s="36" t="s">
        <v>4783</v>
      </c>
      <c r="D3339" s="49"/>
      <c r="E3339" s="49"/>
      <c r="F3339" s="49"/>
      <c r="G3339" s="49"/>
      <c r="H3339" s="49"/>
      <c r="I3339" s="49"/>
    </row>
    <row r="3340" ht="15.75" customHeight="1" spans="1:9">
      <c r="A3340" s="49"/>
      <c r="B3340" s="36" t="s">
        <v>4722</v>
      </c>
      <c r="C3340" s="36" t="s">
        <v>4784</v>
      </c>
      <c r="D3340" s="49"/>
      <c r="E3340" s="49"/>
      <c r="F3340" s="49"/>
      <c r="G3340" s="49"/>
      <c r="H3340" s="49"/>
      <c r="I3340" s="49"/>
    </row>
    <row r="3341" ht="15.75" customHeight="1" spans="1:9">
      <c r="A3341" s="49"/>
      <c r="B3341" s="36" t="s">
        <v>4722</v>
      </c>
      <c r="C3341" s="36" t="s">
        <v>4785</v>
      </c>
      <c r="D3341" s="49"/>
      <c r="E3341" s="49"/>
      <c r="F3341" s="49"/>
      <c r="G3341" s="49"/>
      <c r="H3341" s="49"/>
      <c r="I3341" s="49"/>
    </row>
    <row r="3342" ht="15.75" customHeight="1" spans="1:9">
      <c r="A3342" s="49"/>
      <c r="B3342" s="36" t="s">
        <v>4722</v>
      </c>
      <c r="C3342" s="36" t="s">
        <v>4786</v>
      </c>
      <c r="D3342" s="49"/>
      <c r="E3342" s="49"/>
      <c r="F3342" s="49"/>
      <c r="G3342" s="49"/>
      <c r="H3342" s="49"/>
      <c r="I3342" s="49"/>
    </row>
    <row r="3343" ht="15.75" customHeight="1" spans="1:9">
      <c r="A3343" s="49"/>
      <c r="B3343" s="36" t="s">
        <v>4722</v>
      </c>
      <c r="C3343" s="36" t="s">
        <v>4787</v>
      </c>
      <c r="D3343" s="49"/>
      <c r="E3343" s="49"/>
      <c r="F3343" s="49"/>
      <c r="G3343" s="49"/>
      <c r="H3343" s="49"/>
      <c r="I3343" s="49"/>
    </row>
    <row r="3344" ht="15.75" customHeight="1" spans="1:9">
      <c r="A3344" s="49"/>
      <c r="B3344" s="36" t="s">
        <v>4722</v>
      </c>
      <c r="C3344" s="36" t="s">
        <v>4788</v>
      </c>
      <c r="D3344" s="49"/>
      <c r="E3344" s="49"/>
      <c r="F3344" s="49"/>
      <c r="G3344" s="49"/>
      <c r="H3344" s="49"/>
      <c r="I3344" s="49"/>
    </row>
    <row r="3345" ht="15.75" customHeight="1" spans="1:9">
      <c r="A3345" s="49"/>
      <c r="B3345" s="36" t="s">
        <v>4722</v>
      </c>
      <c r="C3345" s="36" t="s">
        <v>4789</v>
      </c>
      <c r="D3345" s="49"/>
      <c r="E3345" s="49"/>
      <c r="F3345" s="49"/>
      <c r="G3345" s="49"/>
      <c r="H3345" s="49"/>
      <c r="I3345" s="49"/>
    </row>
    <row r="3346" ht="15.75" customHeight="1" spans="1:9">
      <c r="A3346" s="49"/>
      <c r="B3346" s="36" t="s">
        <v>4722</v>
      </c>
      <c r="C3346" s="36" t="s">
        <v>4790</v>
      </c>
      <c r="D3346" s="49"/>
      <c r="E3346" s="49"/>
      <c r="F3346" s="49"/>
      <c r="G3346" s="49"/>
      <c r="H3346" s="49"/>
      <c r="I3346" s="49"/>
    </row>
    <row r="3347" ht="15.75" customHeight="1" spans="1:9">
      <c r="A3347" s="49"/>
      <c r="B3347" s="36" t="s">
        <v>4722</v>
      </c>
      <c r="C3347" s="36" t="s">
        <v>4791</v>
      </c>
      <c r="D3347" s="49"/>
      <c r="E3347" s="49"/>
      <c r="F3347" s="49"/>
      <c r="G3347" s="49"/>
      <c r="H3347" s="49"/>
      <c r="I3347" s="49"/>
    </row>
    <row r="3348" ht="15.75" customHeight="1" spans="1:9">
      <c r="A3348" s="49"/>
      <c r="B3348" s="36" t="s">
        <v>4722</v>
      </c>
      <c r="C3348" s="36" t="s">
        <v>4792</v>
      </c>
      <c r="D3348" s="49"/>
      <c r="E3348" s="49"/>
      <c r="F3348" s="49"/>
      <c r="G3348" s="49"/>
      <c r="H3348" s="49"/>
      <c r="I3348" s="49"/>
    </row>
    <row r="3349" ht="15.75" customHeight="1" spans="1:9">
      <c r="A3349" s="49"/>
      <c r="B3349" s="36" t="s">
        <v>4722</v>
      </c>
      <c r="C3349" s="36" t="s">
        <v>4793</v>
      </c>
      <c r="D3349" s="49"/>
      <c r="E3349" s="49"/>
      <c r="F3349" s="49"/>
      <c r="G3349" s="49"/>
      <c r="H3349" s="49"/>
      <c r="I3349" s="49"/>
    </row>
    <row r="3350" ht="15.75" customHeight="1" spans="1:9">
      <c r="A3350" s="49"/>
      <c r="B3350" s="36" t="s">
        <v>4722</v>
      </c>
      <c r="C3350" s="36" t="s">
        <v>4794</v>
      </c>
      <c r="D3350" s="49"/>
      <c r="E3350" s="49"/>
      <c r="F3350" s="49"/>
      <c r="G3350" s="49"/>
      <c r="H3350" s="49"/>
      <c r="I3350" s="49"/>
    </row>
    <row r="3351" ht="15.75" customHeight="1" spans="1:9">
      <c r="A3351" s="49"/>
      <c r="B3351" s="36" t="s">
        <v>4722</v>
      </c>
      <c r="C3351" s="36" t="s">
        <v>4795</v>
      </c>
      <c r="D3351" s="49"/>
      <c r="E3351" s="49"/>
      <c r="F3351" s="49"/>
      <c r="G3351" s="49"/>
      <c r="H3351" s="49"/>
      <c r="I3351" s="49"/>
    </row>
    <row r="3352" ht="15.75" customHeight="1" spans="1:9">
      <c r="A3352" s="49"/>
      <c r="B3352" s="36" t="s">
        <v>4722</v>
      </c>
      <c r="C3352" s="36" t="s">
        <v>4796</v>
      </c>
      <c r="D3352" s="49"/>
      <c r="E3352" s="49"/>
      <c r="F3352" s="49"/>
      <c r="G3352" s="49"/>
      <c r="H3352" s="49"/>
      <c r="I3352" s="49"/>
    </row>
    <row r="3353" ht="15.75" customHeight="1" spans="1:9">
      <c r="A3353" s="49"/>
      <c r="B3353" s="36" t="s">
        <v>4722</v>
      </c>
      <c r="C3353" s="36" t="s">
        <v>4797</v>
      </c>
      <c r="D3353" s="49"/>
      <c r="E3353" s="49"/>
      <c r="F3353" s="49"/>
      <c r="G3353" s="49"/>
      <c r="H3353" s="49"/>
      <c r="I3353" s="49"/>
    </row>
    <row r="3354" ht="15.75" customHeight="1" spans="1:9">
      <c r="A3354" s="49"/>
      <c r="B3354" s="36" t="s">
        <v>4722</v>
      </c>
      <c r="C3354" s="36" t="s">
        <v>4798</v>
      </c>
      <c r="D3354" s="49"/>
      <c r="E3354" s="49"/>
      <c r="F3354" s="49"/>
      <c r="G3354" s="49"/>
      <c r="H3354" s="49"/>
      <c r="I3354" s="49"/>
    </row>
    <row r="3355" ht="15.75" customHeight="1" spans="1:9">
      <c r="A3355" s="49"/>
      <c r="B3355" s="36" t="s">
        <v>4722</v>
      </c>
      <c r="C3355" s="36" t="s">
        <v>4799</v>
      </c>
      <c r="D3355" s="49"/>
      <c r="E3355" s="49"/>
      <c r="F3355" s="49"/>
      <c r="G3355" s="49"/>
      <c r="H3355" s="49"/>
      <c r="I3355" s="49"/>
    </row>
    <row r="3356" ht="15.75" customHeight="1" spans="1:9">
      <c r="A3356" s="49"/>
      <c r="B3356" s="36" t="s">
        <v>4722</v>
      </c>
      <c r="C3356" s="36" t="s">
        <v>4800</v>
      </c>
      <c r="D3356" s="49"/>
      <c r="E3356" s="49"/>
      <c r="F3356" s="49"/>
      <c r="G3356" s="49"/>
      <c r="H3356" s="49"/>
      <c r="I3356" s="49"/>
    </row>
    <row r="3357" ht="15.75" customHeight="1" spans="1:9">
      <c r="A3357" s="49"/>
      <c r="B3357" s="36" t="s">
        <v>4722</v>
      </c>
      <c r="C3357" s="36" t="s">
        <v>4801</v>
      </c>
      <c r="D3357" s="49"/>
      <c r="E3357" s="49"/>
      <c r="F3357" s="49"/>
      <c r="G3357" s="49"/>
      <c r="H3357" s="49"/>
      <c r="I3357" s="49"/>
    </row>
    <row r="3358" ht="15.75" customHeight="1" spans="1:9">
      <c r="A3358" s="49"/>
      <c r="B3358" s="36" t="s">
        <v>4722</v>
      </c>
      <c r="C3358" s="36" t="s">
        <v>4802</v>
      </c>
      <c r="D3358" s="49"/>
      <c r="E3358" s="49"/>
      <c r="F3358" s="49"/>
      <c r="G3358" s="49"/>
      <c r="H3358" s="49"/>
      <c r="I3358" s="49"/>
    </row>
    <row r="3359" ht="15.75" customHeight="1" spans="1:9">
      <c r="A3359" s="49"/>
      <c r="B3359" s="36" t="s">
        <v>4722</v>
      </c>
      <c r="C3359" s="36" t="s">
        <v>4803</v>
      </c>
      <c r="D3359" s="49"/>
      <c r="E3359" s="49"/>
      <c r="F3359" s="49"/>
      <c r="G3359" s="49"/>
      <c r="H3359" s="49"/>
      <c r="I3359" s="49"/>
    </row>
    <row r="3360" ht="15.75" customHeight="1" spans="1:9">
      <c r="A3360" s="49"/>
      <c r="B3360" s="36" t="s">
        <v>4722</v>
      </c>
      <c r="C3360" s="36" t="s">
        <v>4804</v>
      </c>
      <c r="D3360" s="49"/>
      <c r="E3360" s="49"/>
      <c r="F3360" s="49"/>
      <c r="G3360" s="49"/>
      <c r="H3360" s="49"/>
      <c r="I3360" s="49"/>
    </row>
    <row r="3361" ht="15.75" customHeight="1" spans="1:9">
      <c r="A3361" s="49"/>
      <c r="B3361" s="36" t="s">
        <v>4722</v>
      </c>
      <c r="C3361" s="36" t="s">
        <v>4805</v>
      </c>
      <c r="D3361" s="49"/>
      <c r="E3361" s="49"/>
      <c r="F3361" s="49"/>
      <c r="G3361" s="49"/>
      <c r="H3361" s="49"/>
      <c r="I3361" s="49"/>
    </row>
    <row r="3362" ht="15.75" customHeight="1" spans="1:9">
      <c r="A3362" s="49"/>
      <c r="B3362" s="36" t="s">
        <v>4806</v>
      </c>
      <c r="C3362" s="36" t="s">
        <v>29</v>
      </c>
      <c r="D3362" s="49"/>
      <c r="E3362" s="49"/>
      <c r="F3362" s="49"/>
      <c r="G3362" s="49"/>
      <c r="H3362" s="49"/>
      <c r="I3362" s="49"/>
    </row>
    <row r="3363" ht="15.75" customHeight="1" spans="1:9">
      <c r="A3363" s="49"/>
      <c r="B3363" s="36" t="s">
        <v>4806</v>
      </c>
      <c r="C3363" s="36" t="s">
        <v>4760</v>
      </c>
      <c r="D3363" s="49"/>
      <c r="E3363" s="49"/>
      <c r="F3363" s="49"/>
      <c r="G3363" s="49"/>
      <c r="H3363" s="49"/>
      <c r="I3363" s="49"/>
    </row>
    <row r="3364" ht="15.75" customHeight="1" spans="1:9">
      <c r="A3364" s="49"/>
      <c r="B3364" s="36" t="s">
        <v>4806</v>
      </c>
      <c r="C3364" s="36" t="s">
        <v>4806</v>
      </c>
      <c r="D3364" s="49"/>
      <c r="E3364" s="49"/>
      <c r="F3364" s="49"/>
      <c r="G3364" s="49"/>
      <c r="H3364" s="49"/>
      <c r="I3364" s="49"/>
    </row>
    <row r="3365" ht="15.75" customHeight="1" spans="1:9">
      <c r="A3365" s="49"/>
      <c r="B3365" s="36" t="s">
        <v>4806</v>
      </c>
      <c r="C3365" s="36" t="s">
        <v>4807</v>
      </c>
      <c r="D3365" s="49"/>
      <c r="E3365" s="49"/>
      <c r="F3365" s="49"/>
      <c r="G3365" s="49"/>
      <c r="H3365" s="49"/>
      <c r="I3365" s="49"/>
    </row>
    <row r="3366" ht="15.75" customHeight="1" spans="1:9">
      <c r="A3366" s="49"/>
      <c r="B3366" s="36" t="s">
        <v>4806</v>
      </c>
      <c r="C3366" s="36" t="s">
        <v>4808</v>
      </c>
      <c r="D3366" s="49"/>
      <c r="E3366" s="49"/>
      <c r="F3366" s="49"/>
      <c r="G3366" s="49"/>
      <c r="H3366" s="49"/>
      <c r="I3366" s="49"/>
    </row>
    <row r="3367" ht="15.75" customHeight="1" spans="1:9">
      <c r="A3367" s="49"/>
      <c r="B3367" s="36" t="s">
        <v>4806</v>
      </c>
      <c r="C3367" s="36" t="s">
        <v>4809</v>
      </c>
      <c r="D3367" s="49"/>
      <c r="E3367" s="49"/>
      <c r="F3367" s="49"/>
      <c r="G3367" s="49"/>
      <c r="H3367" s="49"/>
      <c r="I3367" s="49"/>
    </row>
    <row r="3368" ht="15.75" customHeight="1" spans="1:9">
      <c r="A3368" s="49"/>
      <c r="B3368" s="36" t="s">
        <v>4806</v>
      </c>
      <c r="C3368" s="36" t="s">
        <v>4810</v>
      </c>
      <c r="D3368" s="49"/>
      <c r="E3368" s="49"/>
      <c r="F3368" s="49"/>
      <c r="G3368" s="49"/>
      <c r="H3368" s="49"/>
      <c r="I3368" s="49"/>
    </row>
    <row r="3369" ht="15.75" customHeight="1" spans="1:9">
      <c r="A3369" s="49"/>
      <c r="B3369" s="36" t="s">
        <v>4806</v>
      </c>
      <c r="C3369" s="36" t="s">
        <v>4811</v>
      </c>
      <c r="D3369" s="49"/>
      <c r="E3369" s="49"/>
      <c r="F3369" s="49"/>
      <c r="G3369" s="49"/>
      <c r="H3369" s="49"/>
      <c r="I3369" s="49"/>
    </row>
    <row r="3370" ht="15.75" customHeight="1" spans="1:9">
      <c r="A3370" s="49"/>
      <c r="B3370" s="36" t="s">
        <v>4806</v>
      </c>
      <c r="C3370" s="36" t="s">
        <v>4812</v>
      </c>
      <c r="D3370" s="49"/>
      <c r="E3370" s="49"/>
      <c r="F3370" s="49"/>
      <c r="G3370" s="49"/>
      <c r="H3370" s="49"/>
      <c r="I3370" s="49"/>
    </row>
    <row r="3371" ht="15.75" customHeight="1" spans="1:9">
      <c r="A3371" s="49"/>
      <c r="B3371" s="36" t="s">
        <v>4806</v>
      </c>
      <c r="C3371" s="36" t="s">
        <v>4813</v>
      </c>
      <c r="D3371" s="49"/>
      <c r="E3371" s="49"/>
      <c r="F3371" s="49"/>
      <c r="G3371" s="49"/>
      <c r="H3371" s="49"/>
      <c r="I3371" s="49"/>
    </row>
    <row r="3372" ht="15.75" customHeight="1" spans="1:9">
      <c r="A3372" s="49"/>
      <c r="B3372" s="36" t="s">
        <v>4806</v>
      </c>
      <c r="C3372" s="36" t="s">
        <v>4814</v>
      </c>
      <c r="D3372" s="49"/>
      <c r="E3372" s="49"/>
      <c r="F3372" s="49"/>
      <c r="G3372" s="49"/>
      <c r="H3372" s="49"/>
      <c r="I3372" s="49"/>
    </row>
    <row r="3373" ht="15.75" customHeight="1" spans="1:9">
      <c r="A3373" s="49"/>
      <c r="B3373" s="36" t="s">
        <v>4806</v>
      </c>
      <c r="C3373" s="36" t="s">
        <v>4815</v>
      </c>
      <c r="D3373" s="49"/>
      <c r="E3373" s="49"/>
      <c r="F3373" s="49"/>
      <c r="G3373" s="49"/>
      <c r="H3373" s="49"/>
      <c r="I3373" s="49"/>
    </row>
    <row r="3374" ht="15.75" customHeight="1" spans="1:9">
      <c r="A3374" s="49"/>
      <c r="B3374" s="36" t="s">
        <v>4806</v>
      </c>
      <c r="C3374" s="36" t="s">
        <v>4816</v>
      </c>
      <c r="D3374" s="49"/>
      <c r="E3374" s="49"/>
      <c r="F3374" s="49"/>
      <c r="G3374" s="49"/>
      <c r="H3374" s="49"/>
      <c r="I3374" s="49"/>
    </row>
    <row r="3375" ht="15.75" customHeight="1" spans="1:9">
      <c r="A3375" s="49"/>
      <c r="B3375" s="36" t="s">
        <v>4806</v>
      </c>
      <c r="C3375" s="36" t="s">
        <v>4817</v>
      </c>
      <c r="D3375" s="49"/>
      <c r="E3375" s="49"/>
      <c r="F3375" s="49"/>
      <c r="G3375" s="49"/>
      <c r="H3375" s="49"/>
      <c r="I3375" s="49"/>
    </row>
    <row r="3376" ht="15.75" customHeight="1" spans="1:9">
      <c r="A3376" s="49"/>
      <c r="B3376" s="36" t="s">
        <v>4806</v>
      </c>
      <c r="C3376" s="36" t="s">
        <v>4404</v>
      </c>
      <c r="D3376" s="49"/>
      <c r="E3376" s="49"/>
      <c r="F3376" s="49"/>
      <c r="G3376" s="49"/>
      <c r="H3376" s="49"/>
      <c r="I3376" s="49"/>
    </row>
    <row r="3377" ht="15.75" customHeight="1" spans="1:9">
      <c r="A3377" s="49"/>
      <c r="B3377" s="36" t="s">
        <v>4806</v>
      </c>
      <c r="C3377" s="36" t="s">
        <v>4818</v>
      </c>
      <c r="D3377" s="49"/>
      <c r="E3377" s="49"/>
      <c r="F3377" s="49"/>
      <c r="G3377" s="49"/>
      <c r="H3377" s="49"/>
      <c r="I3377" s="49"/>
    </row>
    <row r="3378" ht="15.75" customHeight="1" spans="1:9">
      <c r="A3378" s="49"/>
      <c r="B3378" s="36" t="s">
        <v>4806</v>
      </c>
      <c r="C3378" s="36" t="s">
        <v>4819</v>
      </c>
      <c r="D3378" s="49"/>
      <c r="E3378" s="49"/>
      <c r="F3378" s="49"/>
      <c r="G3378" s="49"/>
      <c r="H3378" s="49"/>
      <c r="I3378" s="49"/>
    </row>
    <row r="3379" ht="15.75" customHeight="1" spans="1:9">
      <c r="A3379" s="49"/>
      <c r="B3379" s="36" t="s">
        <v>4806</v>
      </c>
      <c r="C3379" s="36" t="s">
        <v>4820</v>
      </c>
      <c r="D3379" s="49"/>
      <c r="E3379" s="49"/>
      <c r="F3379" s="49"/>
      <c r="G3379" s="49"/>
      <c r="H3379" s="49"/>
      <c r="I3379" s="49"/>
    </row>
    <row r="3380" ht="15.75" customHeight="1" spans="1:9">
      <c r="A3380" s="49"/>
      <c r="B3380" s="36" t="s">
        <v>4806</v>
      </c>
      <c r="C3380" s="36" t="s">
        <v>4821</v>
      </c>
      <c r="D3380" s="49"/>
      <c r="E3380" s="49"/>
      <c r="F3380" s="49"/>
      <c r="G3380" s="49"/>
      <c r="H3380" s="49"/>
      <c r="I3380" s="49"/>
    </row>
    <row r="3381" ht="15.75" customHeight="1" spans="1:9">
      <c r="A3381" s="49"/>
      <c r="B3381" s="36" t="s">
        <v>4806</v>
      </c>
      <c r="C3381" s="36" t="s">
        <v>4424</v>
      </c>
      <c r="D3381" s="49"/>
      <c r="E3381" s="49"/>
      <c r="F3381" s="49"/>
      <c r="G3381" s="49"/>
      <c r="H3381" s="49"/>
      <c r="I3381" s="49"/>
    </row>
    <row r="3382" ht="15.75" customHeight="1" spans="1:9">
      <c r="A3382" s="49"/>
      <c r="B3382" s="36" t="s">
        <v>4806</v>
      </c>
      <c r="C3382" s="36" t="s">
        <v>31</v>
      </c>
      <c r="D3382" s="49"/>
      <c r="E3382" s="49"/>
      <c r="F3382" s="49"/>
      <c r="G3382" s="49"/>
      <c r="H3382" s="49"/>
      <c r="I3382" s="49"/>
    </row>
    <row r="3383" ht="15.75" customHeight="1" spans="1:9">
      <c r="A3383" s="49"/>
      <c r="B3383" s="36" t="s">
        <v>4806</v>
      </c>
      <c r="C3383" s="36" t="s">
        <v>4059</v>
      </c>
      <c r="D3383" s="49"/>
      <c r="E3383" s="49"/>
      <c r="F3383" s="49"/>
      <c r="G3383" s="49"/>
      <c r="H3383" s="49"/>
      <c r="I3383" s="49"/>
    </row>
    <row r="3384" ht="15.75" customHeight="1" spans="1:9">
      <c r="A3384" s="49"/>
      <c r="B3384" s="36" t="s">
        <v>4806</v>
      </c>
      <c r="C3384" s="36" t="s">
        <v>141</v>
      </c>
      <c r="D3384" s="49"/>
      <c r="E3384" s="49"/>
      <c r="F3384" s="49"/>
      <c r="G3384" s="49"/>
      <c r="H3384" s="49"/>
      <c r="I3384" s="49"/>
    </row>
    <row r="3385" ht="15.75" customHeight="1" spans="1:9">
      <c r="A3385" s="49"/>
      <c r="B3385" s="36" t="s">
        <v>4806</v>
      </c>
      <c r="C3385" s="36" t="s">
        <v>4822</v>
      </c>
      <c r="D3385" s="49"/>
      <c r="E3385" s="49"/>
      <c r="F3385" s="49"/>
      <c r="G3385" s="49"/>
      <c r="H3385" s="49"/>
      <c r="I3385" s="49"/>
    </row>
    <row r="3386" ht="15.75" customHeight="1" spans="1:9">
      <c r="A3386" s="49"/>
      <c r="B3386" s="36" t="s">
        <v>4806</v>
      </c>
      <c r="C3386" s="36" t="s">
        <v>4823</v>
      </c>
      <c r="D3386" s="49"/>
      <c r="E3386" s="49"/>
      <c r="F3386" s="49"/>
      <c r="G3386" s="49"/>
      <c r="H3386" s="49"/>
      <c r="I3386" s="49"/>
    </row>
    <row r="3387" ht="15.75" customHeight="1" spans="1:9">
      <c r="A3387" s="49"/>
      <c r="B3387" s="36" t="s">
        <v>4806</v>
      </c>
      <c r="C3387" s="36" t="s">
        <v>4824</v>
      </c>
      <c r="D3387" s="49"/>
      <c r="E3387" s="49"/>
      <c r="F3387" s="49"/>
      <c r="G3387" s="49"/>
      <c r="H3387" s="49"/>
      <c r="I3387" s="49"/>
    </row>
    <row r="3388" ht="15.75" customHeight="1" spans="1:9">
      <c r="A3388" s="49"/>
      <c r="B3388" s="36" t="s">
        <v>4806</v>
      </c>
      <c r="C3388" s="36" t="s">
        <v>4825</v>
      </c>
      <c r="D3388" s="49"/>
      <c r="E3388" s="49"/>
      <c r="F3388" s="49"/>
      <c r="G3388" s="49"/>
      <c r="H3388" s="49"/>
      <c r="I3388" s="49"/>
    </row>
    <row r="3389" ht="15.75" customHeight="1" spans="1:9">
      <c r="A3389" s="49"/>
      <c r="B3389" s="36" t="s">
        <v>4806</v>
      </c>
      <c r="C3389" s="36" t="s">
        <v>4826</v>
      </c>
      <c r="D3389" s="49"/>
      <c r="E3389" s="49"/>
      <c r="F3389" s="49"/>
      <c r="G3389" s="49"/>
      <c r="H3389" s="49"/>
      <c r="I3389" s="49"/>
    </row>
    <row r="3390" ht="15.75" customHeight="1" spans="1:9">
      <c r="A3390" s="49"/>
      <c r="B3390" s="36" t="s">
        <v>4806</v>
      </c>
      <c r="C3390" s="36" t="s">
        <v>4827</v>
      </c>
      <c r="D3390" s="49"/>
      <c r="E3390" s="49"/>
      <c r="F3390" s="49"/>
      <c r="G3390" s="49"/>
      <c r="H3390" s="49"/>
      <c r="I3390" s="49"/>
    </row>
    <row r="3391" ht="15.75" customHeight="1" spans="1:9">
      <c r="A3391" s="49"/>
      <c r="B3391" s="36" t="s">
        <v>4806</v>
      </c>
      <c r="C3391" s="36" t="s">
        <v>4828</v>
      </c>
      <c r="D3391" s="49"/>
      <c r="E3391" s="49"/>
      <c r="F3391" s="49"/>
      <c r="G3391" s="49"/>
      <c r="H3391" s="49"/>
      <c r="I3391" s="49"/>
    </row>
    <row r="3392" ht="15.75" customHeight="1" spans="1:9">
      <c r="A3392" s="49"/>
      <c r="B3392" s="36" t="s">
        <v>4806</v>
      </c>
      <c r="C3392" s="36" t="s">
        <v>4829</v>
      </c>
      <c r="D3392" s="49"/>
      <c r="E3392" s="49"/>
      <c r="F3392" s="49"/>
      <c r="G3392" s="49"/>
      <c r="H3392" s="49"/>
      <c r="I3392" s="49"/>
    </row>
    <row r="3393" ht="15.75" customHeight="1" spans="1:9">
      <c r="A3393" s="49"/>
      <c r="B3393" s="36" t="s">
        <v>4806</v>
      </c>
      <c r="C3393" s="36" t="s">
        <v>4830</v>
      </c>
      <c r="D3393" s="49"/>
      <c r="E3393" s="49"/>
      <c r="F3393" s="49"/>
      <c r="G3393" s="49"/>
      <c r="H3393" s="49"/>
      <c r="I3393" s="49"/>
    </row>
    <row r="3394" ht="15.75" customHeight="1" spans="1:9">
      <c r="A3394" s="49"/>
      <c r="B3394" s="36" t="s">
        <v>4806</v>
      </c>
      <c r="C3394" s="36" t="s">
        <v>4831</v>
      </c>
      <c r="D3394" s="49"/>
      <c r="E3394" s="49"/>
      <c r="F3394" s="49"/>
      <c r="G3394" s="49"/>
      <c r="H3394" s="49"/>
      <c r="I3394" s="49"/>
    </row>
    <row r="3395" ht="15.75" customHeight="1" spans="1:9">
      <c r="A3395" s="49"/>
      <c r="B3395" s="36" t="s">
        <v>4806</v>
      </c>
      <c r="C3395" s="36" t="s">
        <v>4832</v>
      </c>
      <c r="D3395" s="49"/>
      <c r="E3395" s="49"/>
      <c r="F3395" s="49"/>
      <c r="G3395" s="49"/>
      <c r="H3395" s="49"/>
      <c r="I3395" s="49"/>
    </row>
    <row r="3396" ht="15.75" customHeight="1" spans="1:9">
      <c r="A3396" s="49"/>
      <c r="B3396" s="36" t="s">
        <v>4806</v>
      </c>
      <c r="C3396" s="36" t="s">
        <v>4833</v>
      </c>
      <c r="D3396" s="49"/>
      <c r="E3396" s="49"/>
      <c r="F3396" s="49"/>
      <c r="G3396" s="49"/>
      <c r="H3396" s="49"/>
      <c r="I3396" s="49"/>
    </row>
    <row r="3397" ht="15.75" customHeight="1" spans="1:9">
      <c r="A3397" s="49"/>
      <c r="B3397" s="36" t="s">
        <v>4806</v>
      </c>
      <c r="C3397" s="36" t="s">
        <v>4834</v>
      </c>
      <c r="D3397" s="49"/>
      <c r="E3397" s="49"/>
      <c r="F3397" s="49"/>
      <c r="G3397" s="49"/>
      <c r="H3397" s="49"/>
      <c r="I3397" s="49"/>
    </row>
    <row r="3398" ht="15.75" customHeight="1" spans="1:9">
      <c r="A3398" s="49"/>
      <c r="B3398" s="36" t="s">
        <v>4806</v>
      </c>
      <c r="C3398" s="36" t="s">
        <v>4835</v>
      </c>
      <c r="D3398" s="49"/>
      <c r="E3398" s="49"/>
      <c r="F3398" s="49"/>
      <c r="G3398" s="49"/>
      <c r="H3398" s="49"/>
      <c r="I3398" s="49"/>
    </row>
    <row r="3399" ht="15.75" customHeight="1" spans="1:9">
      <c r="A3399" s="49"/>
      <c r="B3399" s="36" t="s">
        <v>4806</v>
      </c>
      <c r="C3399" s="36" t="s">
        <v>4836</v>
      </c>
      <c r="D3399" s="49"/>
      <c r="E3399" s="49"/>
      <c r="F3399" s="49"/>
      <c r="G3399" s="49"/>
      <c r="H3399" s="49"/>
      <c r="I3399" s="49"/>
    </row>
    <row r="3400" ht="15.75" customHeight="1" spans="1:9">
      <c r="A3400" s="49"/>
      <c r="B3400" s="36" t="s">
        <v>4806</v>
      </c>
      <c r="C3400" s="36" t="s">
        <v>4837</v>
      </c>
      <c r="D3400" s="49"/>
      <c r="E3400" s="49"/>
      <c r="F3400" s="49"/>
      <c r="G3400" s="49"/>
      <c r="H3400" s="49"/>
      <c r="I3400" s="49"/>
    </row>
    <row r="3401" ht="15.75" customHeight="1" spans="1:9">
      <c r="A3401" s="49"/>
      <c r="B3401" s="36" t="s">
        <v>4806</v>
      </c>
      <c r="C3401" s="36" t="s">
        <v>4838</v>
      </c>
      <c r="D3401" s="49"/>
      <c r="E3401" s="49"/>
      <c r="F3401" s="49"/>
      <c r="G3401" s="49"/>
      <c r="H3401" s="49"/>
      <c r="I3401" s="49"/>
    </row>
    <row r="3402" ht="15.75" customHeight="1" spans="1:9">
      <c r="A3402" s="49"/>
      <c r="B3402" s="36" t="s">
        <v>4806</v>
      </c>
      <c r="C3402" s="36" t="s">
        <v>4799</v>
      </c>
      <c r="D3402" s="49"/>
      <c r="E3402" s="49"/>
      <c r="F3402" s="49"/>
      <c r="G3402" s="49"/>
      <c r="H3402" s="49"/>
      <c r="I3402" s="49"/>
    </row>
    <row r="3403" ht="15.75" customHeight="1" spans="1:9">
      <c r="A3403" s="49"/>
      <c r="B3403" s="36" t="s">
        <v>4806</v>
      </c>
      <c r="C3403" s="36" t="s">
        <v>4072</v>
      </c>
      <c r="D3403" s="49"/>
      <c r="E3403" s="49"/>
      <c r="F3403" s="49"/>
      <c r="G3403" s="49"/>
      <c r="H3403" s="49"/>
      <c r="I3403" s="49"/>
    </row>
    <row r="3404" ht="15.75" customHeight="1" spans="1:9">
      <c r="A3404" s="49"/>
      <c r="B3404" s="36" t="s">
        <v>4806</v>
      </c>
      <c r="C3404" s="36" t="s">
        <v>4839</v>
      </c>
      <c r="D3404" s="49"/>
      <c r="E3404" s="49"/>
      <c r="F3404" s="49"/>
      <c r="G3404" s="49"/>
      <c r="H3404" s="49"/>
      <c r="I3404" s="49"/>
    </row>
    <row r="3405" ht="15.75" customHeight="1" spans="1:9">
      <c r="A3405" s="49"/>
      <c r="B3405" s="36" t="s">
        <v>4806</v>
      </c>
      <c r="C3405" s="36" t="s">
        <v>4840</v>
      </c>
      <c r="D3405" s="49"/>
      <c r="E3405" s="49"/>
      <c r="F3405" s="49"/>
      <c r="G3405" s="49"/>
      <c r="H3405" s="49"/>
      <c r="I3405" s="49"/>
    </row>
    <row r="3406" ht="15.75" customHeight="1" spans="1:9">
      <c r="A3406" s="49"/>
      <c r="B3406" s="36" t="s">
        <v>4806</v>
      </c>
      <c r="C3406" s="36" t="s">
        <v>4841</v>
      </c>
      <c r="D3406" s="49"/>
      <c r="E3406" s="49"/>
      <c r="F3406" s="49"/>
      <c r="G3406" s="49"/>
      <c r="H3406" s="49"/>
      <c r="I3406" s="49"/>
    </row>
    <row r="3407" ht="15.75" customHeight="1" spans="1:9">
      <c r="A3407" s="49"/>
      <c r="B3407" s="36" t="s">
        <v>4806</v>
      </c>
      <c r="C3407" s="36" t="s">
        <v>4386</v>
      </c>
      <c r="D3407" s="49"/>
      <c r="E3407" s="49"/>
      <c r="F3407" s="49"/>
      <c r="G3407" s="49"/>
      <c r="H3407" s="49"/>
      <c r="I3407" s="49"/>
    </row>
    <row r="3408" ht="15.75" customHeight="1" spans="1:9">
      <c r="A3408" s="49"/>
      <c r="B3408" s="36" t="s">
        <v>4806</v>
      </c>
      <c r="C3408" s="36" t="s">
        <v>4842</v>
      </c>
      <c r="D3408" s="49"/>
      <c r="E3408" s="49"/>
      <c r="F3408" s="49"/>
      <c r="G3408" s="49"/>
      <c r="H3408" s="49"/>
      <c r="I3408" s="49"/>
    </row>
    <row r="3409" ht="15.75" customHeight="1" spans="1:9">
      <c r="A3409" s="49"/>
      <c r="B3409" s="36" t="s">
        <v>4806</v>
      </c>
      <c r="C3409" s="36" t="s">
        <v>4843</v>
      </c>
      <c r="D3409" s="49"/>
      <c r="E3409" s="49"/>
      <c r="F3409" s="49"/>
      <c r="G3409" s="49"/>
      <c r="H3409" s="49"/>
      <c r="I3409" s="49"/>
    </row>
    <row r="3410" ht="15.75" customHeight="1" spans="1:9">
      <c r="A3410" s="49"/>
      <c r="B3410" s="36" t="s">
        <v>4806</v>
      </c>
      <c r="C3410" s="36" t="s">
        <v>4844</v>
      </c>
      <c r="D3410" s="49"/>
      <c r="E3410" s="49"/>
      <c r="F3410" s="49"/>
      <c r="G3410" s="49"/>
      <c r="H3410" s="49"/>
      <c r="I3410" s="49"/>
    </row>
    <row r="3411" ht="15.75" customHeight="1" spans="1:9">
      <c r="A3411" s="49"/>
      <c r="B3411" s="36" t="s">
        <v>4806</v>
      </c>
      <c r="C3411" s="36" t="s">
        <v>4845</v>
      </c>
      <c r="D3411" s="49"/>
      <c r="E3411" s="49"/>
      <c r="F3411" s="49"/>
      <c r="G3411" s="49"/>
      <c r="H3411" s="49"/>
      <c r="I3411" s="49"/>
    </row>
    <row r="3412" ht="15.75" customHeight="1" spans="1:9">
      <c r="A3412" s="49"/>
      <c r="B3412" s="36" t="s">
        <v>4806</v>
      </c>
      <c r="C3412" s="36" t="s">
        <v>4846</v>
      </c>
      <c r="D3412" s="49"/>
      <c r="E3412" s="49"/>
      <c r="F3412" s="49"/>
      <c r="G3412" s="49"/>
      <c r="H3412" s="49"/>
      <c r="I3412" s="49"/>
    </row>
    <row r="3413" ht="15.75" customHeight="1" spans="1:9">
      <c r="A3413" s="49"/>
      <c r="B3413" s="36" t="s">
        <v>4806</v>
      </c>
      <c r="C3413" s="36" t="s">
        <v>4847</v>
      </c>
      <c r="D3413" s="49"/>
      <c r="E3413" s="49"/>
      <c r="F3413" s="49"/>
      <c r="G3413" s="49"/>
      <c r="H3413" s="49"/>
      <c r="I3413" s="49"/>
    </row>
    <row r="3414" ht="15.75" customHeight="1" spans="1:9">
      <c r="A3414" s="49"/>
      <c r="B3414" s="36" t="s">
        <v>4806</v>
      </c>
      <c r="C3414" s="36" t="s">
        <v>4848</v>
      </c>
      <c r="D3414" s="49"/>
      <c r="E3414" s="49"/>
      <c r="F3414" s="49"/>
      <c r="G3414" s="49"/>
      <c r="H3414" s="49"/>
      <c r="I3414" s="49"/>
    </row>
    <row r="3415" ht="15.75" customHeight="1" spans="1:9">
      <c r="A3415" s="49"/>
      <c r="B3415" s="36" t="s">
        <v>4806</v>
      </c>
      <c r="C3415" s="36" t="s">
        <v>4849</v>
      </c>
      <c r="D3415" s="49"/>
      <c r="E3415" s="49"/>
      <c r="F3415" s="49"/>
      <c r="G3415" s="49"/>
      <c r="H3415" s="49"/>
      <c r="I3415" s="49"/>
    </row>
    <row r="3416" ht="15.75" customHeight="1" spans="1:9">
      <c r="A3416" s="49"/>
      <c r="B3416" s="36" t="s">
        <v>4806</v>
      </c>
      <c r="C3416" s="36" t="s">
        <v>4850</v>
      </c>
      <c r="D3416" s="49"/>
      <c r="E3416" s="49"/>
      <c r="F3416" s="49"/>
      <c r="G3416" s="49"/>
      <c r="H3416" s="49"/>
      <c r="I3416" s="49"/>
    </row>
    <row r="3417" ht="15.75" customHeight="1" spans="1:9">
      <c r="A3417" s="49"/>
      <c r="B3417" s="36" t="s">
        <v>4806</v>
      </c>
      <c r="C3417" s="36" t="s">
        <v>4851</v>
      </c>
      <c r="D3417" s="49"/>
      <c r="E3417" s="49"/>
      <c r="F3417" s="49"/>
      <c r="G3417" s="49"/>
      <c r="H3417" s="49"/>
      <c r="I3417" s="49"/>
    </row>
    <row r="3418" ht="15.75" customHeight="1" spans="1:9">
      <c r="A3418" s="49"/>
      <c r="B3418" s="36" t="s">
        <v>4806</v>
      </c>
      <c r="C3418" s="36" t="s">
        <v>4852</v>
      </c>
      <c r="D3418" s="49"/>
      <c r="E3418" s="49"/>
      <c r="F3418" s="49"/>
      <c r="G3418" s="49"/>
      <c r="H3418" s="49"/>
      <c r="I3418" s="49"/>
    </row>
    <row r="3419" ht="15.75" customHeight="1" spans="1:9">
      <c r="A3419" s="49"/>
      <c r="B3419" s="36" t="s">
        <v>4806</v>
      </c>
      <c r="C3419" s="36" t="s">
        <v>4853</v>
      </c>
      <c r="D3419" s="49"/>
      <c r="E3419" s="49"/>
      <c r="F3419" s="49"/>
      <c r="G3419" s="49"/>
      <c r="H3419" s="49"/>
      <c r="I3419" s="49"/>
    </row>
    <row r="3420" ht="15.75" customHeight="1" spans="1:9">
      <c r="A3420" s="49"/>
      <c r="B3420" s="36" t="s">
        <v>4806</v>
      </c>
      <c r="C3420" s="36" t="s">
        <v>4854</v>
      </c>
      <c r="D3420" s="49"/>
      <c r="E3420" s="49"/>
      <c r="F3420" s="49"/>
      <c r="G3420" s="49"/>
      <c r="H3420" s="49"/>
      <c r="I3420" s="49"/>
    </row>
    <row r="3421" ht="15.75" customHeight="1" spans="1:9">
      <c r="A3421" s="49"/>
      <c r="B3421" s="36" t="s">
        <v>4806</v>
      </c>
      <c r="C3421" s="36" t="s">
        <v>4855</v>
      </c>
      <c r="D3421" s="49"/>
      <c r="E3421" s="49"/>
      <c r="F3421" s="49"/>
      <c r="G3421" s="49"/>
      <c r="H3421" s="49"/>
      <c r="I3421" s="49"/>
    </row>
    <row r="3422" ht="15.75" customHeight="1" spans="1:9">
      <c r="A3422" s="49"/>
      <c r="B3422" s="36" t="s">
        <v>4806</v>
      </c>
      <c r="C3422" s="36" t="s">
        <v>4856</v>
      </c>
      <c r="D3422" s="49"/>
      <c r="E3422" s="49"/>
      <c r="F3422" s="49"/>
      <c r="G3422" s="49"/>
      <c r="H3422" s="49"/>
      <c r="I3422" s="49"/>
    </row>
    <row r="3423" ht="15.75" customHeight="1" spans="1:9">
      <c r="A3423" s="49"/>
      <c r="B3423" s="36" t="s">
        <v>4806</v>
      </c>
      <c r="C3423" s="36" t="s">
        <v>4857</v>
      </c>
      <c r="D3423" s="49"/>
      <c r="E3423" s="49"/>
      <c r="F3423" s="49"/>
      <c r="G3423" s="49"/>
      <c r="H3423" s="49"/>
      <c r="I3423" s="49"/>
    </row>
    <row r="3424" ht="15.75" customHeight="1" spans="1:9">
      <c r="A3424" s="49"/>
      <c r="B3424" s="36" t="s">
        <v>4806</v>
      </c>
      <c r="C3424" s="36" t="s">
        <v>4858</v>
      </c>
      <c r="D3424" s="49"/>
      <c r="E3424" s="49"/>
      <c r="F3424" s="49"/>
      <c r="G3424" s="49"/>
      <c r="H3424" s="49"/>
      <c r="I3424" s="49"/>
    </row>
    <row r="3425" ht="15.75" customHeight="1" spans="1:9">
      <c r="A3425" s="49"/>
      <c r="B3425" s="36" t="s">
        <v>4806</v>
      </c>
      <c r="C3425" s="36" t="s">
        <v>4859</v>
      </c>
      <c r="D3425" s="49"/>
      <c r="E3425" s="49"/>
      <c r="F3425" s="49"/>
      <c r="G3425" s="49"/>
      <c r="H3425" s="49"/>
      <c r="I3425" s="49"/>
    </row>
    <row r="3426" ht="15.75" customHeight="1" spans="1:9">
      <c r="A3426" s="49"/>
      <c r="B3426" s="36" t="s">
        <v>4806</v>
      </c>
      <c r="C3426" s="36" t="s">
        <v>4860</v>
      </c>
      <c r="D3426" s="49"/>
      <c r="E3426" s="49"/>
      <c r="F3426" s="49"/>
      <c r="G3426" s="49"/>
      <c r="H3426" s="49"/>
      <c r="I3426" s="49"/>
    </row>
    <row r="3427" ht="15.75" customHeight="1" spans="1:9">
      <c r="A3427" s="49"/>
      <c r="B3427" s="36" t="s">
        <v>4806</v>
      </c>
      <c r="C3427" s="36" t="s">
        <v>4861</v>
      </c>
      <c r="D3427" s="49"/>
      <c r="E3427" s="49"/>
      <c r="F3427" s="49"/>
      <c r="G3427" s="49"/>
      <c r="H3427" s="49"/>
      <c r="I3427" s="49"/>
    </row>
    <row r="3428" ht="15.75" customHeight="1" spans="1:9">
      <c r="A3428" s="49"/>
      <c r="B3428" s="36" t="s">
        <v>4806</v>
      </c>
      <c r="C3428" s="36" t="s">
        <v>4409</v>
      </c>
      <c r="D3428" s="49"/>
      <c r="E3428" s="49"/>
      <c r="F3428" s="49"/>
      <c r="G3428" s="49"/>
      <c r="H3428" s="49"/>
      <c r="I3428" s="49"/>
    </row>
    <row r="3429" ht="15.75" customHeight="1" spans="1:9">
      <c r="A3429" s="49"/>
      <c r="B3429" s="36" t="s">
        <v>4806</v>
      </c>
      <c r="C3429" s="36" t="s">
        <v>4405</v>
      </c>
      <c r="D3429" s="49"/>
      <c r="E3429" s="49"/>
      <c r="F3429" s="49"/>
      <c r="G3429" s="49"/>
      <c r="H3429" s="49"/>
      <c r="I3429" s="49"/>
    </row>
    <row r="3430" ht="15.75" customHeight="1" spans="1:9">
      <c r="A3430" s="49"/>
      <c r="B3430" s="36" t="s">
        <v>4806</v>
      </c>
      <c r="C3430" s="36" t="s">
        <v>4862</v>
      </c>
      <c r="D3430" s="49"/>
      <c r="E3430" s="49"/>
      <c r="F3430" s="49"/>
      <c r="G3430" s="49"/>
      <c r="H3430" s="49"/>
      <c r="I3430" s="49"/>
    </row>
    <row r="3431" ht="15.75" customHeight="1" spans="1:9">
      <c r="A3431" s="49"/>
      <c r="B3431" s="36" t="s">
        <v>4806</v>
      </c>
      <c r="C3431" s="36" t="s">
        <v>4863</v>
      </c>
      <c r="D3431" s="49"/>
      <c r="E3431" s="49"/>
      <c r="F3431" s="49"/>
      <c r="G3431" s="49"/>
      <c r="H3431" s="49"/>
      <c r="I3431" s="49"/>
    </row>
    <row r="3432" ht="15.75" customHeight="1" spans="1:9">
      <c r="A3432" s="49"/>
      <c r="B3432" s="36" t="s">
        <v>4806</v>
      </c>
      <c r="C3432" s="36" t="s">
        <v>4864</v>
      </c>
      <c r="D3432" s="49"/>
      <c r="E3432" s="49"/>
      <c r="F3432" s="49"/>
      <c r="G3432" s="49"/>
      <c r="H3432" s="49"/>
      <c r="I3432" s="49"/>
    </row>
    <row r="3433" ht="15.75" customHeight="1" spans="1:9">
      <c r="A3433" s="49"/>
      <c r="B3433" s="36" t="s">
        <v>4806</v>
      </c>
      <c r="C3433" s="36" t="s">
        <v>4865</v>
      </c>
      <c r="D3433" s="49"/>
      <c r="E3433" s="49"/>
      <c r="F3433" s="49"/>
      <c r="G3433" s="49"/>
      <c r="H3433" s="49"/>
      <c r="I3433" s="49"/>
    </row>
    <row r="3434" ht="15.75" customHeight="1" spans="1:9">
      <c r="A3434" s="49"/>
      <c r="B3434" s="36" t="s">
        <v>4806</v>
      </c>
      <c r="C3434" s="36" t="s">
        <v>4866</v>
      </c>
      <c r="D3434" s="49"/>
      <c r="E3434" s="49"/>
      <c r="F3434" s="49"/>
      <c r="G3434" s="49"/>
      <c r="H3434" s="49"/>
      <c r="I3434" s="49"/>
    </row>
    <row r="3435" ht="15.75" customHeight="1" spans="1:9">
      <c r="A3435" s="49"/>
      <c r="B3435" s="36" t="s">
        <v>4806</v>
      </c>
      <c r="C3435" s="36" t="s">
        <v>4867</v>
      </c>
      <c r="D3435" s="49"/>
      <c r="E3435" s="49"/>
      <c r="F3435" s="49"/>
      <c r="G3435" s="49"/>
      <c r="H3435" s="49"/>
      <c r="I3435" s="49"/>
    </row>
    <row r="3436" ht="15.75" customHeight="1" spans="1:9">
      <c r="A3436" s="49"/>
      <c r="B3436" s="36" t="s">
        <v>4806</v>
      </c>
      <c r="C3436" s="36" t="s">
        <v>4868</v>
      </c>
      <c r="D3436" s="49"/>
      <c r="E3436" s="49"/>
      <c r="F3436" s="49"/>
      <c r="G3436" s="49"/>
      <c r="H3436" s="49"/>
      <c r="I3436" s="49"/>
    </row>
    <row r="3437" ht="15.75" customHeight="1" spans="1:9">
      <c r="A3437" s="49"/>
      <c r="B3437" s="36" t="s">
        <v>4869</v>
      </c>
      <c r="C3437" s="36" t="s">
        <v>33</v>
      </c>
      <c r="D3437" s="49"/>
      <c r="E3437" s="49"/>
      <c r="F3437" s="49"/>
      <c r="G3437" s="49"/>
      <c r="H3437" s="49"/>
      <c r="I3437" s="49"/>
    </row>
    <row r="3438" ht="15.75" customHeight="1" spans="1:9">
      <c r="A3438" s="49"/>
      <c r="B3438" s="36" t="s">
        <v>4869</v>
      </c>
      <c r="C3438" s="36" t="s">
        <v>4390</v>
      </c>
      <c r="D3438" s="49"/>
      <c r="E3438" s="49"/>
      <c r="F3438" s="49"/>
      <c r="G3438" s="49"/>
      <c r="H3438" s="49"/>
      <c r="I3438" s="49"/>
    </row>
    <row r="3439" ht="15.75" customHeight="1" spans="1:9">
      <c r="A3439" s="49"/>
      <c r="B3439" s="36" t="s">
        <v>4869</v>
      </c>
      <c r="C3439" s="36" t="s">
        <v>4869</v>
      </c>
      <c r="D3439" s="49"/>
      <c r="E3439" s="49"/>
      <c r="F3439" s="49"/>
      <c r="G3439" s="49"/>
      <c r="H3439" s="49"/>
      <c r="I3439" s="49"/>
    </row>
    <row r="3440" ht="15.75" customHeight="1" spans="1:9">
      <c r="A3440" s="49"/>
      <c r="B3440" s="36" t="s">
        <v>4869</v>
      </c>
      <c r="C3440" s="36" t="s">
        <v>4870</v>
      </c>
      <c r="D3440" s="49"/>
      <c r="E3440" s="49"/>
      <c r="F3440" s="49"/>
      <c r="G3440" s="49"/>
      <c r="H3440" s="49"/>
      <c r="I3440" s="49"/>
    </row>
    <row r="3441" ht="15.75" customHeight="1" spans="1:9">
      <c r="A3441" s="49"/>
      <c r="B3441" s="36" t="s">
        <v>4869</v>
      </c>
      <c r="C3441" s="36" t="s">
        <v>4871</v>
      </c>
      <c r="D3441" s="49"/>
      <c r="E3441" s="49"/>
      <c r="F3441" s="49"/>
      <c r="G3441" s="49"/>
      <c r="H3441" s="49"/>
      <c r="I3441" s="49"/>
    </row>
    <row r="3442" ht="15.75" customHeight="1" spans="1:9">
      <c r="A3442" s="49"/>
      <c r="B3442" s="36" t="s">
        <v>4869</v>
      </c>
      <c r="C3442" s="36" t="s">
        <v>4872</v>
      </c>
      <c r="D3442" s="49"/>
      <c r="E3442" s="49"/>
      <c r="F3442" s="49"/>
      <c r="G3442" s="49"/>
      <c r="H3442" s="49"/>
      <c r="I3442" s="49"/>
    </row>
    <row r="3443" ht="15.75" customHeight="1" spans="1:9">
      <c r="A3443" s="49"/>
      <c r="B3443" s="36" t="s">
        <v>4869</v>
      </c>
      <c r="C3443" s="36" t="s">
        <v>4873</v>
      </c>
      <c r="D3443" s="49"/>
      <c r="E3443" s="49"/>
      <c r="F3443" s="49"/>
      <c r="G3443" s="49"/>
      <c r="H3443" s="49"/>
      <c r="I3443" s="49"/>
    </row>
    <row r="3444" ht="15.75" customHeight="1" spans="1:9">
      <c r="A3444" s="49"/>
      <c r="B3444" s="36" t="s">
        <v>4869</v>
      </c>
      <c r="C3444" s="36" t="s">
        <v>4874</v>
      </c>
      <c r="D3444" s="49"/>
      <c r="E3444" s="49"/>
      <c r="F3444" s="49"/>
      <c r="G3444" s="49"/>
      <c r="H3444" s="49"/>
      <c r="I3444" s="49"/>
    </row>
    <row r="3445" ht="15.75" customHeight="1" spans="1:9">
      <c r="A3445" s="49"/>
      <c r="B3445" s="36" t="s">
        <v>4869</v>
      </c>
      <c r="C3445" s="36" t="s">
        <v>4628</v>
      </c>
      <c r="D3445" s="49"/>
      <c r="E3445" s="49"/>
      <c r="F3445" s="49"/>
      <c r="G3445" s="49"/>
      <c r="H3445" s="49"/>
      <c r="I3445" s="49"/>
    </row>
    <row r="3446" ht="15.75" customHeight="1" spans="1:9">
      <c r="A3446" s="49"/>
      <c r="B3446" s="36" t="s">
        <v>4869</v>
      </c>
      <c r="C3446" s="36" t="s">
        <v>4875</v>
      </c>
      <c r="D3446" s="49"/>
      <c r="E3446" s="49"/>
      <c r="F3446" s="49"/>
      <c r="G3446" s="49"/>
      <c r="H3446" s="49"/>
      <c r="I3446" s="49"/>
    </row>
    <row r="3447" ht="15.75" customHeight="1" spans="1:9">
      <c r="A3447" s="49"/>
      <c r="B3447" s="36" t="s">
        <v>4869</v>
      </c>
      <c r="C3447" s="36" t="s">
        <v>4876</v>
      </c>
      <c r="D3447" s="49"/>
      <c r="E3447" s="49"/>
      <c r="F3447" s="49"/>
      <c r="G3447" s="49"/>
      <c r="H3447" s="49"/>
      <c r="I3447" s="49"/>
    </row>
    <row r="3448" ht="15.75" customHeight="1" spans="1:9">
      <c r="A3448" s="49"/>
      <c r="B3448" s="36" t="s">
        <v>4869</v>
      </c>
      <c r="C3448" s="36" t="s">
        <v>4877</v>
      </c>
      <c r="D3448" s="49"/>
      <c r="E3448" s="49"/>
      <c r="F3448" s="49"/>
      <c r="G3448" s="49"/>
      <c r="H3448" s="49"/>
      <c r="I3448" s="49"/>
    </row>
    <row r="3449" ht="15.75" customHeight="1" spans="1:9">
      <c r="A3449" s="49"/>
      <c r="B3449" s="36" t="s">
        <v>4869</v>
      </c>
      <c r="C3449" s="36" t="s">
        <v>4878</v>
      </c>
      <c r="D3449" s="49"/>
      <c r="E3449" s="49"/>
      <c r="F3449" s="49"/>
      <c r="G3449" s="49"/>
      <c r="H3449" s="49"/>
      <c r="I3449" s="49"/>
    </row>
    <row r="3450" ht="15.75" customHeight="1" spans="1:9">
      <c r="A3450" s="49"/>
      <c r="B3450" s="36" t="s">
        <v>4869</v>
      </c>
      <c r="C3450" s="36" t="s">
        <v>4879</v>
      </c>
      <c r="D3450" s="49"/>
      <c r="E3450" s="49"/>
      <c r="F3450" s="49"/>
      <c r="G3450" s="49"/>
      <c r="H3450" s="49"/>
      <c r="I3450" s="49"/>
    </row>
    <row r="3451" ht="15.75" customHeight="1" spans="1:9">
      <c r="A3451" s="49"/>
      <c r="B3451" s="36" t="s">
        <v>4869</v>
      </c>
      <c r="C3451" s="36" t="s">
        <v>4880</v>
      </c>
      <c r="D3451" s="49"/>
      <c r="E3451" s="49"/>
      <c r="F3451" s="49"/>
      <c r="G3451" s="49"/>
      <c r="H3451" s="49"/>
      <c r="I3451" s="49"/>
    </row>
    <row r="3452" ht="15.75" customHeight="1" spans="1:9">
      <c r="A3452" s="49"/>
      <c r="B3452" s="36" t="s">
        <v>4869</v>
      </c>
      <c r="C3452" s="36" t="s">
        <v>4059</v>
      </c>
      <c r="D3452" s="49"/>
      <c r="E3452" s="49"/>
      <c r="F3452" s="49"/>
      <c r="G3452" s="49"/>
      <c r="H3452" s="49"/>
      <c r="I3452" s="49"/>
    </row>
    <row r="3453" ht="15.75" customHeight="1" spans="1:9">
      <c r="A3453" s="49"/>
      <c r="B3453" s="36" t="s">
        <v>4869</v>
      </c>
      <c r="C3453" s="36" t="s">
        <v>4881</v>
      </c>
      <c r="D3453" s="49"/>
      <c r="E3453" s="49"/>
      <c r="F3453" s="49"/>
      <c r="G3453" s="49"/>
      <c r="H3453" s="49"/>
      <c r="I3453" s="49"/>
    </row>
    <row r="3454" ht="15.75" customHeight="1" spans="1:9">
      <c r="A3454" s="49"/>
      <c r="B3454" s="36" t="s">
        <v>4869</v>
      </c>
      <c r="C3454" s="36" t="s">
        <v>4882</v>
      </c>
      <c r="D3454" s="49"/>
      <c r="E3454" s="49"/>
      <c r="F3454" s="49"/>
      <c r="G3454" s="49"/>
      <c r="H3454" s="49"/>
      <c r="I3454" s="49"/>
    </row>
    <row r="3455" ht="15.75" customHeight="1" spans="1:9">
      <c r="A3455" s="49"/>
      <c r="B3455" s="36" t="s">
        <v>4869</v>
      </c>
      <c r="C3455" s="36" t="s">
        <v>4883</v>
      </c>
      <c r="D3455" s="49"/>
      <c r="E3455" s="49"/>
      <c r="F3455" s="49"/>
      <c r="G3455" s="49"/>
      <c r="H3455" s="49"/>
      <c r="I3455" s="49"/>
    </row>
    <row r="3456" ht="15.75" customHeight="1" spans="1:9">
      <c r="A3456" s="49"/>
      <c r="B3456" s="36" t="s">
        <v>4869</v>
      </c>
      <c r="C3456" s="36" t="s">
        <v>4884</v>
      </c>
      <c r="D3456" s="49"/>
      <c r="E3456" s="49"/>
      <c r="F3456" s="49"/>
      <c r="G3456" s="49"/>
      <c r="H3456" s="49"/>
      <c r="I3456" s="49"/>
    </row>
    <row r="3457" ht="15.75" customHeight="1" spans="1:9">
      <c r="A3457" s="49"/>
      <c r="B3457" s="36" t="s">
        <v>4869</v>
      </c>
      <c r="C3457" s="36" t="s">
        <v>4885</v>
      </c>
      <c r="D3457" s="49"/>
      <c r="E3457" s="49"/>
      <c r="F3457" s="49"/>
      <c r="G3457" s="49"/>
      <c r="H3457" s="49"/>
      <c r="I3457" s="49"/>
    </row>
    <row r="3458" ht="15.75" customHeight="1" spans="1:9">
      <c r="A3458" s="49"/>
      <c r="B3458" s="36" t="s">
        <v>4869</v>
      </c>
      <c r="C3458" s="36" t="s">
        <v>4886</v>
      </c>
      <c r="D3458" s="49"/>
      <c r="E3458" s="49"/>
      <c r="F3458" s="49"/>
      <c r="G3458" s="49"/>
      <c r="H3458" s="49"/>
      <c r="I3458" s="49"/>
    </row>
    <row r="3459" ht="15.75" customHeight="1" spans="1:9">
      <c r="A3459" s="49"/>
      <c r="B3459" s="36" t="s">
        <v>4869</v>
      </c>
      <c r="C3459" s="36" t="s">
        <v>4887</v>
      </c>
      <c r="D3459" s="49"/>
      <c r="E3459" s="49"/>
      <c r="F3459" s="49"/>
      <c r="G3459" s="49"/>
      <c r="H3459" s="49"/>
      <c r="I3459" s="49"/>
    </row>
    <row r="3460" ht="15.75" customHeight="1" spans="1:9">
      <c r="A3460" s="49"/>
      <c r="B3460" s="36" t="s">
        <v>4869</v>
      </c>
      <c r="C3460" s="36" t="s">
        <v>4649</v>
      </c>
      <c r="D3460" s="49"/>
      <c r="E3460" s="49"/>
      <c r="F3460" s="49"/>
      <c r="G3460" s="49"/>
      <c r="H3460" s="49"/>
      <c r="I3460" s="49"/>
    </row>
    <row r="3461" ht="15.75" customHeight="1" spans="1:9">
      <c r="A3461" s="49"/>
      <c r="B3461" s="36" t="s">
        <v>4869</v>
      </c>
      <c r="C3461" s="36" t="s">
        <v>4888</v>
      </c>
      <c r="D3461" s="49"/>
      <c r="E3461" s="49"/>
      <c r="F3461" s="49"/>
      <c r="G3461" s="49"/>
      <c r="H3461" s="49"/>
      <c r="I3461" s="49"/>
    </row>
    <row r="3462" ht="15.75" customHeight="1" spans="1:9">
      <c r="A3462" s="49"/>
      <c r="B3462" s="36" t="s">
        <v>4869</v>
      </c>
      <c r="C3462" s="36" t="s">
        <v>4889</v>
      </c>
      <c r="D3462" s="49"/>
      <c r="E3462" s="49"/>
      <c r="F3462" s="49"/>
      <c r="G3462" s="49"/>
      <c r="H3462" s="49"/>
      <c r="I3462" s="49"/>
    </row>
    <row r="3463" ht="15.75" customHeight="1" spans="1:9">
      <c r="A3463" s="49"/>
      <c r="B3463" s="36" t="s">
        <v>4869</v>
      </c>
      <c r="C3463" s="36" t="s">
        <v>4890</v>
      </c>
      <c r="D3463" s="49"/>
      <c r="E3463" s="49"/>
      <c r="F3463" s="49"/>
      <c r="G3463" s="49"/>
      <c r="H3463" s="49"/>
      <c r="I3463" s="49"/>
    </row>
    <row r="3464" ht="15.75" customHeight="1" spans="1:9">
      <c r="A3464" s="49"/>
      <c r="B3464" s="36" t="s">
        <v>4869</v>
      </c>
      <c r="C3464" s="36" t="s">
        <v>4891</v>
      </c>
      <c r="D3464" s="49"/>
      <c r="E3464" s="49"/>
      <c r="F3464" s="49"/>
      <c r="G3464" s="49"/>
      <c r="H3464" s="49"/>
      <c r="I3464" s="49"/>
    </row>
    <row r="3465" ht="15.75" customHeight="1" spans="1:9">
      <c r="A3465" s="49"/>
      <c r="B3465" s="36" t="s">
        <v>4869</v>
      </c>
      <c r="C3465" s="36" t="s">
        <v>4892</v>
      </c>
      <c r="D3465" s="49"/>
      <c r="E3465" s="49"/>
      <c r="F3465" s="49"/>
      <c r="G3465" s="49"/>
      <c r="H3465" s="49"/>
      <c r="I3465" s="49"/>
    </row>
    <row r="3466" ht="15.75" customHeight="1" spans="1:9">
      <c r="A3466" s="49"/>
      <c r="B3466" s="36" t="s">
        <v>4869</v>
      </c>
      <c r="C3466" s="36" t="s">
        <v>4893</v>
      </c>
      <c r="D3466" s="49"/>
      <c r="E3466" s="49"/>
      <c r="F3466" s="49"/>
      <c r="G3466" s="49"/>
      <c r="H3466" s="49"/>
      <c r="I3466" s="49"/>
    </row>
    <row r="3467" ht="15.75" customHeight="1" spans="1:9">
      <c r="A3467" s="49"/>
      <c r="B3467" s="36" t="s">
        <v>4869</v>
      </c>
      <c r="C3467" s="36" t="s">
        <v>4894</v>
      </c>
      <c r="D3467" s="49"/>
      <c r="E3467" s="49"/>
      <c r="F3467" s="49"/>
      <c r="G3467" s="49"/>
      <c r="H3467" s="49"/>
      <c r="I3467" s="49"/>
    </row>
    <row r="3468" ht="15.75" customHeight="1" spans="1:9">
      <c r="A3468" s="49"/>
      <c r="B3468" s="36" t="s">
        <v>4869</v>
      </c>
      <c r="C3468" s="36" t="s">
        <v>4631</v>
      </c>
      <c r="D3468" s="49"/>
      <c r="E3468" s="49"/>
      <c r="F3468" s="49"/>
      <c r="G3468" s="49"/>
      <c r="H3468" s="49"/>
      <c r="I3468" s="49"/>
    </row>
    <row r="3469" ht="15.75" customHeight="1" spans="1:9">
      <c r="A3469" s="49"/>
      <c r="B3469" s="36" t="s">
        <v>4869</v>
      </c>
      <c r="C3469" s="36" t="s">
        <v>4895</v>
      </c>
      <c r="D3469" s="49"/>
      <c r="E3469" s="49"/>
      <c r="F3469" s="49"/>
      <c r="G3469" s="49"/>
      <c r="H3469" s="49"/>
      <c r="I3469" s="49"/>
    </row>
    <row r="3470" ht="15.75" customHeight="1" spans="1:9">
      <c r="A3470" s="49"/>
      <c r="B3470" s="36" t="s">
        <v>4869</v>
      </c>
      <c r="C3470" s="36" t="s">
        <v>4896</v>
      </c>
      <c r="D3470" s="49"/>
      <c r="E3470" s="49"/>
      <c r="F3470" s="49"/>
      <c r="G3470" s="49"/>
      <c r="H3470" s="49"/>
      <c r="I3470" s="49"/>
    </row>
    <row r="3471" ht="15.75" customHeight="1" spans="1:9">
      <c r="A3471" s="49"/>
      <c r="B3471" s="36" t="s">
        <v>4869</v>
      </c>
      <c r="C3471" s="36" t="s">
        <v>4897</v>
      </c>
      <c r="D3471" s="49"/>
      <c r="E3471" s="49"/>
      <c r="F3471" s="49"/>
      <c r="G3471" s="49"/>
      <c r="H3471" s="49"/>
      <c r="I3471" s="49"/>
    </row>
    <row r="3472" ht="15.75" customHeight="1" spans="1:9">
      <c r="A3472" s="49"/>
      <c r="B3472" s="36" t="s">
        <v>4869</v>
      </c>
      <c r="C3472" s="36" t="s">
        <v>4898</v>
      </c>
      <c r="D3472" s="49"/>
      <c r="E3472" s="49"/>
      <c r="F3472" s="49"/>
      <c r="G3472" s="49"/>
      <c r="H3472" s="49"/>
      <c r="I3472" s="49"/>
    </row>
    <row r="3473" ht="15.75" customHeight="1" spans="1:9">
      <c r="A3473" s="49"/>
      <c r="B3473" s="36" t="s">
        <v>4869</v>
      </c>
      <c r="C3473" s="36" t="s">
        <v>4899</v>
      </c>
      <c r="D3473" s="49"/>
      <c r="E3473" s="49"/>
      <c r="F3473" s="49"/>
      <c r="G3473" s="49"/>
      <c r="H3473" s="49"/>
      <c r="I3473" s="49"/>
    </row>
    <row r="3474" ht="15.75" customHeight="1" spans="1:9">
      <c r="A3474" s="49"/>
      <c r="B3474" s="36" t="s">
        <v>4869</v>
      </c>
      <c r="C3474" s="36" t="s">
        <v>4900</v>
      </c>
      <c r="D3474" s="49"/>
      <c r="E3474" s="49"/>
      <c r="F3474" s="49"/>
      <c r="G3474" s="49"/>
      <c r="H3474" s="49"/>
      <c r="I3474" s="49"/>
    </row>
    <row r="3475" ht="15.75" customHeight="1" spans="1:9">
      <c r="A3475" s="49"/>
      <c r="B3475" s="36" t="s">
        <v>4869</v>
      </c>
      <c r="C3475" s="36" t="s">
        <v>4901</v>
      </c>
      <c r="D3475" s="49"/>
      <c r="E3475" s="49"/>
      <c r="F3475" s="49"/>
      <c r="G3475" s="49"/>
      <c r="H3475" s="49"/>
      <c r="I3475" s="49"/>
    </row>
    <row r="3476" ht="15.75" customHeight="1" spans="1:9">
      <c r="A3476" s="49"/>
      <c r="B3476" s="36" t="s">
        <v>4869</v>
      </c>
      <c r="C3476" s="36" t="s">
        <v>4375</v>
      </c>
      <c r="D3476" s="49"/>
      <c r="E3476" s="49"/>
      <c r="F3476" s="49"/>
      <c r="G3476" s="49"/>
      <c r="H3476" s="49"/>
      <c r="I3476" s="49"/>
    </row>
    <row r="3477" ht="15.75" customHeight="1" spans="1:9">
      <c r="A3477" s="49"/>
      <c r="B3477" s="36" t="s">
        <v>4869</v>
      </c>
      <c r="C3477" s="36" t="s">
        <v>4902</v>
      </c>
      <c r="D3477" s="49"/>
      <c r="E3477" s="49"/>
      <c r="F3477" s="49"/>
      <c r="G3477" s="49"/>
      <c r="H3477" s="49"/>
      <c r="I3477" s="49"/>
    </row>
    <row r="3478" ht="15.75" customHeight="1" spans="1:9">
      <c r="A3478" s="49"/>
      <c r="B3478" s="36" t="s">
        <v>4869</v>
      </c>
      <c r="C3478" s="36" t="s">
        <v>4087</v>
      </c>
      <c r="D3478" s="49"/>
      <c r="E3478" s="49"/>
      <c r="F3478" s="49"/>
      <c r="G3478" s="49"/>
      <c r="H3478" s="49"/>
      <c r="I3478" s="49"/>
    </row>
    <row r="3479" ht="15.75" customHeight="1" spans="1:9">
      <c r="A3479" s="49"/>
      <c r="B3479" s="36" t="s">
        <v>4869</v>
      </c>
      <c r="C3479" s="36" t="s">
        <v>4903</v>
      </c>
      <c r="D3479" s="49"/>
      <c r="E3479" s="49"/>
      <c r="F3479" s="49"/>
      <c r="G3479" s="49"/>
      <c r="H3479" s="49"/>
      <c r="I3479" s="49"/>
    </row>
    <row r="3480" ht="15.75" customHeight="1" spans="1:9">
      <c r="A3480" s="49"/>
      <c r="B3480" s="36" t="s">
        <v>4869</v>
      </c>
      <c r="C3480" s="36" t="s">
        <v>4904</v>
      </c>
      <c r="D3480" s="49"/>
      <c r="E3480" s="49"/>
      <c r="F3480" s="49"/>
      <c r="G3480" s="49"/>
      <c r="H3480" s="49"/>
      <c r="I3480" s="49"/>
    </row>
    <row r="3481" ht="15.75" customHeight="1" spans="1:9">
      <c r="A3481" s="49"/>
      <c r="B3481" s="36" t="s">
        <v>4869</v>
      </c>
      <c r="C3481" s="36" t="s">
        <v>4905</v>
      </c>
      <c r="D3481" s="49"/>
      <c r="E3481" s="49"/>
      <c r="F3481" s="49"/>
      <c r="G3481" s="49"/>
      <c r="H3481" s="49"/>
      <c r="I3481" s="49"/>
    </row>
    <row r="3482" ht="15.75" customHeight="1" spans="1:9">
      <c r="A3482" s="49"/>
      <c r="B3482" s="36" t="s">
        <v>4869</v>
      </c>
      <c r="C3482" s="36" t="s">
        <v>4906</v>
      </c>
      <c r="D3482" s="49"/>
      <c r="E3482" s="49"/>
      <c r="F3482" s="49"/>
      <c r="G3482" s="49"/>
      <c r="H3482" s="49"/>
      <c r="I3482" s="49"/>
    </row>
    <row r="3483" ht="15.75" customHeight="1" spans="1:9">
      <c r="A3483" s="49"/>
      <c r="B3483" s="36" t="s">
        <v>4869</v>
      </c>
      <c r="C3483" s="36" t="s">
        <v>4633</v>
      </c>
      <c r="D3483" s="49"/>
      <c r="E3483" s="49"/>
      <c r="F3483" s="49"/>
      <c r="G3483" s="49"/>
      <c r="H3483" s="49"/>
      <c r="I3483" s="49"/>
    </row>
    <row r="3484" ht="15.75" customHeight="1" spans="1:9">
      <c r="A3484" s="49"/>
      <c r="B3484" s="36" t="s">
        <v>4869</v>
      </c>
      <c r="C3484" s="36" t="s">
        <v>4907</v>
      </c>
      <c r="D3484" s="49"/>
      <c r="E3484" s="49"/>
      <c r="F3484" s="49"/>
      <c r="G3484" s="49"/>
      <c r="H3484" s="49"/>
      <c r="I3484" s="49"/>
    </row>
    <row r="3485" ht="15.75" customHeight="1" spans="1:9">
      <c r="A3485" s="49"/>
      <c r="B3485" s="36" t="s">
        <v>4869</v>
      </c>
      <c r="C3485" s="36" t="s">
        <v>4908</v>
      </c>
      <c r="D3485" s="49"/>
      <c r="E3485" s="49"/>
      <c r="F3485" s="49"/>
      <c r="G3485" s="49"/>
      <c r="H3485" s="49"/>
      <c r="I3485" s="49"/>
    </row>
    <row r="3486" ht="15.75" customHeight="1" spans="1:9">
      <c r="A3486" s="49"/>
      <c r="B3486" s="36" t="s">
        <v>4869</v>
      </c>
      <c r="C3486" s="36" t="s">
        <v>4909</v>
      </c>
      <c r="D3486" s="49"/>
      <c r="E3486" s="49"/>
      <c r="F3486" s="49"/>
      <c r="G3486" s="49"/>
      <c r="H3486" s="49"/>
      <c r="I3486" s="49"/>
    </row>
    <row r="3487" ht="15.75" customHeight="1" spans="1:9">
      <c r="A3487" s="49"/>
      <c r="B3487" s="36" t="s">
        <v>4869</v>
      </c>
      <c r="C3487" s="36" t="s">
        <v>4910</v>
      </c>
      <c r="D3487" s="49"/>
      <c r="E3487" s="49"/>
      <c r="F3487" s="49"/>
      <c r="G3487" s="49"/>
      <c r="H3487" s="49"/>
      <c r="I3487" s="49"/>
    </row>
    <row r="3488" ht="15.75" customHeight="1" spans="1:9">
      <c r="A3488" s="49"/>
      <c r="B3488" s="36" t="s">
        <v>4869</v>
      </c>
      <c r="C3488" s="36" t="s">
        <v>4911</v>
      </c>
      <c r="D3488" s="49"/>
      <c r="E3488" s="49"/>
      <c r="F3488" s="49"/>
      <c r="G3488" s="49"/>
      <c r="H3488" s="49"/>
      <c r="I3488" s="49"/>
    </row>
    <row r="3489" ht="15.75" customHeight="1" spans="1:9">
      <c r="A3489" s="49"/>
      <c r="B3489" s="36" t="s">
        <v>4869</v>
      </c>
      <c r="C3489" s="36" t="s">
        <v>4912</v>
      </c>
      <c r="D3489" s="49"/>
      <c r="E3489" s="49"/>
      <c r="F3489" s="49"/>
      <c r="G3489" s="49"/>
      <c r="H3489" s="49"/>
      <c r="I3489" s="49"/>
    </row>
    <row r="3490" ht="15.75" customHeight="1" spans="1:9">
      <c r="A3490" s="49"/>
      <c r="B3490" s="36" t="s">
        <v>4869</v>
      </c>
      <c r="C3490" s="36" t="s">
        <v>4913</v>
      </c>
      <c r="D3490" s="49"/>
      <c r="E3490" s="49"/>
      <c r="F3490" s="49"/>
      <c r="G3490" s="49"/>
      <c r="H3490" s="49"/>
      <c r="I3490" s="49"/>
    </row>
    <row r="3491" ht="15.75" customHeight="1" spans="1:9">
      <c r="A3491" s="49"/>
      <c r="B3491" s="36" t="s">
        <v>4869</v>
      </c>
      <c r="C3491" s="36" t="s">
        <v>4914</v>
      </c>
      <c r="D3491" s="49"/>
      <c r="E3491" s="49"/>
      <c r="F3491" s="49"/>
      <c r="G3491" s="49"/>
      <c r="H3491" s="49"/>
      <c r="I3491" s="49"/>
    </row>
    <row r="3492" ht="15.75" customHeight="1" spans="1:9">
      <c r="A3492" s="49"/>
      <c r="B3492" s="36" t="s">
        <v>4869</v>
      </c>
      <c r="C3492" s="36" t="s">
        <v>4915</v>
      </c>
      <c r="D3492" s="49"/>
      <c r="E3492" s="49"/>
      <c r="F3492" s="49"/>
      <c r="G3492" s="49"/>
      <c r="H3492" s="49"/>
      <c r="I3492" s="49"/>
    </row>
    <row r="3493" ht="15.75" customHeight="1" spans="1:9">
      <c r="A3493" s="49"/>
      <c r="B3493" s="36" t="s">
        <v>4869</v>
      </c>
      <c r="C3493" s="36" t="s">
        <v>4916</v>
      </c>
      <c r="D3493" s="49"/>
      <c r="E3493" s="49"/>
      <c r="F3493" s="49"/>
      <c r="G3493" s="49"/>
      <c r="H3493" s="49"/>
      <c r="I3493" s="49"/>
    </row>
    <row r="3494" ht="15.75" customHeight="1" spans="1:9">
      <c r="A3494" s="49"/>
      <c r="B3494" s="36" t="s">
        <v>4869</v>
      </c>
      <c r="C3494" s="36" t="s">
        <v>4917</v>
      </c>
      <c r="D3494" s="49"/>
      <c r="E3494" s="49"/>
      <c r="F3494" s="49"/>
      <c r="G3494" s="49"/>
      <c r="H3494" s="49"/>
      <c r="I3494" s="49"/>
    </row>
    <row r="3495" ht="15.75" customHeight="1" spans="1:9">
      <c r="A3495" s="49"/>
      <c r="B3495" s="36" t="s">
        <v>4869</v>
      </c>
      <c r="C3495" s="36" t="s">
        <v>4918</v>
      </c>
      <c r="D3495" s="49"/>
      <c r="E3495" s="49"/>
      <c r="F3495" s="49"/>
      <c r="G3495" s="49"/>
      <c r="H3495" s="49"/>
      <c r="I3495" s="49"/>
    </row>
    <row r="3496" ht="15.75" customHeight="1" spans="1:9">
      <c r="A3496" s="49"/>
      <c r="B3496" s="36" t="s">
        <v>4869</v>
      </c>
      <c r="C3496" s="36" t="s">
        <v>4919</v>
      </c>
      <c r="D3496" s="49"/>
      <c r="E3496" s="49"/>
      <c r="F3496" s="49"/>
      <c r="G3496" s="49"/>
      <c r="H3496" s="49"/>
      <c r="I3496" s="49"/>
    </row>
    <row r="3497" ht="15.75" customHeight="1" spans="1:9">
      <c r="A3497" s="49"/>
      <c r="B3497" s="36" t="s">
        <v>4869</v>
      </c>
      <c r="C3497" s="36" t="s">
        <v>4920</v>
      </c>
      <c r="D3497" s="49"/>
      <c r="E3497" s="49"/>
      <c r="F3497" s="49"/>
      <c r="G3497" s="49"/>
      <c r="H3497" s="49"/>
      <c r="I3497" s="49"/>
    </row>
    <row r="3498" ht="15.75" customHeight="1" spans="1:9">
      <c r="A3498" s="49"/>
      <c r="B3498" s="36" t="s">
        <v>4869</v>
      </c>
      <c r="C3498" s="36" t="s">
        <v>4921</v>
      </c>
      <c r="D3498" s="49"/>
      <c r="E3498" s="49"/>
      <c r="F3498" s="49"/>
      <c r="G3498" s="49"/>
      <c r="H3498" s="49"/>
      <c r="I3498" s="49"/>
    </row>
    <row r="3499" ht="15.75" customHeight="1" spans="1:9">
      <c r="A3499" s="49"/>
      <c r="B3499" s="36" t="s">
        <v>4869</v>
      </c>
      <c r="C3499" s="36" t="s">
        <v>4922</v>
      </c>
      <c r="D3499" s="49"/>
      <c r="E3499" s="49"/>
      <c r="F3499" s="49"/>
      <c r="G3499" s="49"/>
      <c r="H3499" s="49"/>
      <c r="I3499" s="49"/>
    </row>
    <row r="3500" ht="15.75" customHeight="1" spans="1:9">
      <c r="A3500" s="49"/>
      <c r="B3500" s="36" t="s">
        <v>4869</v>
      </c>
      <c r="C3500" s="36" t="s">
        <v>4923</v>
      </c>
      <c r="D3500" s="49"/>
      <c r="E3500" s="49"/>
      <c r="F3500" s="49"/>
      <c r="G3500" s="49"/>
      <c r="H3500" s="49"/>
      <c r="I3500" s="49"/>
    </row>
    <row r="3501" ht="15.75" customHeight="1" spans="1:9">
      <c r="A3501" s="49"/>
      <c r="B3501" s="36" t="s">
        <v>4869</v>
      </c>
      <c r="C3501" s="36" t="s">
        <v>4924</v>
      </c>
      <c r="D3501" s="49"/>
      <c r="E3501" s="49"/>
      <c r="F3501" s="49"/>
      <c r="G3501" s="49"/>
      <c r="H3501" s="49"/>
      <c r="I3501" s="49"/>
    </row>
    <row r="3502" ht="15.75" customHeight="1" spans="1:9">
      <c r="A3502" s="49"/>
      <c r="B3502" s="36" t="s">
        <v>4869</v>
      </c>
      <c r="C3502" s="36" t="s">
        <v>4925</v>
      </c>
      <c r="D3502" s="49"/>
      <c r="E3502" s="49"/>
      <c r="F3502" s="49"/>
      <c r="G3502" s="49"/>
      <c r="H3502" s="49"/>
      <c r="I3502" s="49"/>
    </row>
    <row r="3503" ht="15.75" customHeight="1" spans="1:9">
      <c r="A3503" s="49"/>
      <c r="B3503" s="36" t="s">
        <v>4869</v>
      </c>
      <c r="C3503" s="36" t="s">
        <v>4926</v>
      </c>
      <c r="D3503" s="49"/>
      <c r="E3503" s="49"/>
      <c r="F3503" s="49"/>
      <c r="G3503" s="49"/>
      <c r="H3503" s="49"/>
      <c r="I3503" s="49"/>
    </row>
    <row r="3504" ht="15.75" customHeight="1" spans="1:9">
      <c r="A3504" s="49"/>
      <c r="B3504" s="36" t="s">
        <v>4869</v>
      </c>
      <c r="C3504" s="36" t="s">
        <v>4927</v>
      </c>
      <c r="D3504" s="49"/>
      <c r="E3504" s="49"/>
      <c r="F3504" s="49"/>
      <c r="G3504" s="49"/>
      <c r="H3504" s="49"/>
      <c r="I3504" s="49"/>
    </row>
    <row r="3505" ht="15.75" customHeight="1" spans="1:9">
      <c r="A3505" s="49"/>
      <c r="B3505" s="36" t="s">
        <v>4869</v>
      </c>
      <c r="C3505" s="36" t="s">
        <v>4928</v>
      </c>
      <c r="D3505" s="49"/>
      <c r="E3505" s="49"/>
      <c r="F3505" s="49"/>
      <c r="G3505" s="49"/>
      <c r="H3505" s="49"/>
      <c r="I3505" s="49"/>
    </row>
    <row r="3506" ht="15.75" customHeight="1" spans="1:9">
      <c r="A3506" s="49"/>
      <c r="B3506" s="36" t="s">
        <v>4869</v>
      </c>
      <c r="C3506" s="36" t="s">
        <v>4929</v>
      </c>
      <c r="D3506" s="49"/>
      <c r="E3506" s="49"/>
      <c r="F3506" s="49"/>
      <c r="G3506" s="49"/>
      <c r="H3506" s="49"/>
      <c r="I3506" s="49"/>
    </row>
    <row r="3507" ht="15.75" customHeight="1" spans="1:9">
      <c r="A3507" s="49"/>
      <c r="B3507" s="36" t="s">
        <v>4869</v>
      </c>
      <c r="C3507" s="36" t="s">
        <v>4930</v>
      </c>
      <c r="D3507" s="49"/>
      <c r="E3507" s="49"/>
      <c r="F3507" s="49"/>
      <c r="G3507" s="49"/>
      <c r="H3507" s="49"/>
      <c r="I3507" s="49"/>
    </row>
    <row r="3508" ht="15.75" customHeight="1" spans="1:9">
      <c r="A3508" s="49"/>
      <c r="B3508" s="36" t="s">
        <v>4869</v>
      </c>
      <c r="C3508" s="36" t="s">
        <v>4931</v>
      </c>
      <c r="D3508" s="49"/>
      <c r="E3508" s="49"/>
      <c r="F3508" s="49"/>
      <c r="G3508" s="49"/>
      <c r="H3508" s="49"/>
      <c r="I3508" s="49"/>
    </row>
    <row r="3509" ht="15.75" customHeight="1" spans="1:9">
      <c r="A3509" s="49"/>
      <c r="B3509" s="36" t="s">
        <v>4869</v>
      </c>
      <c r="C3509" s="36" t="s">
        <v>4932</v>
      </c>
      <c r="D3509" s="49"/>
      <c r="E3509" s="49"/>
      <c r="F3509" s="49"/>
      <c r="G3509" s="49"/>
      <c r="H3509" s="49"/>
      <c r="I3509" s="49"/>
    </row>
    <row r="3510" ht="15.75" customHeight="1" spans="1:9">
      <c r="A3510" s="49"/>
      <c r="B3510" s="36" t="s">
        <v>4869</v>
      </c>
      <c r="C3510" s="36" t="s">
        <v>4933</v>
      </c>
      <c r="D3510" s="49"/>
      <c r="E3510" s="49"/>
      <c r="F3510" s="49"/>
      <c r="G3510" s="49"/>
      <c r="H3510" s="49"/>
      <c r="I3510" s="49"/>
    </row>
    <row r="3511" ht="15.75" customHeight="1" spans="1:9">
      <c r="A3511" s="49"/>
      <c r="B3511" s="36" t="s">
        <v>4869</v>
      </c>
      <c r="C3511" s="36" t="s">
        <v>4934</v>
      </c>
      <c r="D3511" s="49"/>
      <c r="E3511" s="49"/>
      <c r="F3511" s="49"/>
      <c r="G3511" s="49"/>
      <c r="H3511" s="49"/>
      <c r="I3511" s="49"/>
    </row>
    <row r="3512" ht="15.75" customHeight="1" spans="1:9">
      <c r="A3512" s="49"/>
      <c r="B3512" s="36" t="s">
        <v>4869</v>
      </c>
      <c r="C3512" s="36" t="s">
        <v>4935</v>
      </c>
      <c r="D3512" s="49"/>
      <c r="E3512" s="49"/>
      <c r="F3512" s="49"/>
      <c r="G3512" s="49"/>
      <c r="H3512" s="49"/>
      <c r="I3512" s="49"/>
    </row>
    <row r="3513" ht="15.75" customHeight="1" spans="1:9">
      <c r="A3513" s="49"/>
      <c r="B3513" s="36" t="s">
        <v>4869</v>
      </c>
      <c r="C3513" s="36" t="s">
        <v>4936</v>
      </c>
      <c r="D3513" s="49"/>
      <c r="E3513" s="49"/>
      <c r="F3513" s="49"/>
      <c r="G3513" s="49"/>
      <c r="H3513" s="49"/>
      <c r="I3513" s="49"/>
    </row>
    <row r="3514" ht="15.75" customHeight="1" spans="1:9">
      <c r="A3514" s="49"/>
      <c r="B3514" s="36" t="s">
        <v>4937</v>
      </c>
      <c r="C3514" s="36" t="s">
        <v>4938</v>
      </c>
      <c r="D3514" s="49"/>
      <c r="E3514" s="49"/>
      <c r="F3514" s="49"/>
      <c r="G3514" s="49"/>
      <c r="H3514" s="49"/>
      <c r="I3514" s="49"/>
    </row>
    <row r="3515" ht="15.75" customHeight="1" spans="1:9">
      <c r="A3515" s="49"/>
      <c r="B3515" s="36" t="s">
        <v>4937</v>
      </c>
      <c r="C3515" s="36" t="s">
        <v>4939</v>
      </c>
      <c r="D3515" s="49"/>
      <c r="E3515" s="49"/>
      <c r="F3515" s="49"/>
      <c r="G3515" s="49"/>
      <c r="H3515" s="49"/>
      <c r="I3515" s="49"/>
    </row>
    <row r="3516" ht="15.75" customHeight="1" spans="1:9">
      <c r="A3516" s="49"/>
      <c r="B3516" s="36" t="s">
        <v>4937</v>
      </c>
      <c r="C3516" s="36" t="s">
        <v>4940</v>
      </c>
      <c r="D3516" s="49"/>
      <c r="E3516" s="49"/>
      <c r="F3516" s="49"/>
      <c r="G3516" s="49"/>
      <c r="H3516" s="49"/>
      <c r="I3516" s="49"/>
    </row>
    <row r="3517" ht="15.75" customHeight="1" spans="1:9">
      <c r="A3517" s="49"/>
      <c r="B3517" s="36" t="s">
        <v>4937</v>
      </c>
      <c r="C3517" s="36" t="s">
        <v>4941</v>
      </c>
      <c r="D3517" s="49"/>
      <c r="E3517" s="49"/>
      <c r="F3517" s="49"/>
      <c r="G3517" s="49"/>
      <c r="H3517" s="49"/>
      <c r="I3517" s="49"/>
    </row>
    <row r="3518" ht="15.75" customHeight="1" spans="1:9">
      <c r="A3518" s="49"/>
      <c r="B3518" s="36" t="s">
        <v>4937</v>
      </c>
      <c r="C3518" s="36" t="s">
        <v>4942</v>
      </c>
      <c r="D3518" s="49"/>
      <c r="E3518" s="49"/>
      <c r="F3518" s="49"/>
      <c r="G3518" s="49"/>
      <c r="H3518" s="49"/>
      <c r="I3518" s="49"/>
    </row>
    <row r="3519" ht="15.75" customHeight="1" spans="1:9">
      <c r="A3519" s="49"/>
      <c r="B3519" s="36" t="s">
        <v>4937</v>
      </c>
      <c r="C3519" s="36" t="s">
        <v>4943</v>
      </c>
      <c r="D3519" s="49"/>
      <c r="E3519" s="49"/>
      <c r="F3519" s="49"/>
      <c r="G3519" s="49"/>
      <c r="H3519" s="49"/>
      <c r="I3519" s="49"/>
    </row>
    <row r="3520" ht="15.75" customHeight="1" spans="1:9">
      <c r="A3520" s="49"/>
      <c r="B3520" s="36" t="s">
        <v>4937</v>
      </c>
      <c r="C3520" s="36" t="s">
        <v>4937</v>
      </c>
      <c r="D3520" s="49"/>
      <c r="E3520" s="49"/>
      <c r="F3520" s="49"/>
      <c r="G3520" s="49"/>
      <c r="H3520" s="49"/>
      <c r="I3520" s="49"/>
    </row>
    <row r="3521" ht="15.75" customHeight="1" spans="1:9">
      <c r="A3521" s="49"/>
      <c r="B3521" s="36" t="s">
        <v>4937</v>
      </c>
      <c r="C3521" s="36" t="s">
        <v>4944</v>
      </c>
      <c r="D3521" s="49"/>
      <c r="E3521" s="49"/>
      <c r="F3521" s="49"/>
      <c r="G3521" s="49"/>
      <c r="H3521" s="49"/>
      <c r="I3521" s="49"/>
    </row>
    <row r="3522" ht="15.75" customHeight="1" spans="1:9">
      <c r="A3522" s="49"/>
      <c r="B3522" s="36" t="s">
        <v>4937</v>
      </c>
      <c r="C3522" s="36" t="s">
        <v>4945</v>
      </c>
      <c r="D3522" s="49"/>
      <c r="E3522" s="49"/>
      <c r="F3522" s="49"/>
      <c r="G3522" s="49"/>
      <c r="H3522" s="49"/>
      <c r="I3522" s="49"/>
    </row>
    <row r="3523" ht="15.75" customHeight="1" spans="1:9">
      <c r="A3523" s="49"/>
      <c r="B3523" s="36" t="s">
        <v>4937</v>
      </c>
      <c r="C3523" s="36" t="s">
        <v>4946</v>
      </c>
      <c r="D3523" s="49"/>
      <c r="E3523" s="49"/>
      <c r="F3523" s="49"/>
      <c r="G3523" s="49"/>
      <c r="H3523" s="49"/>
      <c r="I3523" s="49"/>
    </row>
    <row r="3524" ht="15.75" customHeight="1" spans="1:9">
      <c r="A3524" s="49"/>
      <c r="B3524" s="36" t="s">
        <v>4937</v>
      </c>
      <c r="C3524" s="36" t="s">
        <v>4947</v>
      </c>
      <c r="D3524" s="49"/>
      <c r="E3524" s="49"/>
      <c r="F3524" s="49"/>
      <c r="G3524" s="49"/>
      <c r="H3524" s="49"/>
      <c r="I3524" s="49"/>
    </row>
    <row r="3525" ht="15.75" customHeight="1" spans="1:9">
      <c r="A3525" s="49"/>
      <c r="B3525" s="36" t="s">
        <v>4937</v>
      </c>
      <c r="C3525" s="36" t="s">
        <v>4948</v>
      </c>
      <c r="D3525" s="49"/>
      <c r="E3525" s="49"/>
      <c r="F3525" s="49"/>
      <c r="G3525" s="49"/>
      <c r="H3525" s="49"/>
      <c r="I3525" s="49"/>
    </row>
    <row r="3526" ht="15.75" customHeight="1" spans="1:9">
      <c r="A3526" s="49"/>
      <c r="B3526" s="36" t="s">
        <v>4937</v>
      </c>
      <c r="C3526" s="36" t="s">
        <v>4949</v>
      </c>
      <c r="D3526" s="49"/>
      <c r="E3526" s="49"/>
      <c r="F3526" s="49"/>
      <c r="G3526" s="49"/>
      <c r="H3526" s="49"/>
      <c r="I3526" s="49"/>
    </row>
    <row r="3527" ht="15.75" customHeight="1" spans="1:9">
      <c r="A3527" s="49"/>
      <c r="B3527" s="36" t="s">
        <v>4937</v>
      </c>
      <c r="C3527" s="36" t="s">
        <v>4950</v>
      </c>
      <c r="D3527" s="49"/>
      <c r="E3527" s="49"/>
      <c r="F3527" s="49"/>
      <c r="G3527" s="49"/>
      <c r="H3527" s="49"/>
      <c r="I3527" s="49"/>
    </row>
    <row r="3528" ht="15.75" customHeight="1" spans="1:9">
      <c r="A3528" s="49"/>
      <c r="B3528" s="36" t="s">
        <v>4937</v>
      </c>
      <c r="C3528" s="36" t="s">
        <v>4951</v>
      </c>
      <c r="D3528" s="49"/>
      <c r="E3528" s="49"/>
      <c r="F3528" s="49"/>
      <c r="G3528" s="49"/>
      <c r="H3528" s="49"/>
      <c r="I3528" s="49"/>
    </row>
    <row r="3529" ht="15.75" customHeight="1" spans="1:9">
      <c r="A3529" s="49"/>
      <c r="B3529" s="36" t="s">
        <v>4937</v>
      </c>
      <c r="C3529" s="36" t="s">
        <v>4952</v>
      </c>
      <c r="D3529" s="49"/>
      <c r="E3529" s="49"/>
      <c r="F3529" s="49"/>
      <c r="G3529" s="49"/>
      <c r="H3529" s="49"/>
      <c r="I3529" s="49"/>
    </row>
    <row r="3530" ht="15.75" customHeight="1" spans="1:9">
      <c r="A3530" s="49"/>
      <c r="B3530" s="36" t="s">
        <v>4937</v>
      </c>
      <c r="C3530" s="36" t="s">
        <v>4953</v>
      </c>
      <c r="D3530" s="49"/>
      <c r="E3530" s="49"/>
      <c r="F3530" s="49"/>
      <c r="G3530" s="49"/>
      <c r="H3530" s="49"/>
      <c r="I3530" s="49"/>
    </row>
    <row r="3531" ht="15.75" customHeight="1" spans="1:9">
      <c r="A3531" s="49"/>
      <c r="B3531" s="36" t="s">
        <v>4937</v>
      </c>
      <c r="C3531" s="36" t="s">
        <v>4954</v>
      </c>
      <c r="D3531" s="49"/>
      <c r="E3531" s="49"/>
      <c r="F3531" s="49"/>
      <c r="G3531" s="49"/>
      <c r="H3531" s="49"/>
      <c r="I3531" s="49"/>
    </row>
    <row r="3532" ht="15.75" customHeight="1" spans="1:9">
      <c r="A3532" s="49"/>
      <c r="B3532" s="36" t="s">
        <v>4937</v>
      </c>
      <c r="C3532" s="36" t="s">
        <v>4955</v>
      </c>
      <c r="D3532" s="49"/>
      <c r="E3532" s="49"/>
      <c r="F3532" s="49"/>
      <c r="G3532" s="49"/>
      <c r="H3532" s="49"/>
      <c r="I3532" s="49"/>
    </row>
    <row r="3533" ht="15.75" customHeight="1" spans="1:9">
      <c r="A3533" s="49"/>
      <c r="B3533" s="36" t="s">
        <v>4937</v>
      </c>
      <c r="C3533" s="36" t="s">
        <v>4956</v>
      </c>
      <c r="D3533" s="49"/>
      <c r="E3533" s="49"/>
      <c r="F3533" s="49"/>
      <c r="G3533" s="49"/>
      <c r="H3533" s="49"/>
      <c r="I3533" s="49"/>
    </row>
    <row r="3534" ht="15.75" customHeight="1" spans="1:9">
      <c r="A3534" s="49"/>
      <c r="B3534" s="36" t="s">
        <v>4937</v>
      </c>
      <c r="C3534" s="36" t="s">
        <v>4957</v>
      </c>
      <c r="D3534" s="49"/>
      <c r="E3534" s="49"/>
      <c r="F3534" s="49"/>
      <c r="G3534" s="49"/>
      <c r="H3534" s="49"/>
      <c r="I3534" s="49"/>
    </row>
    <row r="3535" ht="15.75" customHeight="1" spans="1:9">
      <c r="A3535" s="49"/>
      <c r="B3535" s="36" t="s">
        <v>4937</v>
      </c>
      <c r="C3535" s="36" t="s">
        <v>4958</v>
      </c>
      <c r="D3535" s="49"/>
      <c r="E3535" s="49"/>
      <c r="F3535" s="49"/>
      <c r="G3535" s="49"/>
      <c r="H3535" s="49"/>
      <c r="I3535" s="49"/>
    </row>
    <row r="3536" ht="15.75" customHeight="1" spans="1:9">
      <c r="A3536" s="49"/>
      <c r="B3536" s="36" t="s">
        <v>4937</v>
      </c>
      <c r="C3536" s="36" t="s">
        <v>4959</v>
      </c>
      <c r="D3536" s="49"/>
      <c r="E3536" s="49"/>
      <c r="F3536" s="49"/>
      <c r="G3536" s="49"/>
      <c r="H3536" s="49"/>
      <c r="I3536" s="49"/>
    </row>
    <row r="3537" ht="15.75" customHeight="1" spans="1:9">
      <c r="A3537" s="49"/>
      <c r="B3537" s="36" t="s">
        <v>4937</v>
      </c>
      <c r="C3537" s="36" t="s">
        <v>4960</v>
      </c>
      <c r="D3537" s="49"/>
      <c r="E3537" s="49"/>
      <c r="F3537" s="49"/>
      <c r="G3537" s="49"/>
      <c r="H3537" s="49"/>
      <c r="I3537" s="49"/>
    </row>
    <row r="3538" ht="15.75" customHeight="1" spans="1:9">
      <c r="A3538" s="49"/>
      <c r="B3538" s="36" t="s">
        <v>4937</v>
      </c>
      <c r="C3538" s="36" t="s">
        <v>4961</v>
      </c>
      <c r="D3538" s="49"/>
      <c r="E3538" s="49"/>
      <c r="F3538" s="49"/>
      <c r="G3538" s="49"/>
      <c r="H3538" s="49"/>
      <c r="I3538" s="49"/>
    </row>
    <row r="3539" ht="15.75" customHeight="1" spans="1:9">
      <c r="A3539" s="49"/>
      <c r="B3539" s="36" t="s">
        <v>4937</v>
      </c>
      <c r="C3539" s="36" t="s">
        <v>4962</v>
      </c>
      <c r="D3539" s="49"/>
      <c r="E3539" s="49"/>
      <c r="F3539" s="49"/>
      <c r="G3539" s="49"/>
      <c r="H3539" s="49"/>
      <c r="I3539" s="49"/>
    </row>
    <row r="3540" ht="15.75" customHeight="1" spans="1:9">
      <c r="A3540" s="49"/>
      <c r="B3540" s="36" t="s">
        <v>4937</v>
      </c>
      <c r="C3540" s="36" t="s">
        <v>4963</v>
      </c>
      <c r="D3540" s="49"/>
      <c r="E3540" s="49"/>
      <c r="F3540" s="49"/>
      <c r="G3540" s="49"/>
      <c r="H3540" s="49"/>
      <c r="I3540" s="49"/>
    </row>
    <row r="3541" ht="15.75" customHeight="1" spans="1:9">
      <c r="A3541" s="49"/>
      <c r="B3541" s="36" t="s">
        <v>4937</v>
      </c>
      <c r="C3541" s="36" t="s">
        <v>4964</v>
      </c>
      <c r="D3541" s="49"/>
      <c r="E3541" s="49"/>
      <c r="F3541" s="49"/>
      <c r="G3541" s="49"/>
      <c r="H3541" s="49"/>
      <c r="I3541" s="49"/>
    </row>
    <row r="3542" ht="15.75" customHeight="1" spans="1:9">
      <c r="A3542" s="49"/>
      <c r="B3542" s="36" t="s">
        <v>4937</v>
      </c>
      <c r="C3542" s="36" t="s">
        <v>4965</v>
      </c>
      <c r="D3542" s="49"/>
      <c r="E3542" s="49"/>
      <c r="F3542" s="49"/>
      <c r="G3542" s="49"/>
      <c r="H3542" s="49"/>
      <c r="I3542" s="49"/>
    </row>
    <row r="3543" ht="15.75" customHeight="1" spans="1:9">
      <c r="A3543" s="49"/>
      <c r="B3543" s="36" t="s">
        <v>4937</v>
      </c>
      <c r="C3543" s="36" t="s">
        <v>4966</v>
      </c>
      <c r="D3543" s="49"/>
      <c r="E3543" s="49"/>
      <c r="F3543" s="49"/>
      <c r="G3543" s="49"/>
      <c r="H3543" s="49"/>
      <c r="I3543" s="49"/>
    </row>
    <row r="3544" ht="15.75" customHeight="1" spans="1:9">
      <c r="A3544" s="49"/>
      <c r="B3544" s="36" t="s">
        <v>4937</v>
      </c>
      <c r="C3544" s="36" t="s">
        <v>4967</v>
      </c>
      <c r="D3544" s="49"/>
      <c r="E3544" s="49"/>
      <c r="F3544" s="49"/>
      <c r="G3544" s="49"/>
      <c r="H3544" s="49"/>
      <c r="I3544" s="49"/>
    </row>
    <row r="3545" ht="15.75" customHeight="1" spans="1:9">
      <c r="A3545" s="49"/>
      <c r="B3545" s="36" t="s">
        <v>4937</v>
      </c>
      <c r="C3545" s="36" t="s">
        <v>4968</v>
      </c>
      <c r="D3545" s="49"/>
      <c r="E3545" s="49"/>
      <c r="F3545" s="49"/>
      <c r="G3545" s="49"/>
      <c r="H3545" s="49"/>
      <c r="I3545" s="49"/>
    </row>
    <row r="3546" ht="15.75" customHeight="1" spans="1:9">
      <c r="A3546" s="49"/>
      <c r="B3546" s="36" t="s">
        <v>4937</v>
      </c>
      <c r="C3546" s="36" t="s">
        <v>4969</v>
      </c>
      <c r="D3546" s="49"/>
      <c r="E3546" s="49"/>
      <c r="F3546" s="49"/>
      <c r="G3546" s="49"/>
      <c r="H3546" s="49"/>
      <c r="I3546" s="49"/>
    </row>
    <row r="3547" ht="15.75" customHeight="1" spans="1:9">
      <c r="A3547" s="49"/>
      <c r="B3547" s="36" t="s">
        <v>4937</v>
      </c>
      <c r="C3547" s="36" t="s">
        <v>4970</v>
      </c>
      <c r="D3547" s="49"/>
      <c r="E3547" s="49"/>
      <c r="F3547" s="49"/>
      <c r="G3547" s="49"/>
      <c r="H3547" s="49"/>
      <c r="I3547" s="49"/>
    </row>
    <row r="3548" ht="15.75" customHeight="1" spans="1:9">
      <c r="A3548" s="49"/>
      <c r="B3548" s="36" t="s">
        <v>4937</v>
      </c>
      <c r="C3548" s="36" t="s">
        <v>4971</v>
      </c>
      <c r="D3548" s="49"/>
      <c r="E3548" s="49"/>
      <c r="F3548" s="49"/>
      <c r="G3548" s="49"/>
      <c r="H3548" s="49"/>
      <c r="I3548" s="49"/>
    </row>
    <row r="3549" ht="15.75" customHeight="1" spans="1:9">
      <c r="A3549" s="49"/>
      <c r="B3549" s="36" t="s">
        <v>4937</v>
      </c>
      <c r="C3549" s="36" t="s">
        <v>4972</v>
      </c>
      <c r="D3549" s="49"/>
      <c r="E3549" s="49"/>
      <c r="F3549" s="49"/>
      <c r="G3549" s="49"/>
      <c r="H3549" s="49"/>
      <c r="I3549" s="49"/>
    </row>
    <row r="3550" ht="15.75" customHeight="1" spans="1:9">
      <c r="A3550" s="49"/>
      <c r="B3550" s="36" t="s">
        <v>4937</v>
      </c>
      <c r="C3550" s="36" t="s">
        <v>4973</v>
      </c>
      <c r="D3550" s="49"/>
      <c r="E3550" s="49"/>
      <c r="F3550" s="49"/>
      <c r="G3550" s="49"/>
      <c r="H3550" s="49"/>
      <c r="I3550" s="49"/>
    </row>
    <row r="3551" ht="15.75" customHeight="1" spans="1:9">
      <c r="A3551" s="49"/>
      <c r="B3551" s="36" t="s">
        <v>4937</v>
      </c>
      <c r="C3551" s="36" t="s">
        <v>4974</v>
      </c>
      <c r="D3551" s="49"/>
      <c r="E3551" s="49"/>
      <c r="F3551" s="49"/>
      <c r="G3551" s="49"/>
      <c r="H3551" s="49"/>
      <c r="I3551" s="49"/>
    </row>
    <row r="3552" ht="15.75" customHeight="1" spans="1:9">
      <c r="A3552" s="49"/>
      <c r="B3552" s="36" t="s">
        <v>4937</v>
      </c>
      <c r="C3552" s="36" t="s">
        <v>4975</v>
      </c>
      <c r="D3552" s="49"/>
      <c r="E3552" s="49"/>
      <c r="F3552" s="49"/>
      <c r="G3552" s="49"/>
      <c r="H3552" s="49"/>
      <c r="I3552" s="49"/>
    </row>
    <row r="3553" ht="15.75" customHeight="1" spans="1:9">
      <c r="A3553" s="49"/>
      <c r="B3553" s="36" t="s">
        <v>4937</v>
      </c>
      <c r="C3553" s="36" t="s">
        <v>4976</v>
      </c>
      <c r="D3553" s="49"/>
      <c r="E3553" s="49"/>
      <c r="F3553" s="49"/>
      <c r="G3553" s="49"/>
      <c r="H3553" s="49"/>
      <c r="I3553" s="49"/>
    </row>
    <row r="3554" ht="15.75" customHeight="1" spans="1:9">
      <c r="A3554" s="49"/>
      <c r="B3554" s="36" t="s">
        <v>4937</v>
      </c>
      <c r="C3554" s="36" t="s">
        <v>4977</v>
      </c>
      <c r="D3554" s="49"/>
      <c r="E3554" s="49"/>
      <c r="F3554" s="49"/>
      <c r="G3554" s="49"/>
      <c r="H3554" s="49"/>
      <c r="I3554" s="49"/>
    </row>
    <row r="3555" ht="15.75" customHeight="1" spans="1:9">
      <c r="A3555" s="49"/>
      <c r="B3555" s="36" t="s">
        <v>4937</v>
      </c>
      <c r="C3555" s="36" t="s">
        <v>4978</v>
      </c>
      <c r="D3555" s="49"/>
      <c r="E3555" s="49"/>
      <c r="F3555" s="49"/>
      <c r="G3555" s="49"/>
      <c r="H3555" s="49"/>
      <c r="I3555" s="49"/>
    </row>
    <row r="3556" ht="15.75" customHeight="1" spans="1:9">
      <c r="A3556" s="49"/>
      <c r="B3556" s="36" t="s">
        <v>4937</v>
      </c>
      <c r="C3556" s="36" t="s">
        <v>4979</v>
      </c>
      <c r="D3556" s="49"/>
      <c r="E3556" s="49"/>
      <c r="F3556" s="49"/>
      <c r="G3556" s="49"/>
      <c r="H3556" s="49"/>
      <c r="I3556" s="49"/>
    </row>
    <row r="3557" ht="15.75" customHeight="1" spans="1:9">
      <c r="A3557" s="49"/>
      <c r="B3557" s="36" t="s">
        <v>4937</v>
      </c>
      <c r="C3557" s="36" t="s">
        <v>4980</v>
      </c>
      <c r="D3557" s="49"/>
      <c r="E3557" s="49"/>
      <c r="F3557" s="49"/>
      <c r="G3557" s="49"/>
      <c r="H3557" s="49"/>
      <c r="I3557" s="49"/>
    </row>
    <row r="3558" ht="15.75" customHeight="1" spans="1:9">
      <c r="A3558" s="49"/>
      <c r="B3558" s="36" t="s">
        <v>4937</v>
      </c>
      <c r="C3558" s="36" t="s">
        <v>4981</v>
      </c>
      <c r="D3558" s="49"/>
      <c r="E3558" s="49"/>
      <c r="F3558" s="49"/>
      <c r="G3558" s="49"/>
      <c r="H3558" s="49"/>
      <c r="I3558" s="49"/>
    </row>
    <row r="3559" ht="15.75" customHeight="1" spans="1:9">
      <c r="A3559" s="49"/>
      <c r="B3559" s="36" t="s">
        <v>4937</v>
      </c>
      <c r="C3559" s="36" t="s">
        <v>4982</v>
      </c>
      <c r="D3559" s="49"/>
      <c r="E3559" s="49"/>
      <c r="F3559" s="49"/>
      <c r="G3559" s="49"/>
      <c r="H3559" s="49"/>
      <c r="I3559" s="49"/>
    </row>
    <row r="3560" ht="15.75" customHeight="1" spans="1:9">
      <c r="A3560" s="49"/>
      <c r="B3560" s="36" t="s">
        <v>4937</v>
      </c>
      <c r="C3560" s="36" t="s">
        <v>4983</v>
      </c>
      <c r="D3560" s="49"/>
      <c r="E3560" s="49"/>
      <c r="F3560" s="49"/>
      <c r="G3560" s="49"/>
      <c r="H3560" s="49"/>
      <c r="I3560" s="49"/>
    </row>
    <row r="3561" ht="15.75" customHeight="1" spans="1:9">
      <c r="A3561" s="49"/>
      <c r="B3561" s="36" t="s">
        <v>4937</v>
      </c>
      <c r="C3561" s="36" t="s">
        <v>4984</v>
      </c>
      <c r="D3561" s="49"/>
      <c r="E3561" s="49"/>
      <c r="F3561" s="49"/>
      <c r="G3561" s="49"/>
      <c r="H3561" s="49"/>
      <c r="I3561" s="49"/>
    </row>
    <row r="3562" ht="15.75" customHeight="1" spans="1:9">
      <c r="A3562" s="49"/>
      <c r="B3562" s="36" t="s">
        <v>4937</v>
      </c>
      <c r="C3562" s="36" t="s">
        <v>4985</v>
      </c>
      <c r="D3562" s="49"/>
      <c r="E3562" s="49"/>
      <c r="F3562" s="49"/>
      <c r="G3562" s="49"/>
      <c r="H3562" s="49"/>
      <c r="I3562" s="49"/>
    </row>
    <row r="3563" ht="15.75" customHeight="1" spans="1:9">
      <c r="A3563" s="49"/>
      <c r="B3563" s="36" t="s">
        <v>4937</v>
      </c>
      <c r="C3563" s="36" t="s">
        <v>4986</v>
      </c>
      <c r="D3563" s="49"/>
      <c r="E3563" s="49"/>
      <c r="F3563" s="49"/>
      <c r="G3563" s="49"/>
      <c r="H3563" s="49"/>
      <c r="I3563" s="49"/>
    </row>
    <row r="3564" ht="15.75" customHeight="1" spans="1:9">
      <c r="A3564" s="49"/>
      <c r="B3564" s="36" t="s">
        <v>4937</v>
      </c>
      <c r="C3564" s="36" t="s">
        <v>4987</v>
      </c>
      <c r="D3564" s="49"/>
      <c r="E3564" s="49"/>
      <c r="F3564" s="49"/>
      <c r="G3564" s="49"/>
      <c r="H3564" s="49"/>
      <c r="I3564" s="49"/>
    </row>
    <row r="3565" ht="15.75" customHeight="1" spans="1:9">
      <c r="A3565" s="49"/>
      <c r="B3565" s="36" t="s">
        <v>4937</v>
      </c>
      <c r="C3565" s="36" t="s">
        <v>4988</v>
      </c>
      <c r="D3565" s="49"/>
      <c r="E3565" s="49"/>
      <c r="F3565" s="49"/>
      <c r="G3565" s="49"/>
      <c r="H3565" s="49"/>
      <c r="I3565" s="49"/>
    </row>
    <row r="3566" ht="15.75" customHeight="1" spans="1:9">
      <c r="A3566" s="49"/>
      <c r="B3566" s="36" t="s">
        <v>4937</v>
      </c>
      <c r="C3566" s="36" t="s">
        <v>4989</v>
      </c>
      <c r="D3566" s="49"/>
      <c r="E3566" s="49"/>
      <c r="F3566" s="49"/>
      <c r="G3566" s="49"/>
      <c r="H3566" s="49"/>
      <c r="I3566" s="49"/>
    </row>
    <row r="3567" ht="15.75" customHeight="1" spans="1:9">
      <c r="A3567" s="49"/>
      <c r="B3567" s="36" t="s">
        <v>4937</v>
      </c>
      <c r="C3567" s="36" t="s">
        <v>4990</v>
      </c>
      <c r="D3567" s="49"/>
      <c r="E3567" s="49"/>
      <c r="F3567" s="49"/>
      <c r="G3567" s="49"/>
      <c r="H3567" s="49"/>
      <c r="I3567" s="49"/>
    </row>
    <row r="3568" ht="15.75" customHeight="1" spans="1:9">
      <c r="A3568" s="49"/>
      <c r="B3568" s="36" t="s">
        <v>4937</v>
      </c>
      <c r="C3568" s="36" t="s">
        <v>4991</v>
      </c>
      <c r="D3568" s="49"/>
      <c r="E3568" s="49"/>
      <c r="F3568" s="49"/>
      <c r="G3568" s="49"/>
      <c r="H3568" s="49"/>
      <c r="I3568" s="49"/>
    </row>
    <row r="3569" ht="15.75" customHeight="1" spans="1:9">
      <c r="A3569" s="49"/>
      <c r="B3569" s="36" t="s">
        <v>4937</v>
      </c>
      <c r="C3569" s="36" t="s">
        <v>4992</v>
      </c>
      <c r="D3569" s="49"/>
      <c r="E3569" s="49"/>
      <c r="F3569" s="49"/>
      <c r="G3569" s="49"/>
      <c r="H3569" s="49"/>
      <c r="I3569" s="49"/>
    </row>
    <row r="3570" ht="15.75" customHeight="1" spans="1:9">
      <c r="A3570" s="49"/>
      <c r="B3570" s="36" t="s">
        <v>4937</v>
      </c>
      <c r="C3570" s="36" t="s">
        <v>4993</v>
      </c>
      <c r="D3570" s="49"/>
      <c r="E3570" s="49"/>
      <c r="F3570" s="49"/>
      <c r="G3570" s="49"/>
      <c r="H3570" s="49"/>
      <c r="I3570" s="49"/>
    </row>
    <row r="3571" ht="15.75" customHeight="1" spans="1:9">
      <c r="A3571" s="49"/>
      <c r="B3571" s="36" t="s">
        <v>4937</v>
      </c>
      <c r="C3571" s="36" t="s">
        <v>4994</v>
      </c>
      <c r="D3571" s="49"/>
      <c r="E3571" s="49"/>
      <c r="F3571" s="49"/>
      <c r="G3571" s="49"/>
      <c r="H3571" s="49"/>
      <c r="I3571" s="49"/>
    </row>
    <row r="3572" ht="15.75" customHeight="1" spans="1:9">
      <c r="A3572" s="49"/>
      <c r="B3572" s="36" t="s">
        <v>4937</v>
      </c>
      <c r="C3572" s="36" t="s">
        <v>4995</v>
      </c>
      <c r="D3572" s="49"/>
      <c r="E3572" s="49"/>
      <c r="F3572" s="49"/>
      <c r="G3572" s="49"/>
      <c r="H3572" s="49"/>
      <c r="I3572" s="49"/>
    </row>
    <row r="3573" ht="15.75" customHeight="1" spans="1:9">
      <c r="A3573" s="49"/>
      <c r="B3573" s="36" t="s">
        <v>4937</v>
      </c>
      <c r="C3573" s="36" t="s">
        <v>4996</v>
      </c>
      <c r="D3573" s="49"/>
      <c r="E3573" s="49"/>
      <c r="F3573" s="49"/>
      <c r="G3573" s="49"/>
      <c r="H3573" s="49"/>
      <c r="I3573" s="49"/>
    </row>
    <row r="3574" ht="15.75" customHeight="1" spans="1:9">
      <c r="A3574" s="49"/>
      <c r="B3574" s="36" t="s">
        <v>4937</v>
      </c>
      <c r="C3574" s="36" t="s">
        <v>4997</v>
      </c>
      <c r="D3574" s="49"/>
      <c r="E3574" s="49"/>
      <c r="F3574" s="49"/>
      <c r="G3574" s="49"/>
      <c r="H3574" s="49"/>
      <c r="I3574" s="49"/>
    </row>
    <row r="3575" ht="15.75" customHeight="1" spans="1:9">
      <c r="A3575" s="49"/>
      <c r="B3575" s="36" t="s">
        <v>4937</v>
      </c>
      <c r="C3575" s="36" t="s">
        <v>4998</v>
      </c>
      <c r="D3575" s="49"/>
      <c r="E3575" s="49"/>
      <c r="F3575" s="49"/>
      <c r="G3575" s="49"/>
      <c r="H3575" s="49"/>
      <c r="I3575" s="49"/>
    </row>
    <row r="3576" ht="15.75" customHeight="1" spans="1:9">
      <c r="A3576" s="49"/>
      <c r="B3576" s="36" t="s">
        <v>4937</v>
      </c>
      <c r="C3576" s="36" t="s">
        <v>4999</v>
      </c>
      <c r="D3576" s="49"/>
      <c r="E3576" s="49"/>
      <c r="F3576" s="49"/>
      <c r="G3576" s="49"/>
      <c r="H3576" s="49"/>
      <c r="I3576" s="49"/>
    </row>
    <row r="3577" ht="15.75" customHeight="1" spans="1:9">
      <c r="A3577" s="49"/>
      <c r="B3577" s="36" t="s">
        <v>4937</v>
      </c>
      <c r="C3577" s="36" t="s">
        <v>5000</v>
      </c>
      <c r="D3577" s="49"/>
      <c r="E3577" s="49"/>
      <c r="F3577" s="49"/>
      <c r="G3577" s="49"/>
      <c r="H3577" s="49"/>
      <c r="I3577" s="49"/>
    </row>
    <row r="3578" ht="15.75" customHeight="1" spans="1:9">
      <c r="A3578" s="49"/>
      <c r="B3578" s="36" t="s">
        <v>4937</v>
      </c>
      <c r="C3578" s="36" t="s">
        <v>5001</v>
      </c>
      <c r="D3578" s="49"/>
      <c r="E3578" s="49"/>
      <c r="F3578" s="49"/>
      <c r="G3578" s="49"/>
      <c r="H3578" s="49"/>
      <c r="I3578" s="49"/>
    </row>
    <row r="3579" ht="15.75" customHeight="1" spans="1:9">
      <c r="A3579" s="49"/>
      <c r="B3579" s="36" t="s">
        <v>4937</v>
      </c>
      <c r="C3579" s="36" t="s">
        <v>5002</v>
      </c>
      <c r="D3579" s="49"/>
      <c r="E3579" s="49"/>
      <c r="F3579" s="49"/>
      <c r="G3579" s="49"/>
      <c r="H3579" s="49"/>
      <c r="I3579" s="49"/>
    </row>
    <row r="3580" ht="15.75" customHeight="1" spans="1:9">
      <c r="A3580" s="49"/>
      <c r="B3580" s="36" t="s">
        <v>4937</v>
      </c>
      <c r="C3580" s="36" t="s">
        <v>5003</v>
      </c>
      <c r="D3580" s="49"/>
      <c r="E3580" s="49"/>
      <c r="F3580" s="49"/>
      <c r="G3580" s="49"/>
      <c r="H3580" s="49"/>
      <c r="I3580" s="49"/>
    </row>
    <row r="3581" ht="15.75" customHeight="1" spans="1:9">
      <c r="A3581" s="49"/>
      <c r="B3581" s="36" t="s">
        <v>4937</v>
      </c>
      <c r="C3581" s="36" t="s">
        <v>5004</v>
      </c>
      <c r="D3581" s="49"/>
      <c r="E3581" s="49"/>
      <c r="F3581" s="49"/>
      <c r="G3581" s="49"/>
      <c r="H3581" s="49"/>
      <c r="I3581" s="49"/>
    </row>
    <row r="3582" ht="15.75" customHeight="1" spans="1:9">
      <c r="A3582" s="49"/>
      <c r="B3582" s="36" t="s">
        <v>4937</v>
      </c>
      <c r="C3582" s="36" t="s">
        <v>5005</v>
      </c>
      <c r="D3582" s="49"/>
      <c r="E3582" s="49"/>
      <c r="F3582" s="49"/>
      <c r="G3582" s="49"/>
      <c r="H3582" s="49"/>
      <c r="I3582" s="49"/>
    </row>
    <row r="3583" ht="15.75" customHeight="1" spans="1:9">
      <c r="A3583" s="49"/>
      <c r="B3583" s="36" t="s">
        <v>4937</v>
      </c>
      <c r="C3583" s="36" t="s">
        <v>5006</v>
      </c>
      <c r="D3583" s="49"/>
      <c r="E3583" s="49"/>
      <c r="F3583" s="49"/>
      <c r="G3583" s="49"/>
      <c r="H3583" s="49"/>
      <c r="I3583" s="49"/>
    </row>
    <row r="3584" ht="15.75" customHeight="1" spans="1:9">
      <c r="A3584" s="49"/>
      <c r="B3584" s="36" t="s">
        <v>4937</v>
      </c>
      <c r="C3584" s="36" t="s">
        <v>5007</v>
      </c>
      <c r="D3584" s="49"/>
      <c r="E3584" s="49"/>
      <c r="F3584" s="49"/>
      <c r="G3584" s="49"/>
      <c r="H3584" s="49"/>
      <c r="I3584" s="49"/>
    </row>
    <row r="3585" ht="15.75" customHeight="1" spans="1:9">
      <c r="A3585" s="49"/>
      <c r="B3585" s="36" t="s">
        <v>4937</v>
      </c>
      <c r="C3585" s="36" t="s">
        <v>5008</v>
      </c>
      <c r="D3585" s="49"/>
      <c r="E3585" s="49"/>
      <c r="F3585" s="49"/>
      <c r="G3585" s="49"/>
      <c r="H3585" s="49"/>
      <c r="I3585" s="49"/>
    </row>
    <row r="3586" ht="15.75" customHeight="1" spans="1:9">
      <c r="A3586" s="49"/>
      <c r="B3586" s="36" t="s">
        <v>4937</v>
      </c>
      <c r="C3586" s="36" t="s">
        <v>5009</v>
      </c>
      <c r="D3586" s="49"/>
      <c r="E3586" s="49"/>
      <c r="F3586" s="49"/>
      <c r="G3586" s="49"/>
      <c r="H3586" s="49"/>
      <c r="I3586" s="49"/>
    </row>
    <row r="3587" ht="15.75" customHeight="1" spans="1:9">
      <c r="A3587" s="49"/>
      <c r="B3587" s="36" t="s">
        <v>4937</v>
      </c>
      <c r="C3587" s="36" t="s">
        <v>5010</v>
      </c>
      <c r="D3587" s="49"/>
      <c r="E3587" s="49"/>
      <c r="F3587" s="49"/>
      <c r="G3587" s="49"/>
      <c r="H3587" s="49"/>
      <c r="I3587" s="49"/>
    </row>
    <row r="3588" ht="15.75" customHeight="1" spans="1:9">
      <c r="A3588" s="49"/>
      <c r="B3588" s="36" t="s">
        <v>4937</v>
      </c>
      <c r="C3588" s="36" t="s">
        <v>5011</v>
      </c>
      <c r="D3588" s="49"/>
      <c r="E3588" s="49"/>
      <c r="F3588" s="49"/>
      <c r="G3588" s="49"/>
      <c r="H3588" s="49"/>
      <c r="I3588" s="49"/>
    </row>
    <row r="3589" ht="15.75" customHeight="1" spans="1:9">
      <c r="A3589" s="49"/>
      <c r="B3589" s="36" t="s">
        <v>4937</v>
      </c>
      <c r="C3589" s="36" t="s">
        <v>5012</v>
      </c>
      <c r="D3589" s="49"/>
      <c r="E3589" s="49"/>
      <c r="F3589" s="49"/>
      <c r="G3589" s="49"/>
      <c r="H3589" s="49"/>
      <c r="I3589" s="49"/>
    </row>
    <row r="3590" ht="15.75" customHeight="1" spans="1:9">
      <c r="A3590" s="49"/>
      <c r="B3590" s="36" t="s">
        <v>4937</v>
      </c>
      <c r="C3590" s="36" t="s">
        <v>5013</v>
      </c>
      <c r="D3590" s="49"/>
      <c r="E3590" s="49"/>
      <c r="F3590" s="49"/>
      <c r="G3590" s="49"/>
      <c r="H3590" s="49"/>
      <c r="I3590" s="49"/>
    </row>
    <row r="3591" ht="15.75" customHeight="1" spans="1:9">
      <c r="A3591" s="49"/>
      <c r="B3591" s="36" t="s">
        <v>4937</v>
      </c>
      <c r="C3591" s="36" t="s">
        <v>5014</v>
      </c>
      <c r="D3591" s="49"/>
      <c r="E3591" s="49"/>
      <c r="F3591" s="49"/>
      <c r="G3591" s="49"/>
      <c r="H3591" s="49"/>
      <c r="I3591" s="49"/>
    </row>
    <row r="3592" ht="15.75" customHeight="1" spans="1:9">
      <c r="A3592" s="49"/>
      <c r="B3592" s="36" t="s">
        <v>4937</v>
      </c>
      <c r="C3592" s="36" t="s">
        <v>5015</v>
      </c>
      <c r="D3592" s="49"/>
      <c r="E3592" s="49"/>
      <c r="F3592" s="49"/>
      <c r="G3592" s="49"/>
      <c r="H3592" s="49"/>
      <c r="I3592" s="49"/>
    </row>
    <row r="3593" ht="15.75" customHeight="1" spans="1:9">
      <c r="A3593" s="49"/>
      <c r="B3593" s="36" t="s">
        <v>4937</v>
      </c>
      <c r="C3593" s="36" t="s">
        <v>5016</v>
      </c>
      <c r="D3593" s="49"/>
      <c r="E3593" s="49"/>
      <c r="F3593" s="49"/>
      <c r="G3593" s="49"/>
      <c r="H3593" s="49"/>
      <c r="I3593" s="49"/>
    </row>
    <row r="3594" ht="15.75" customHeight="1" spans="1:9">
      <c r="A3594" s="49"/>
      <c r="B3594" s="36" t="s">
        <v>4937</v>
      </c>
      <c r="C3594" s="36" t="s">
        <v>5017</v>
      </c>
      <c r="D3594" s="49"/>
      <c r="E3594" s="49"/>
      <c r="F3594" s="49"/>
      <c r="G3594" s="49"/>
      <c r="H3594" s="49"/>
      <c r="I3594" s="49"/>
    </row>
    <row r="3595" ht="15.75" customHeight="1" spans="1:9">
      <c r="A3595" s="49"/>
      <c r="B3595" s="36" t="s">
        <v>4937</v>
      </c>
      <c r="C3595" s="36" t="s">
        <v>5018</v>
      </c>
      <c r="D3595" s="49"/>
      <c r="E3595" s="49"/>
      <c r="F3595" s="49"/>
      <c r="G3595" s="49"/>
      <c r="H3595" s="49"/>
      <c r="I3595" s="49"/>
    </row>
    <row r="3596" ht="15.75" customHeight="1" spans="1:9">
      <c r="A3596" s="49"/>
      <c r="B3596" s="36" t="s">
        <v>4937</v>
      </c>
      <c r="C3596" s="36" t="s">
        <v>5019</v>
      </c>
      <c r="D3596" s="49"/>
      <c r="E3596" s="49"/>
      <c r="F3596" s="49"/>
      <c r="G3596" s="49"/>
      <c r="H3596" s="49"/>
      <c r="I3596" s="49"/>
    </row>
    <row r="3597" ht="15.75" customHeight="1" spans="1:9">
      <c r="A3597" s="49"/>
      <c r="B3597" s="36" t="s">
        <v>4937</v>
      </c>
      <c r="C3597" s="36" t="s">
        <v>5020</v>
      </c>
      <c r="D3597" s="49"/>
      <c r="E3597" s="49"/>
      <c r="F3597" s="49"/>
      <c r="G3597" s="49"/>
      <c r="H3597" s="49"/>
      <c r="I3597" s="49"/>
    </row>
    <row r="3598" ht="15.75" customHeight="1" spans="1:9">
      <c r="A3598" s="49"/>
      <c r="B3598" s="36" t="s">
        <v>4937</v>
      </c>
      <c r="C3598" s="36" t="s">
        <v>5021</v>
      </c>
      <c r="D3598" s="49"/>
      <c r="E3598" s="49"/>
      <c r="F3598" s="49"/>
      <c r="G3598" s="49"/>
      <c r="H3598" s="49"/>
      <c r="I3598" s="49"/>
    </row>
    <row r="3599" ht="15.75" customHeight="1" spans="1:9">
      <c r="A3599" s="49"/>
      <c r="B3599" s="36" t="s">
        <v>4937</v>
      </c>
      <c r="C3599" s="36" t="s">
        <v>5022</v>
      </c>
      <c r="D3599" s="49"/>
      <c r="E3599" s="49"/>
      <c r="F3599" s="49"/>
      <c r="G3599" s="49"/>
      <c r="H3599" s="49"/>
      <c r="I3599" s="49"/>
    </row>
    <row r="3600" ht="15.75" customHeight="1" spans="1:9">
      <c r="A3600" s="49"/>
      <c r="B3600" s="36" t="s">
        <v>4937</v>
      </c>
      <c r="C3600" s="36" t="s">
        <v>5023</v>
      </c>
      <c r="D3600" s="49"/>
      <c r="E3600" s="49"/>
      <c r="F3600" s="49"/>
      <c r="G3600" s="49"/>
      <c r="H3600" s="49"/>
      <c r="I3600" s="49"/>
    </row>
    <row r="3601" ht="15.75" customHeight="1" spans="1:9">
      <c r="A3601" s="49"/>
      <c r="B3601" s="36" t="s">
        <v>4937</v>
      </c>
      <c r="C3601" s="36" t="s">
        <v>5024</v>
      </c>
      <c r="D3601" s="49"/>
      <c r="E3601" s="49"/>
      <c r="F3601" s="49"/>
      <c r="G3601" s="49"/>
      <c r="H3601" s="49"/>
      <c r="I3601" s="49"/>
    </row>
    <row r="3602" ht="15.75" customHeight="1" spans="1:9">
      <c r="A3602" s="49"/>
      <c r="B3602" s="36" t="s">
        <v>4937</v>
      </c>
      <c r="C3602" s="36" t="s">
        <v>5025</v>
      </c>
      <c r="D3602" s="49"/>
      <c r="E3602" s="49"/>
      <c r="F3602" s="49"/>
      <c r="G3602" s="49"/>
      <c r="H3602" s="49"/>
      <c r="I3602" s="49"/>
    </row>
    <row r="3603" ht="15.75" customHeight="1" spans="1:9">
      <c r="A3603" s="49"/>
      <c r="B3603" s="36" t="s">
        <v>4937</v>
      </c>
      <c r="C3603" s="36" t="s">
        <v>5026</v>
      </c>
      <c r="D3603" s="49"/>
      <c r="E3603" s="49"/>
      <c r="F3603" s="49"/>
      <c r="G3603" s="49"/>
      <c r="H3603" s="49"/>
      <c r="I3603" s="49"/>
    </row>
    <row r="3604" ht="15.75" customHeight="1" spans="1:9">
      <c r="A3604" s="49"/>
      <c r="B3604" s="36" t="s">
        <v>4937</v>
      </c>
      <c r="C3604" s="36" t="s">
        <v>5027</v>
      </c>
      <c r="D3604" s="49"/>
      <c r="E3604" s="49"/>
      <c r="F3604" s="49"/>
      <c r="G3604" s="49"/>
      <c r="H3604" s="49"/>
      <c r="I3604" s="49"/>
    </row>
    <row r="3605" ht="15.75" customHeight="1" spans="1:9">
      <c r="A3605" s="49"/>
      <c r="B3605" s="36" t="s">
        <v>4937</v>
      </c>
      <c r="C3605" s="36" t="s">
        <v>5028</v>
      </c>
      <c r="D3605" s="49"/>
      <c r="E3605" s="49"/>
      <c r="F3605" s="49"/>
      <c r="G3605" s="49"/>
      <c r="H3605" s="49"/>
      <c r="I3605" s="49"/>
    </row>
    <row r="3606" ht="15.75" customHeight="1" spans="1:9">
      <c r="A3606" s="49"/>
      <c r="B3606" s="36" t="s">
        <v>4937</v>
      </c>
      <c r="C3606" s="36" t="s">
        <v>5029</v>
      </c>
      <c r="D3606" s="49"/>
      <c r="E3606" s="49"/>
      <c r="F3606" s="49"/>
      <c r="G3606" s="49"/>
      <c r="H3606" s="49"/>
      <c r="I3606" s="49"/>
    </row>
    <row r="3607" ht="15.75" customHeight="1" spans="1:9">
      <c r="A3607" s="49"/>
      <c r="B3607" s="36" t="s">
        <v>4937</v>
      </c>
      <c r="C3607" s="36" t="s">
        <v>5030</v>
      </c>
      <c r="D3607" s="49"/>
      <c r="E3607" s="49"/>
      <c r="F3607" s="49"/>
      <c r="G3607" s="49"/>
      <c r="H3607" s="49"/>
      <c r="I3607" s="49"/>
    </row>
    <row r="3608" ht="15.75" customHeight="1" spans="1:9">
      <c r="A3608" s="49"/>
      <c r="B3608" s="36" t="s">
        <v>4937</v>
      </c>
      <c r="C3608" s="36" t="s">
        <v>5031</v>
      </c>
      <c r="D3608" s="49"/>
      <c r="E3608" s="49"/>
      <c r="F3608" s="49"/>
      <c r="G3608" s="49"/>
      <c r="H3608" s="49"/>
      <c r="I3608" s="49"/>
    </row>
    <row r="3609" ht="15.75" customHeight="1" spans="1:9">
      <c r="A3609" s="49"/>
      <c r="B3609" s="36" t="s">
        <v>4937</v>
      </c>
      <c r="C3609" s="36" t="s">
        <v>5032</v>
      </c>
      <c r="D3609" s="49"/>
      <c r="E3609" s="49"/>
      <c r="F3609" s="49"/>
      <c r="G3609" s="49"/>
      <c r="H3609" s="49"/>
      <c r="I3609" s="49"/>
    </row>
    <row r="3610" ht="15.75" customHeight="1" spans="1:9">
      <c r="A3610" s="49"/>
      <c r="B3610" s="36" t="s">
        <v>4937</v>
      </c>
      <c r="C3610" s="36" t="s">
        <v>5033</v>
      </c>
      <c r="D3610" s="49"/>
      <c r="E3610" s="49"/>
      <c r="F3610" s="49"/>
      <c r="G3610" s="49"/>
      <c r="H3610" s="49"/>
      <c r="I3610" s="49"/>
    </row>
    <row r="3611" ht="15.75" customHeight="1" spans="1:9">
      <c r="A3611" s="49"/>
      <c r="B3611" s="36" t="s">
        <v>4937</v>
      </c>
      <c r="C3611" s="36" t="s">
        <v>5034</v>
      </c>
      <c r="D3611" s="49"/>
      <c r="E3611" s="49"/>
      <c r="F3611" s="49"/>
      <c r="G3611" s="49"/>
      <c r="H3611" s="49"/>
      <c r="I3611" s="49"/>
    </row>
    <row r="3612" ht="15.75" customHeight="1" spans="1:9">
      <c r="A3612" s="49"/>
      <c r="B3612" s="36" t="s">
        <v>4937</v>
      </c>
      <c r="C3612" s="36" t="s">
        <v>5035</v>
      </c>
      <c r="D3612" s="49"/>
      <c r="E3612" s="49"/>
      <c r="F3612" s="49"/>
      <c r="G3612" s="49"/>
      <c r="H3612" s="49"/>
      <c r="I3612" s="49"/>
    </row>
    <row r="3613" ht="15.75" customHeight="1" spans="1:9">
      <c r="A3613" s="49"/>
      <c r="B3613" s="36" t="s">
        <v>5036</v>
      </c>
      <c r="C3613" s="36" t="s">
        <v>35</v>
      </c>
      <c r="D3613" s="49"/>
      <c r="E3613" s="49"/>
      <c r="F3613" s="49"/>
      <c r="G3613" s="49"/>
      <c r="H3613" s="49"/>
      <c r="I3613" s="49"/>
    </row>
    <row r="3614" ht="15.75" customHeight="1" spans="1:9">
      <c r="A3614" s="49"/>
      <c r="B3614" s="36" t="s">
        <v>5036</v>
      </c>
      <c r="C3614" s="36" t="s">
        <v>5036</v>
      </c>
      <c r="D3614" s="49"/>
      <c r="E3614" s="49"/>
      <c r="F3614" s="49"/>
      <c r="G3614" s="49"/>
      <c r="H3614" s="49"/>
      <c r="I3614" s="49"/>
    </row>
    <row r="3615" ht="15.75" customHeight="1" spans="1:9">
      <c r="A3615" s="49"/>
      <c r="B3615" s="36" t="s">
        <v>5036</v>
      </c>
      <c r="C3615" s="36" t="s">
        <v>5037</v>
      </c>
      <c r="D3615" s="49"/>
      <c r="E3615" s="49"/>
      <c r="F3615" s="49"/>
      <c r="G3615" s="49"/>
      <c r="H3615" s="49"/>
      <c r="I3615" s="49"/>
    </row>
    <row r="3616" ht="15.75" customHeight="1" spans="1:9">
      <c r="A3616" s="49"/>
      <c r="B3616" s="36" t="s">
        <v>5036</v>
      </c>
      <c r="C3616" s="36" t="s">
        <v>5038</v>
      </c>
      <c r="D3616" s="49"/>
      <c r="E3616" s="49"/>
      <c r="F3616" s="49"/>
      <c r="G3616" s="49"/>
      <c r="H3616" s="49"/>
      <c r="I3616" s="49"/>
    </row>
    <row r="3617" ht="15.75" customHeight="1" spans="1:9">
      <c r="A3617" s="49"/>
      <c r="B3617" s="36" t="s">
        <v>5036</v>
      </c>
      <c r="C3617" s="36" t="s">
        <v>5024</v>
      </c>
      <c r="D3617" s="49"/>
      <c r="E3617" s="49"/>
      <c r="F3617" s="49"/>
      <c r="G3617" s="49"/>
      <c r="H3617" s="49"/>
      <c r="I3617" s="49"/>
    </row>
    <row r="3618" ht="15.75" customHeight="1" spans="1:9">
      <c r="A3618" s="49"/>
      <c r="B3618" s="36" t="s">
        <v>5036</v>
      </c>
      <c r="C3618" s="36" t="s">
        <v>5039</v>
      </c>
      <c r="D3618" s="49"/>
      <c r="E3618" s="49"/>
      <c r="F3618" s="49"/>
      <c r="G3618" s="49"/>
      <c r="H3618" s="49"/>
      <c r="I3618" s="49"/>
    </row>
    <row r="3619" ht="15.75" customHeight="1" spans="1:9">
      <c r="A3619" s="49"/>
      <c r="B3619" s="36" t="s">
        <v>5036</v>
      </c>
      <c r="C3619" s="36" t="s">
        <v>5040</v>
      </c>
      <c r="D3619" s="49"/>
      <c r="E3619" s="49"/>
      <c r="F3619" s="49"/>
      <c r="G3619" s="49"/>
      <c r="H3619" s="49"/>
      <c r="I3619" s="49"/>
    </row>
    <row r="3620" ht="15.75" customHeight="1" spans="1:9">
      <c r="A3620" s="49"/>
      <c r="B3620" s="36" t="s">
        <v>5036</v>
      </c>
      <c r="C3620" s="36" t="s">
        <v>5000</v>
      </c>
      <c r="D3620" s="49"/>
      <c r="E3620" s="49"/>
      <c r="F3620" s="49"/>
      <c r="G3620" s="49"/>
      <c r="H3620" s="49"/>
      <c r="I3620" s="49"/>
    </row>
    <row r="3621" ht="15.75" customHeight="1" spans="1:9">
      <c r="A3621" s="49"/>
      <c r="B3621" s="36" t="s">
        <v>5036</v>
      </c>
      <c r="C3621" s="36" t="s">
        <v>5041</v>
      </c>
      <c r="D3621" s="49"/>
      <c r="E3621" s="49"/>
      <c r="F3621" s="49"/>
      <c r="G3621" s="49"/>
      <c r="H3621" s="49"/>
      <c r="I3621" s="49"/>
    </row>
    <row r="3622" ht="15.75" customHeight="1" spans="1:9">
      <c r="A3622" s="49"/>
      <c r="B3622" s="36" t="s">
        <v>5036</v>
      </c>
      <c r="C3622" s="36" t="s">
        <v>5042</v>
      </c>
      <c r="D3622" s="49"/>
      <c r="E3622" s="49"/>
      <c r="F3622" s="49"/>
      <c r="G3622" s="49"/>
      <c r="H3622" s="49"/>
      <c r="I3622" s="49"/>
    </row>
    <row r="3623" ht="15.75" customHeight="1" spans="1:9">
      <c r="A3623" s="49"/>
      <c r="B3623" s="36" t="s">
        <v>5036</v>
      </c>
      <c r="C3623" s="36" t="s">
        <v>5043</v>
      </c>
      <c r="D3623" s="49"/>
      <c r="E3623" s="49"/>
      <c r="F3623" s="49"/>
      <c r="G3623" s="49"/>
      <c r="H3623" s="49"/>
      <c r="I3623" s="49"/>
    </row>
    <row r="3624" ht="15.75" customHeight="1" spans="1:9">
      <c r="A3624" s="49"/>
      <c r="B3624" s="36" t="s">
        <v>5036</v>
      </c>
      <c r="C3624" s="36" t="s">
        <v>4938</v>
      </c>
      <c r="D3624" s="49"/>
      <c r="E3624" s="49"/>
      <c r="F3624" s="49"/>
      <c r="G3624" s="49"/>
      <c r="H3624" s="49"/>
      <c r="I3624" s="49"/>
    </row>
    <row r="3625" ht="15.75" customHeight="1" spans="1:9">
      <c r="A3625" s="49"/>
      <c r="B3625" s="36" t="s">
        <v>5036</v>
      </c>
      <c r="C3625" s="36" t="s">
        <v>5044</v>
      </c>
      <c r="D3625" s="49"/>
      <c r="E3625" s="49"/>
      <c r="F3625" s="49"/>
      <c r="G3625" s="49"/>
      <c r="H3625" s="49"/>
      <c r="I3625" s="49"/>
    </row>
    <row r="3626" ht="15.75" customHeight="1" spans="1:9">
      <c r="A3626" s="49"/>
      <c r="B3626" s="36" t="s">
        <v>5036</v>
      </c>
      <c r="C3626" s="36" t="s">
        <v>5045</v>
      </c>
      <c r="D3626" s="49"/>
      <c r="E3626" s="49"/>
      <c r="F3626" s="49"/>
      <c r="G3626" s="49"/>
      <c r="H3626" s="49"/>
      <c r="I3626" s="49"/>
    </row>
    <row r="3627" ht="15.75" customHeight="1" spans="1:9">
      <c r="A3627" s="49"/>
      <c r="B3627" s="36" t="s">
        <v>5036</v>
      </c>
      <c r="C3627" s="36" t="s">
        <v>5046</v>
      </c>
      <c r="D3627" s="49"/>
      <c r="E3627" s="49"/>
      <c r="F3627" s="49"/>
      <c r="G3627" s="49"/>
      <c r="H3627" s="49"/>
      <c r="I3627" s="49"/>
    </row>
    <row r="3628" ht="15.75" customHeight="1" spans="1:9">
      <c r="A3628" s="49"/>
      <c r="B3628" s="36" t="s">
        <v>5036</v>
      </c>
      <c r="C3628" s="36" t="s">
        <v>5047</v>
      </c>
      <c r="D3628" s="49"/>
      <c r="E3628" s="49"/>
      <c r="F3628" s="49"/>
      <c r="G3628" s="49"/>
      <c r="H3628" s="49"/>
      <c r="I3628" s="49"/>
    </row>
    <row r="3629" ht="15.75" customHeight="1" spans="1:9">
      <c r="A3629" s="49"/>
      <c r="B3629" s="36" t="s">
        <v>5036</v>
      </c>
      <c r="C3629" s="36" t="s">
        <v>5048</v>
      </c>
      <c r="D3629" s="49"/>
      <c r="E3629" s="49"/>
      <c r="F3629" s="49"/>
      <c r="G3629" s="49"/>
      <c r="H3629" s="49"/>
      <c r="I3629" s="49"/>
    </row>
    <row r="3630" ht="15.75" customHeight="1" spans="1:9">
      <c r="A3630" s="49"/>
      <c r="B3630" s="36" t="s">
        <v>5036</v>
      </c>
      <c r="C3630" s="36" t="s">
        <v>5049</v>
      </c>
      <c r="D3630" s="49"/>
      <c r="E3630" s="49"/>
      <c r="F3630" s="49"/>
      <c r="G3630" s="49"/>
      <c r="H3630" s="49"/>
      <c r="I3630" s="49"/>
    </row>
    <row r="3631" ht="15.75" customHeight="1" spans="1:9">
      <c r="A3631" s="49"/>
      <c r="B3631" s="36" t="s">
        <v>5036</v>
      </c>
      <c r="C3631" s="36" t="s">
        <v>5050</v>
      </c>
      <c r="D3631" s="49"/>
      <c r="E3631" s="49"/>
      <c r="F3631" s="49"/>
      <c r="G3631" s="49"/>
      <c r="H3631" s="49"/>
      <c r="I3631" s="49"/>
    </row>
    <row r="3632" ht="15.75" customHeight="1" spans="1:9">
      <c r="A3632" s="49"/>
      <c r="B3632" s="36" t="s">
        <v>5036</v>
      </c>
      <c r="C3632" s="36" t="s">
        <v>5051</v>
      </c>
      <c r="D3632" s="49"/>
      <c r="E3632" s="49"/>
      <c r="F3632" s="49"/>
      <c r="G3632" s="49"/>
      <c r="H3632" s="49"/>
      <c r="I3632" s="49"/>
    </row>
    <row r="3633" ht="15.75" customHeight="1" spans="1:9">
      <c r="A3633" s="49"/>
      <c r="B3633" s="36" t="s">
        <v>5036</v>
      </c>
      <c r="C3633" s="36" t="s">
        <v>5052</v>
      </c>
      <c r="D3633" s="49"/>
      <c r="E3633" s="49"/>
      <c r="F3633" s="49"/>
      <c r="G3633" s="49"/>
      <c r="H3633" s="49"/>
      <c r="I3633" s="49"/>
    </row>
    <row r="3634" ht="15.75" customHeight="1" spans="1:9">
      <c r="A3634" s="49"/>
      <c r="B3634" s="36" t="s">
        <v>5036</v>
      </c>
      <c r="C3634" s="36" t="s">
        <v>5053</v>
      </c>
      <c r="D3634" s="49"/>
      <c r="E3634" s="49"/>
      <c r="F3634" s="49"/>
      <c r="G3634" s="49"/>
      <c r="H3634" s="49"/>
      <c r="I3634" s="49"/>
    </row>
    <row r="3635" ht="15.75" customHeight="1" spans="1:9">
      <c r="A3635" s="49"/>
      <c r="B3635" s="36" t="s">
        <v>5036</v>
      </c>
      <c r="C3635" s="36" t="s">
        <v>5054</v>
      </c>
      <c r="D3635" s="49"/>
      <c r="E3635" s="49"/>
      <c r="F3635" s="49"/>
      <c r="G3635" s="49"/>
      <c r="H3635" s="49"/>
      <c r="I3635" s="49"/>
    </row>
    <row r="3636" ht="15.75" customHeight="1" spans="1:9">
      <c r="A3636" s="49"/>
      <c r="B3636" s="36" t="s">
        <v>5036</v>
      </c>
      <c r="C3636" s="36" t="s">
        <v>4948</v>
      </c>
      <c r="D3636" s="49"/>
      <c r="E3636" s="49"/>
      <c r="F3636" s="49"/>
      <c r="G3636" s="49"/>
      <c r="H3636" s="49"/>
      <c r="I3636" s="49"/>
    </row>
    <row r="3637" ht="15.75" customHeight="1" spans="1:9">
      <c r="A3637" s="49"/>
      <c r="B3637" s="36" t="s">
        <v>5036</v>
      </c>
      <c r="C3637" s="36" t="s">
        <v>4942</v>
      </c>
      <c r="D3637" s="49"/>
      <c r="E3637" s="49"/>
      <c r="F3637" s="49"/>
      <c r="G3637" s="49"/>
      <c r="H3637" s="49"/>
      <c r="I3637" s="49"/>
    </row>
    <row r="3638" ht="15.75" customHeight="1" spans="1:9">
      <c r="A3638" s="49"/>
      <c r="B3638" s="36" t="s">
        <v>5036</v>
      </c>
      <c r="C3638" s="36" t="s">
        <v>5055</v>
      </c>
      <c r="D3638" s="49"/>
      <c r="E3638" s="49"/>
      <c r="F3638" s="49"/>
      <c r="G3638" s="49"/>
      <c r="H3638" s="49"/>
      <c r="I3638" s="49"/>
    </row>
    <row r="3639" ht="15.75" customHeight="1" spans="1:9">
      <c r="A3639" s="49"/>
      <c r="B3639" s="36" t="s">
        <v>5036</v>
      </c>
      <c r="C3639" s="36" t="s">
        <v>5056</v>
      </c>
      <c r="D3639" s="49"/>
      <c r="E3639" s="49"/>
      <c r="F3639" s="49"/>
      <c r="G3639" s="49"/>
      <c r="H3639" s="49"/>
      <c r="I3639" s="49"/>
    </row>
    <row r="3640" ht="15.75" customHeight="1" spans="1:9">
      <c r="A3640" s="49"/>
      <c r="B3640" s="36" t="s">
        <v>40</v>
      </c>
      <c r="C3640" s="36" t="s">
        <v>40</v>
      </c>
      <c r="D3640" s="49"/>
      <c r="E3640" s="49"/>
      <c r="F3640" s="49"/>
      <c r="G3640" s="49"/>
      <c r="H3640" s="49"/>
      <c r="I3640" s="49"/>
    </row>
    <row r="3641" ht="15.75" customHeight="1" spans="1:9">
      <c r="A3641" s="49"/>
      <c r="B3641" s="36" t="s">
        <v>40</v>
      </c>
      <c r="C3641" s="36" t="s">
        <v>5057</v>
      </c>
      <c r="D3641" s="49"/>
      <c r="E3641" s="49"/>
      <c r="F3641" s="49"/>
      <c r="G3641" s="49"/>
      <c r="H3641" s="49"/>
      <c r="I3641" s="49"/>
    </row>
    <row r="3642" ht="15.75" customHeight="1" spans="1:9">
      <c r="A3642" s="49"/>
      <c r="B3642" s="36" t="s">
        <v>40</v>
      </c>
      <c r="C3642" s="36" t="s">
        <v>5058</v>
      </c>
      <c r="D3642" s="49"/>
      <c r="E3642" s="49"/>
      <c r="F3642" s="49"/>
      <c r="G3642" s="49"/>
      <c r="H3642" s="49"/>
      <c r="I3642" s="49"/>
    </row>
    <row r="3643" ht="15.75" customHeight="1" spans="1:9">
      <c r="A3643" s="49"/>
      <c r="B3643" s="36" t="s">
        <v>40</v>
      </c>
      <c r="C3643" s="36" t="s">
        <v>5059</v>
      </c>
      <c r="D3643" s="49"/>
      <c r="E3643" s="49"/>
      <c r="F3643" s="49"/>
      <c r="G3643" s="49"/>
      <c r="H3643" s="49"/>
      <c r="I3643" s="49"/>
    </row>
    <row r="3644" ht="15.75" customHeight="1" spans="1:9">
      <c r="A3644" s="49"/>
      <c r="B3644" s="36" t="s">
        <v>40</v>
      </c>
      <c r="C3644" s="36" t="s">
        <v>5060</v>
      </c>
      <c r="D3644" s="49"/>
      <c r="E3644" s="49"/>
      <c r="F3644" s="49"/>
      <c r="G3644" s="49"/>
      <c r="H3644" s="49"/>
      <c r="I3644" s="49"/>
    </row>
    <row r="3645" ht="15.75" customHeight="1" spans="1:9">
      <c r="A3645" s="49"/>
      <c r="B3645" s="36" t="s">
        <v>40</v>
      </c>
      <c r="C3645" s="36" t="s">
        <v>5061</v>
      </c>
      <c r="D3645" s="49"/>
      <c r="E3645" s="49"/>
      <c r="F3645" s="49"/>
      <c r="G3645" s="49"/>
      <c r="H3645" s="49"/>
      <c r="I3645" s="49"/>
    </row>
    <row r="3646" ht="15.75" customHeight="1" spans="1:9">
      <c r="A3646" s="49"/>
      <c r="B3646" s="36" t="s">
        <v>40</v>
      </c>
      <c r="C3646" s="36" t="s">
        <v>5062</v>
      </c>
      <c r="D3646" s="49"/>
      <c r="E3646" s="49"/>
      <c r="F3646" s="49"/>
      <c r="G3646" s="49"/>
      <c r="H3646" s="49"/>
      <c r="I3646" s="49"/>
    </row>
    <row r="3647" ht="15.75" customHeight="1" spans="1:9">
      <c r="A3647" s="49"/>
      <c r="B3647" s="36" t="s">
        <v>40</v>
      </c>
      <c r="C3647" s="36" t="s">
        <v>5063</v>
      </c>
      <c r="D3647" s="49"/>
      <c r="E3647" s="49"/>
      <c r="F3647" s="49"/>
      <c r="G3647" s="49"/>
      <c r="H3647" s="49"/>
      <c r="I3647" s="49"/>
    </row>
    <row r="3648" ht="15.75" customHeight="1" spans="1:9">
      <c r="A3648" s="49"/>
      <c r="B3648" s="36" t="s">
        <v>40</v>
      </c>
      <c r="C3648" s="36" t="s">
        <v>5064</v>
      </c>
      <c r="D3648" s="49"/>
      <c r="E3648" s="49"/>
      <c r="F3648" s="49"/>
      <c r="G3648" s="49"/>
      <c r="H3648" s="49"/>
      <c r="I3648" s="49"/>
    </row>
    <row r="3649" ht="15.75" customHeight="1" spans="1:9">
      <c r="A3649" s="49"/>
      <c r="B3649" s="36" t="s">
        <v>40</v>
      </c>
      <c r="C3649" s="36" t="s">
        <v>5065</v>
      </c>
      <c r="D3649" s="49"/>
      <c r="E3649" s="49"/>
      <c r="F3649" s="49"/>
      <c r="G3649" s="49"/>
      <c r="H3649" s="49"/>
      <c r="I3649" s="49"/>
    </row>
    <row r="3650" ht="15.75" customHeight="1" spans="1:9">
      <c r="A3650" s="49"/>
      <c r="B3650" s="36" t="s">
        <v>40</v>
      </c>
      <c r="C3650" s="36" t="s">
        <v>3439</v>
      </c>
      <c r="D3650" s="49"/>
      <c r="E3650" s="49"/>
      <c r="F3650" s="49"/>
      <c r="G3650" s="49"/>
      <c r="H3650" s="49"/>
      <c r="I3650" s="49"/>
    </row>
    <row r="3651" ht="15.75" customHeight="1" spans="1:9">
      <c r="A3651" s="49"/>
      <c r="B3651" s="36" t="s">
        <v>40</v>
      </c>
      <c r="C3651" s="36" t="s">
        <v>5066</v>
      </c>
      <c r="D3651" s="49"/>
      <c r="E3651" s="49"/>
      <c r="F3651" s="49"/>
      <c r="G3651" s="49"/>
      <c r="H3651" s="49"/>
      <c r="I3651" s="49"/>
    </row>
    <row r="3652" ht="15.75" customHeight="1" spans="1:9">
      <c r="A3652" s="49"/>
      <c r="B3652" s="36" t="s">
        <v>40</v>
      </c>
      <c r="C3652" s="36" t="s">
        <v>5067</v>
      </c>
      <c r="D3652" s="49"/>
      <c r="E3652" s="49"/>
      <c r="F3652" s="49"/>
      <c r="G3652" s="49"/>
      <c r="H3652" s="49"/>
      <c r="I3652" s="49"/>
    </row>
    <row r="3653" ht="15.75" customHeight="1" spans="1:9">
      <c r="A3653" s="49"/>
      <c r="B3653" s="36" t="s">
        <v>40</v>
      </c>
      <c r="C3653" s="36" t="s">
        <v>5068</v>
      </c>
      <c r="D3653" s="49"/>
      <c r="E3653" s="49"/>
      <c r="F3653" s="49"/>
      <c r="G3653" s="49"/>
      <c r="H3653" s="49"/>
      <c r="I3653" s="49"/>
    </row>
    <row r="3654" ht="15.75" customHeight="1" spans="1:9">
      <c r="A3654" s="49"/>
      <c r="B3654" s="36" t="s">
        <v>40</v>
      </c>
      <c r="C3654" s="36" t="s">
        <v>5069</v>
      </c>
      <c r="D3654" s="49"/>
      <c r="E3654" s="49"/>
      <c r="F3654" s="49"/>
      <c r="G3654" s="49"/>
      <c r="H3654" s="49"/>
      <c r="I3654" s="49"/>
    </row>
    <row r="3655" ht="15.75" customHeight="1" spans="1:9">
      <c r="A3655" s="49"/>
      <c r="B3655" s="36" t="s">
        <v>40</v>
      </c>
      <c r="C3655" s="36" t="s">
        <v>5070</v>
      </c>
      <c r="D3655" s="49"/>
      <c r="E3655" s="49"/>
      <c r="F3655" s="49"/>
      <c r="G3655" s="49"/>
      <c r="H3655" s="49"/>
      <c r="I3655" s="49"/>
    </row>
    <row r="3656" ht="15.75" customHeight="1" spans="1:9">
      <c r="A3656" s="49"/>
      <c r="B3656" s="36" t="s">
        <v>40</v>
      </c>
      <c r="C3656" s="36" t="s">
        <v>5071</v>
      </c>
      <c r="D3656" s="49"/>
      <c r="E3656" s="49"/>
      <c r="F3656" s="49"/>
      <c r="G3656" s="49"/>
      <c r="H3656" s="49"/>
      <c r="I3656" s="49"/>
    </row>
    <row r="3657" ht="15.75" customHeight="1" spans="1:9">
      <c r="A3657" s="49"/>
      <c r="B3657" s="36" t="s">
        <v>40</v>
      </c>
      <c r="C3657" s="36" t="s">
        <v>5072</v>
      </c>
      <c r="D3657" s="49"/>
      <c r="E3657" s="49"/>
      <c r="F3657" s="49"/>
      <c r="G3657" s="49"/>
      <c r="H3657" s="49"/>
      <c r="I3657" s="49"/>
    </row>
    <row r="3658" ht="15.75" customHeight="1" spans="1:9">
      <c r="A3658" s="49"/>
      <c r="B3658" s="36" t="s">
        <v>40</v>
      </c>
      <c r="C3658" s="36" t="s">
        <v>5073</v>
      </c>
      <c r="D3658" s="49"/>
      <c r="E3658" s="49"/>
      <c r="F3658" s="49"/>
      <c r="G3658" s="49"/>
      <c r="H3658" s="49"/>
      <c r="I3658" s="49"/>
    </row>
    <row r="3659" ht="15.75" customHeight="1" spans="1:9">
      <c r="A3659" s="49"/>
      <c r="B3659" s="36" t="s">
        <v>40</v>
      </c>
      <c r="C3659" s="36" t="s">
        <v>5074</v>
      </c>
      <c r="D3659" s="49"/>
      <c r="E3659" s="49"/>
      <c r="F3659" s="49"/>
      <c r="G3659" s="49"/>
      <c r="H3659" s="49"/>
      <c r="I3659" s="49"/>
    </row>
    <row r="3660" ht="15.75" customHeight="1" spans="1:9">
      <c r="A3660" s="49"/>
      <c r="B3660" s="36" t="s">
        <v>40</v>
      </c>
      <c r="C3660" s="36" t="s">
        <v>5075</v>
      </c>
      <c r="D3660" s="49"/>
      <c r="E3660" s="49"/>
      <c r="F3660" s="49"/>
      <c r="G3660" s="49"/>
      <c r="H3660" s="49"/>
      <c r="I3660" s="49"/>
    </row>
    <row r="3661" ht="15.75" customHeight="1" spans="1:9">
      <c r="A3661" s="49"/>
      <c r="B3661" s="36" t="s">
        <v>40</v>
      </c>
      <c r="C3661" s="36" t="s">
        <v>5076</v>
      </c>
      <c r="D3661" s="49"/>
      <c r="E3661" s="49"/>
      <c r="F3661" s="49"/>
      <c r="G3661" s="49"/>
      <c r="H3661" s="49"/>
      <c r="I3661" s="49"/>
    </row>
    <row r="3662" ht="15.75" customHeight="1" spans="1:9">
      <c r="A3662" s="49"/>
      <c r="B3662" s="36" t="s">
        <v>40</v>
      </c>
      <c r="C3662" s="36" t="s">
        <v>5077</v>
      </c>
      <c r="D3662" s="49"/>
      <c r="E3662" s="49"/>
      <c r="F3662" s="49"/>
      <c r="G3662" s="49"/>
      <c r="H3662" s="49"/>
      <c r="I3662" s="49"/>
    </row>
    <row r="3663" ht="15.75" customHeight="1" spans="1:9">
      <c r="A3663" s="49"/>
      <c r="B3663" s="36" t="s">
        <v>40</v>
      </c>
      <c r="C3663" s="36" t="s">
        <v>5078</v>
      </c>
      <c r="D3663" s="49"/>
      <c r="E3663" s="49"/>
      <c r="F3663" s="49"/>
      <c r="G3663" s="49"/>
      <c r="H3663" s="49"/>
      <c r="I3663" s="49"/>
    </row>
    <row r="3664" ht="15.75" customHeight="1" spans="1:9">
      <c r="A3664" s="49"/>
      <c r="B3664" s="36" t="s">
        <v>40</v>
      </c>
      <c r="C3664" s="36" t="s">
        <v>5079</v>
      </c>
      <c r="D3664" s="49"/>
      <c r="E3664" s="49"/>
      <c r="F3664" s="49"/>
      <c r="G3664" s="49"/>
      <c r="H3664" s="49"/>
      <c r="I3664" s="49"/>
    </row>
    <row r="3665" ht="15.75" customHeight="1" spans="1:9">
      <c r="A3665" s="49"/>
      <c r="B3665" s="36" t="s">
        <v>40</v>
      </c>
      <c r="C3665" s="36" t="s">
        <v>5080</v>
      </c>
      <c r="D3665" s="49"/>
      <c r="E3665" s="49"/>
      <c r="F3665" s="49"/>
      <c r="G3665" s="49"/>
      <c r="H3665" s="49"/>
      <c r="I3665" s="49"/>
    </row>
    <row r="3666" ht="15.75" customHeight="1" spans="1:9">
      <c r="A3666" s="49"/>
      <c r="B3666" s="36" t="s">
        <v>40</v>
      </c>
      <c r="C3666" s="36" t="s">
        <v>5081</v>
      </c>
      <c r="D3666" s="49"/>
      <c r="E3666" s="49"/>
      <c r="F3666" s="49"/>
      <c r="G3666" s="49"/>
      <c r="H3666" s="49"/>
      <c r="I3666" s="49"/>
    </row>
    <row r="3667" ht="15.75" customHeight="1" spans="1:9">
      <c r="A3667" s="49"/>
      <c r="B3667" s="36" t="s">
        <v>40</v>
      </c>
      <c r="C3667" s="36" t="s">
        <v>5082</v>
      </c>
      <c r="D3667" s="49"/>
      <c r="E3667" s="49"/>
      <c r="F3667" s="49"/>
      <c r="G3667" s="49"/>
      <c r="H3667" s="49"/>
      <c r="I3667" s="49"/>
    </row>
    <row r="3668" ht="15.75" customHeight="1" spans="1:9">
      <c r="A3668" s="49"/>
      <c r="B3668" s="36" t="s">
        <v>40</v>
      </c>
      <c r="C3668" s="36" t="s">
        <v>5083</v>
      </c>
      <c r="D3668" s="49"/>
      <c r="E3668" s="49"/>
      <c r="F3668" s="49"/>
      <c r="G3668" s="49"/>
      <c r="H3668" s="49"/>
      <c r="I3668" s="49"/>
    </row>
    <row r="3669" ht="15.75" customHeight="1" spans="1:9">
      <c r="A3669" s="49"/>
      <c r="B3669" s="36" t="s">
        <v>40</v>
      </c>
      <c r="C3669" s="36" t="s">
        <v>5084</v>
      </c>
      <c r="D3669" s="49"/>
      <c r="E3669" s="49"/>
      <c r="F3669" s="49"/>
      <c r="G3669" s="49"/>
      <c r="H3669" s="49"/>
      <c r="I3669" s="49"/>
    </row>
    <row r="3670" ht="15.75" customHeight="1" spans="1:9">
      <c r="A3670" s="49"/>
      <c r="B3670" s="36" t="s">
        <v>40</v>
      </c>
      <c r="C3670" s="36" t="s">
        <v>5085</v>
      </c>
      <c r="D3670" s="49"/>
      <c r="E3670" s="49"/>
      <c r="F3670" s="49"/>
      <c r="G3670" s="49"/>
      <c r="H3670" s="49"/>
      <c r="I3670" s="49"/>
    </row>
    <row r="3671" ht="15.75" customHeight="1" spans="1:9">
      <c r="A3671" s="49"/>
      <c r="B3671" s="36" t="s">
        <v>40</v>
      </c>
      <c r="C3671" s="36" t="s">
        <v>5086</v>
      </c>
      <c r="D3671" s="49"/>
      <c r="E3671" s="49"/>
      <c r="F3671" s="49"/>
      <c r="G3671" s="49"/>
      <c r="H3671" s="49"/>
      <c r="I3671" s="49"/>
    </row>
    <row r="3672" ht="15.75" customHeight="1" spans="1:9">
      <c r="A3672" s="49"/>
      <c r="B3672" s="36" t="s">
        <v>40</v>
      </c>
      <c r="C3672" s="36" t="s">
        <v>5087</v>
      </c>
      <c r="D3672" s="49"/>
      <c r="E3672" s="49"/>
      <c r="F3672" s="49"/>
      <c r="G3672" s="49"/>
      <c r="H3672" s="49"/>
      <c r="I3672" s="49"/>
    </row>
    <row r="3673" ht="15.75" customHeight="1" spans="1:9">
      <c r="A3673" s="49"/>
      <c r="B3673" s="36" t="s">
        <v>40</v>
      </c>
      <c r="C3673" s="36" t="s">
        <v>5088</v>
      </c>
      <c r="D3673" s="49"/>
      <c r="E3673" s="49"/>
      <c r="F3673" s="49"/>
      <c r="G3673" s="49"/>
      <c r="H3673" s="49"/>
      <c r="I3673" s="49"/>
    </row>
    <row r="3674" ht="15.75" customHeight="1" spans="1:9">
      <c r="A3674" s="49"/>
      <c r="B3674" s="36" t="s">
        <v>40</v>
      </c>
      <c r="C3674" s="36" t="s">
        <v>5089</v>
      </c>
      <c r="D3674" s="49"/>
      <c r="E3674" s="49"/>
      <c r="F3674" s="49"/>
      <c r="G3674" s="49"/>
      <c r="H3674" s="49"/>
      <c r="I3674" s="49"/>
    </row>
    <row r="3675" ht="15.75" customHeight="1" spans="1:9">
      <c r="A3675" s="49"/>
      <c r="B3675" s="36" t="s">
        <v>40</v>
      </c>
      <c r="C3675" s="36" t="s">
        <v>5090</v>
      </c>
      <c r="D3675" s="49"/>
      <c r="E3675" s="49"/>
      <c r="F3675" s="49"/>
      <c r="G3675" s="49"/>
      <c r="H3675" s="49"/>
      <c r="I3675" s="49"/>
    </row>
    <row r="3676" ht="15.75" customHeight="1" spans="1:9">
      <c r="A3676" s="49"/>
      <c r="B3676" s="36" t="s">
        <v>40</v>
      </c>
      <c r="C3676" s="36" t="s">
        <v>5091</v>
      </c>
      <c r="D3676" s="49"/>
      <c r="E3676" s="49"/>
      <c r="F3676" s="49"/>
      <c r="G3676" s="49"/>
      <c r="H3676" s="49"/>
      <c r="I3676" s="49"/>
    </row>
    <row r="3677" ht="15.75" customHeight="1" spans="1:9">
      <c r="A3677" s="49"/>
      <c r="B3677" s="36" t="s">
        <v>40</v>
      </c>
      <c r="C3677" s="36" t="s">
        <v>5092</v>
      </c>
      <c r="D3677" s="49"/>
      <c r="E3677" s="49"/>
      <c r="F3677" s="49"/>
      <c r="G3677" s="49"/>
      <c r="H3677" s="49"/>
      <c r="I3677" s="49"/>
    </row>
    <row r="3678" ht="15.75" customHeight="1" spans="1:9">
      <c r="A3678" s="49"/>
      <c r="B3678" s="36" t="s">
        <v>40</v>
      </c>
      <c r="C3678" s="36" t="s">
        <v>5093</v>
      </c>
      <c r="D3678" s="49"/>
      <c r="E3678" s="49"/>
      <c r="F3678" s="49"/>
      <c r="G3678" s="49"/>
      <c r="H3678" s="49"/>
      <c r="I3678" s="49"/>
    </row>
    <row r="3679" ht="15.75" customHeight="1" spans="1:9">
      <c r="A3679" s="49"/>
      <c r="B3679" s="36" t="s">
        <v>40</v>
      </c>
      <c r="C3679" s="36" t="s">
        <v>5094</v>
      </c>
      <c r="D3679" s="49"/>
      <c r="E3679" s="49"/>
      <c r="F3679" s="49"/>
      <c r="G3679" s="49"/>
      <c r="H3679" s="49"/>
      <c r="I3679" s="49"/>
    </row>
    <row r="3680" ht="15.75" customHeight="1" spans="1:9">
      <c r="A3680" s="49"/>
      <c r="B3680" s="36" t="s">
        <v>40</v>
      </c>
      <c r="C3680" s="36" t="s">
        <v>5095</v>
      </c>
      <c r="D3680" s="49"/>
      <c r="E3680" s="49"/>
      <c r="F3680" s="49"/>
      <c r="G3680" s="49"/>
      <c r="H3680" s="49"/>
      <c r="I3680" s="49"/>
    </row>
    <row r="3681" ht="15.75" customHeight="1" spans="1:9">
      <c r="A3681" s="49"/>
      <c r="B3681" s="36" t="s">
        <v>40</v>
      </c>
      <c r="C3681" s="36" t="s">
        <v>5096</v>
      </c>
      <c r="D3681" s="49"/>
      <c r="E3681" s="49"/>
      <c r="F3681" s="49"/>
      <c r="G3681" s="49"/>
      <c r="H3681" s="49"/>
      <c r="I3681" s="49"/>
    </row>
    <row r="3682" ht="15.75" customHeight="1" spans="1:9">
      <c r="A3682" s="49"/>
      <c r="B3682" s="36" t="s">
        <v>40</v>
      </c>
      <c r="C3682" s="36" t="s">
        <v>5097</v>
      </c>
      <c r="D3682" s="49"/>
      <c r="E3682" s="49"/>
      <c r="F3682" s="49"/>
      <c r="G3682" s="49"/>
      <c r="H3682" s="49"/>
      <c r="I3682" s="49"/>
    </row>
    <row r="3683" ht="15.75" customHeight="1" spans="1:9">
      <c r="A3683" s="49"/>
      <c r="B3683" s="36" t="s">
        <v>40</v>
      </c>
      <c r="C3683" s="36" t="s">
        <v>5098</v>
      </c>
      <c r="D3683" s="49"/>
      <c r="E3683" s="49"/>
      <c r="F3683" s="49"/>
      <c r="G3683" s="49"/>
      <c r="H3683" s="49"/>
      <c r="I3683" s="49"/>
    </row>
    <row r="3684" ht="15.75" customHeight="1" spans="1:9">
      <c r="A3684" s="49"/>
      <c r="B3684" s="36" t="s">
        <v>40</v>
      </c>
      <c r="C3684" s="36" t="s">
        <v>5099</v>
      </c>
      <c r="D3684" s="49"/>
      <c r="E3684" s="49"/>
      <c r="F3684" s="49"/>
      <c r="G3684" s="49"/>
      <c r="H3684" s="49"/>
      <c r="I3684" s="49"/>
    </row>
    <row r="3685" ht="15.75" customHeight="1" spans="1:9">
      <c r="A3685" s="49"/>
      <c r="B3685" s="36" t="s">
        <v>40</v>
      </c>
      <c r="C3685" s="36" t="s">
        <v>5100</v>
      </c>
      <c r="D3685" s="49"/>
      <c r="E3685" s="49"/>
      <c r="F3685" s="49"/>
      <c r="G3685" s="49"/>
      <c r="H3685" s="49"/>
      <c r="I3685" s="49"/>
    </row>
    <row r="3686" ht="15.75" customHeight="1" spans="1:9">
      <c r="A3686" s="49"/>
      <c r="B3686" s="36" t="s">
        <v>40</v>
      </c>
      <c r="C3686" s="36" t="s">
        <v>5101</v>
      </c>
      <c r="D3686" s="49"/>
      <c r="E3686" s="49"/>
      <c r="F3686" s="49"/>
      <c r="G3686" s="49"/>
      <c r="H3686" s="49"/>
      <c r="I3686" s="49"/>
    </row>
    <row r="3687" ht="15.75" customHeight="1" spans="1:9">
      <c r="A3687" s="49"/>
      <c r="B3687" s="36" t="s">
        <v>40</v>
      </c>
      <c r="C3687" s="36" t="s">
        <v>5102</v>
      </c>
      <c r="D3687" s="49"/>
      <c r="E3687" s="49"/>
      <c r="F3687" s="49"/>
      <c r="G3687" s="49"/>
      <c r="H3687" s="49"/>
      <c r="I3687" s="49"/>
    </row>
    <row r="3688" ht="15.75" customHeight="1" spans="1:9">
      <c r="A3688" s="49"/>
      <c r="B3688" s="36" t="s">
        <v>5103</v>
      </c>
      <c r="C3688" s="36" t="s">
        <v>39</v>
      </c>
      <c r="D3688" s="49"/>
      <c r="E3688" s="49"/>
      <c r="F3688" s="49"/>
      <c r="G3688" s="49"/>
      <c r="H3688" s="49"/>
      <c r="I3688" s="49"/>
    </row>
    <row r="3689" ht="15.75" customHeight="1" spans="1:9">
      <c r="A3689" s="49"/>
      <c r="B3689" s="36" t="s">
        <v>5103</v>
      </c>
      <c r="C3689" s="36" t="s">
        <v>5104</v>
      </c>
      <c r="D3689" s="49"/>
      <c r="E3689" s="49"/>
      <c r="F3689" s="49"/>
      <c r="G3689" s="49"/>
      <c r="H3689" s="49"/>
      <c r="I3689" s="49"/>
    </row>
    <row r="3690" ht="15.75" customHeight="1" spans="1:9">
      <c r="A3690" s="49"/>
      <c r="B3690" s="36" t="s">
        <v>5103</v>
      </c>
      <c r="C3690" s="36" t="s">
        <v>5103</v>
      </c>
      <c r="D3690" s="49"/>
      <c r="E3690" s="49"/>
      <c r="F3690" s="49"/>
      <c r="G3690" s="49"/>
      <c r="H3690" s="49"/>
      <c r="I3690" s="49"/>
    </row>
    <row r="3691" ht="15.75" customHeight="1" spans="1:9">
      <c r="A3691" s="49"/>
      <c r="B3691" s="36" t="s">
        <v>5103</v>
      </c>
      <c r="C3691" s="36" t="s">
        <v>5105</v>
      </c>
      <c r="D3691" s="49"/>
      <c r="E3691" s="49"/>
      <c r="F3691" s="49"/>
      <c r="G3691" s="49"/>
      <c r="H3691" s="49"/>
      <c r="I3691" s="49"/>
    </row>
    <row r="3692" ht="15.75" customHeight="1" spans="1:9">
      <c r="A3692" s="49"/>
      <c r="B3692" s="36" t="s">
        <v>5103</v>
      </c>
      <c r="C3692" s="36" t="s">
        <v>5106</v>
      </c>
      <c r="D3692" s="49"/>
      <c r="E3692" s="49"/>
      <c r="F3692" s="49"/>
      <c r="G3692" s="49"/>
      <c r="H3692" s="49"/>
      <c r="I3692" s="49"/>
    </row>
    <row r="3693" ht="15.75" customHeight="1" spans="1:9">
      <c r="A3693" s="49"/>
      <c r="B3693" s="36" t="s">
        <v>5103</v>
      </c>
      <c r="C3693" s="36" t="s">
        <v>5107</v>
      </c>
      <c r="D3693" s="49"/>
      <c r="E3693" s="49"/>
      <c r="F3693" s="49"/>
      <c r="G3693" s="49"/>
      <c r="H3693" s="49"/>
      <c r="I3693" s="49"/>
    </row>
    <row r="3694" ht="15.75" customHeight="1" spans="1:9">
      <c r="A3694" s="49"/>
      <c r="B3694" s="36" t="s">
        <v>5103</v>
      </c>
      <c r="C3694" s="36" t="s">
        <v>5108</v>
      </c>
      <c r="D3694" s="49"/>
      <c r="E3694" s="49"/>
      <c r="F3694" s="49"/>
      <c r="G3694" s="49"/>
      <c r="H3694" s="49"/>
      <c r="I3694" s="49"/>
    </row>
    <row r="3695" ht="15.75" customHeight="1" spans="1:9">
      <c r="A3695" s="49"/>
      <c r="B3695" s="36" t="s">
        <v>5103</v>
      </c>
      <c r="C3695" s="36" t="s">
        <v>5109</v>
      </c>
      <c r="D3695" s="49"/>
      <c r="E3695" s="49"/>
      <c r="F3695" s="49"/>
      <c r="G3695" s="49"/>
      <c r="H3695" s="49"/>
      <c r="I3695" s="49"/>
    </row>
    <row r="3696" ht="15.75" customHeight="1" spans="1:9">
      <c r="A3696" s="49"/>
      <c r="B3696" s="36" t="s">
        <v>5103</v>
      </c>
      <c r="C3696" s="36" t="s">
        <v>5110</v>
      </c>
      <c r="D3696" s="49"/>
      <c r="E3696" s="49"/>
      <c r="F3696" s="49"/>
      <c r="G3696" s="49"/>
      <c r="H3696" s="49"/>
      <c r="I3696" s="49"/>
    </row>
    <row r="3697" ht="15.75" customHeight="1" spans="1:9">
      <c r="A3697" s="49"/>
      <c r="B3697" s="36" t="s">
        <v>5103</v>
      </c>
      <c r="C3697" s="36" t="s">
        <v>5111</v>
      </c>
      <c r="D3697" s="49"/>
      <c r="E3697" s="49"/>
      <c r="F3697" s="49"/>
      <c r="G3697" s="49"/>
      <c r="H3697" s="49"/>
      <c r="I3697" s="49"/>
    </row>
    <row r="3698" ht="15.75" customHeight="1" spans="1:9">
      <c r="A3698" s="49"/>
      <c r="B3698" s="36" t="s">
        <v>5103</v>
      </c>
      <c r="C3698" s="36" t="s">
        <v>5112</v>
      </c>
      <c r="D3698" s="49"/>
      <c r="E3698" s="49"/>
      <c r="F3698" s="49"/>
      <c r="G3698" s="49"/>
      <c r="H3698" s="49"/>
      <c r="I3698" s="49"/>
    </row>
    <row r="3699" ht="15.75" customHeight="1" spans="1:9">
      <c r="A3699" s="49"/>
      <c r="B3699" s="36" t="s">
        <v>5103</v>
      </c>
      <c r="C3699" s="36" t="s">
        <v>41</v>
      </c>
      <c r="D3699" s="49"/>
      <c r="E3699" s="49"/>
      <c r="F3699" s="49"/>
      <c r="G3699" s="49"/>
      <c r="H3699" s="49"/>
      <c r="I3699" s="49"/>
    </row>
    <row r="3700" ht="15.75" customHeight="1" spans="1:9">
      <c r="A3700" s="49"/>
      <c r="B3700" s="36" t="s">
        <v>5103</v>
      </c>
      <c r="C3700" s="36" t="s">
        <v>5113</v>
      </c>
      <c r="D3700" s="49"/>
      <c r="E3700" s="49"/>
      <c r="F3700" s="49"/>
      <c r="G3700" s="49"/>
      <c r="H3700" s="49"/>
      <c r="I3700" s="49"/>
    </row>
    <row r="3701" ht="15.75" customHeight="1" spans="1:9">
      <c r="A3701" s="49"/>
      <c r="B3701" s="36" t="s">
        <v>5103</v>
      </c>
      <c r="C3701" s="36" t="s">
        <v>5114</v>
      </c>
      <c r="D3701" s="49"/>
      <c r="E3701" s="49"/>
      <c r="F3701" s="49"/>
      <c r="G3701" s="49"/>
      <c r="H3701" s="49"/>
      <c r="I3701" s="49"/>
    </row>
    <row r="3702" ht="15.75" customHeight="1" spans="1:9">
      <c r="A3702" s="49"/>
      <c r="B3702" s="36" t="s">
        <v>5103</v>
      </c>
      <c r="C3702" s="36" t="s">
        <v>3439</v>
      </c>
      <c r="D3702" s="49"/>
      <c r="E3702" s="49"/>
      <c r="F3702" s="49"/>
      <c r="G3702" s="49"/>
      <c r="H3702" s="49"/>
      <c r="I3702" s="49"/>
    </row>
    <row r="3703" ht="15.75" customHeight="1" spans="1:9">
      <c r="A3703" s="49"/>
      <c r="B3703" s="36" t="s">
        <v>5103</v>
      </c>
      <c r="C3703" s="36" t="s">
        <v>5115</v>
      </c>
      <c r="D3703" s="49"/>
      <c r="E3703" s="49"/>
      <c r="F3703" s="49"/>
      <c r="G3703" s="49"/>
      <c r="H3703" s="49"/>
      <c r="I3703" s="49"/>
    </row>
    <row r="3704" ht="15.75" customHeight="1" spans="1:9">
      <c r="A3704" s="49"/>
      <c r="B3704" s="36" t="s">
        <v>5116</v>
      </c>
      <c r="C3704" s="36" t="s">
        <v>5117</v>
      </c>
      <c r="D3704" s="49"/>
      <c r="E3704" s="49"/>
      <c r="F3704" s="49"/>
      <c r="G3704" s="49"/>
      <c r="H3704" s="49"/>
      <c r="I3704" s="49"/>
    </row>
    <row r="3705" ht="15.75" customHeight="1" spans="1:9">
      <c r="A3705" s="49"/>
      <c r="B3705" s="36" t="s">
        <v>5116</v>
      </c>
      <c r="C3705" s="36" t="s">
        <v>5118</v>
      </c>
      <c r="D3705" s="49"/>
      <c r="E3705" s="49"/>
      <c r="F3705" s="49"/>
      <c r="G3705" s="49"/>
      <c r="H3705" s="49"/>
      <c r="I3705" s="49"/>
    </row>
    <row r="3706" ht="15.75" customHeight="1" spans="1:9">
      <c r="A3706" s="49"/>
      <c r="B3706" s="36" t="s">
        <v>5116</v>
      </c>
      <c r="C3706" s="36" t="s">
        <v>5119</v>
      </c>
      <c r="D3706" s="49"/>
      <c r="E3706" s="49"/>
      <c r="F3706" s="49"/>
      <c r="G3706" s="49"/>
      <c r="H3706" s="49"/>
      <c r="I3706" s="49"/>
    </row>
    <row r="3707" ht="15.75" customHeight="1" spans="1:9">
      <c r="A3707" s="49"/>
      <c r="B3707" s="36" t="s">
        <v>5116</v>
      </c>
      <c r="C3707" s="36" t="s">
        <v>5120</v>
      </c>
      <c r="D3707" s="49"/>
      <c r="E3707" s="49"/>
      <c r="F3707" s="49"/>
      <c r="G3707" s="49"/>
      <c r="H3707" s="49"/>
      <c r="I3707" s="49"/>
    </row>
    <row r="3708" ht="15.75" customHeight="1" spans="1:9">
      <c r="A3708" s="49"/>
      <c r="B3708" s="36" t="s">
        <v>5116</v>
      </c>
      <c r="C3708" s="36" t="s">
        <v>5121</v>
      </c>
      <c r="D3708" s="49"/>
      <c r="E3708" s="49"/>
      <c r="F3708" s="49"/>
      <c r="G3708" s="49"/>
      <c r="H3708" s="49"/>
      <c r="I3708" s="49"/>
    </row>
    <row r="3709" ht="15.75" customHeight="1" spans="1:9">
      <c r="A3709" s="49"/>
      <c r="B3709" s="36" t="s">
        <v>5116</v>
      </c>
      <c r="C3709" s="36" t="s">
        <v>5122</v>
      </c>
      <c r="D3709" s="49"/>
      <c r="E3709" s="49"/>
      <c r="F3709" s="49"/>
      <c r="G3709" s="49"/>
      <c r="H3709" s="49"/>
      <c r="I3709" s="49"/>
    </row>
    <row r="3710" ht="15.75" customHeight="1" spans="1:9">
      <c r="A3710" s="49"/>
      <c r="B3710" s="36" t="s">
        <v>5116</v>
      </c>
      <c r="C3710" s="36" t="s">
        <v>5123</v>
      </c>
      <c r="D3710" s="49"/>
      <c r="E3710" s="49"/>
      <c r="F3710" s="49"/>
      <c r="G3710" s="49"/>
      <c r="H3710" s="49"/>
      <c r="I3710" s="49"/>
    </row>
    <row r="3711" ht="15.75" customHeight="1" spans="1:9">
      <c r="A3711" s="49"/>
      <c r="B3711" s="36" t="s">
        <v>5116</v>
      </c>
      <c r="C3711" s="36" t="s">
        <v>5124</v>
      </c>
      <c r="D3711" s="49"/>
      <c r="E3711" s="49"/>
      <c r="F3711" s="49"/>
      <c r="G3711" s="49"/>
      <c r="H3711" s="49"/>
      <c r="I3711" s="49"/>
    </row>
    <row r="3712" ht="15.75" customHeight="1" spans="1:9">
      <c r="A3712" s="49"/>
      <c r="B3712" s="36" t="s">
        <v>5116</v>
      </c>
      <c r="C3712" s="36" t="s">
        <v>5125</v>
      </c>
      <c r="D3712" s="49"/>
      <c r="E3712" s="49"/>
      <c r="F3712" s="49"/>
      <c r="G3712" s="49"/>
      <c r="H3712" s="49"/>
      <c r="I3712" s="49"/>
    </row>
    <row r="3713" ht="15.75" customHeight="1" spans="1:9">
      <c r="A3713" s="49"/>
      <c r="B3713" s="36" t="s">
        <v>5116</v>
      </c>
      <c r="C3713" s="36" t="s">
        <v>5126</v>
      </c>
      <c r="D3713" s="49"/>
      <c r="E3713" s="49"/>
      <c r="F3713" s="49"/>
      <c r="G3713" s="49"/>
      <c r="H3713" s="49"/>
      <c r="I3713" s="49"/>
    </row>
    <row r="3714" ht="15.75" customHeight="1" spans="1:9">
      <c r="A3714" s="49"/>
      <c r="B3714" s="36" t="s">
        <v>5116</v>
      </c>
      <c r="C3714" s="36" t="s">
        <v>5127</v>
      </c>
      <c r="D3714" s="49"/>
      <c r="E3714" s="49"/>
      <c r="F3714" s="49"/>
      <c r="G3714" s="49"/>
      <c r="H3714" s="49"/>
      <c r="I3714" s="49"/>
    </row>
    <row r="3715" ht="15.75" customHeight="1" spans="1:9">
      <c r="A3715" s="49"/>
      <c r="B3715" s="36" t="s">
        <v>5116</v>
      </c>
      <c r="C3715" s="36" t="s">
        <v>5128</v>
      </c>
      <c r="D3715" s="49"/>
      <c r="E3715" s="49"/>
      <c r="F3715" s="49"/>
      <c r="G3715" s="49"/>
      <c r="H3715" s="49"/>
      <c r="I3715" s="49"/>
    </row>
    <row r="3716" ht="15.75" customHeight="1" spans="1:9">
      <c r="A3716" s="49"/>
      <c r="B3716" s="36" t="s">
        <v>5116</v>
      </c>
      <c r="C3716" s="36" t="s">
        <v>5129</v>
      </c>
      <c r="D3716" s="49"/>
      <c r="E3716" s="49"/>
      <c r="F3716" s="49"/>
      <c r="G3716" s="49"/>
      <c r="H3716" s="49"/>
      <c r="I3716" s="49"/>
    </row>
    <row r="3717" ht="15.75" customHeight="1" spans="1:9">
      <c r="A3717" s="49"/>
      <c r="B3717" s="36" t="s">
        <v>5116</v>
      </c>
      <c r="C3717" s="36" t="s">
        <v>5130</v>
      </c>
      <c r="D3717" s="49"/>
      <c r="E3717" s="49"/>
      <c r="F3717" s="49"/>
      <c r="G3717" s="49"/>
      <c r="H3717" s="49"/>
      <c r="I3717" s="49"/>
    </row>
    <row r="3718" ht="15.75" customHeight="1" spans="1:9">
      <c r="A3718" s="49"/>
      <c r="B3718" s="36" t="s">
        <v>5116</v>
      </c>
      <c r="C3718" s="36" t="s">
        <v>5131</v>
      </c>
      <c r="D3718" s="49"/>
      <c r="E3718" s="49"/>
      <c r="F3718" s="49"/>
      <c r="G3718" s="49"/>
      <c r="H3718" s="49"/>
      <c r="I3718" s="49"/>
    </row>
    <row r="3719" ht="15.75" customHeight="1" spans="1:9">
      <c r="A3719" s="49"/>
      <c r="B3719" s="36" t="s">
        <v>5116</v>
      </c>
      <c r="C3719" s="36" t="s">
        <v>5132</v>
      </c>
      <c r="D3719" s="49"/>
      <c r="E3719" s="49"/>
      <c r="F3719" s="49"/>
      <c r="G3719" s="49"/>
      <c r="H3719" s="49"/>
      <c r="I3719" s="49"/>
    </row>
    <row r="3720" ht="15.75" customHeight="1" spans="1:9">
      <c r="A3720" s="49"/>
      <c r="B3720" s="36" t="s">
        <v>5116</v>
      </c>
      <c r="C3720" s="36" t="s">
        <v>5133</v>
      </c>
      <c r="D3720" s="49"/>
      <c r="E3720" s="49"/>
      <c r="F3720" s="49"/>
      <c r="G3720" s="49"/>
      <c r="H3720" s="49"/>
      <c r="I3720" s="49"/>
    </row>
    <row r="3721" ht="15.75" customHeight="1" spans="1:9">
      <c r="A3721" s="49"/>
      <c r="B3721" s="36" t="s">
        <v>5116</v>
      </c>
      <c r="C3721" s="36" t="s">
        <v>5134</v>
      </c>
      <c r="D3721" s="49"/>
      <c r="E3721" s="49"/>
      <c r="F3721" s="49"/>
      <c r="G3721" s="49"/>
      <c r="H3721" s="49"/>
      <c r="I3721" s="49"/>
    </row>
    <row r="3722" ht="15.75" customHeight="1" spans="1:9">
      <c r="A3722" s="49"/>
      <c r="B3722" s="36" t="s">
        <v>5116</v>
      </c>
      <c r="C3722" s="36" t="s">
        <v>5135</v>
      </c>
      <c r="D3722" s="49"/>
      <c r="E3722" s="49"/>
      <c r="F3722" s="49"/>
      <c r="G3722" s="49"/>
      <c r="H3722" s="49"/>
      <c r="I3722" s="49"/>
    </row>
    <row r="3723" ht="15.75" customHeight="1" spans="1:9">
      <c r="A3723" s="49"/>
      <c r="B3723" s="36" t="s">
        <v>5116</v>
      </c>
      <c r="C3723" s="36" t="s">
        <v>5136</v>
      </c>
      <c r="D3723" s="49"/>
      <c r="E3723" s="49"/>
      <c r="F3723" s="49"/>
      <c r="G3723" s="49"/>
      <c r="H3723" s="49"/>
      <c r="I3723" s="49"/>
    </row>
    <row r="3724" ht="15.75" customHeight="1" spans="1:9">
      <c r="A3724" s="49"/>
      <c r="B3724" s="36" t="s">
        <v>5137</v>
      </c>
      <c r="C3724" s="36" t="s">
        <v>42</v>
      </c>
      <c r="D3724" s="49"/>
      <c r="E3724" s="49"/>
      <c r="F3724" s="49"/>
      <c r="G3724" s="49"/>
      <c r="H3724" s="49"/>
      <c r="I3724" s="49"/>
    </row>
    <row r="3725" ht="15.75" customHeight="1" spans="1:9">
      <c r="A3725" s="49"/>
      <c r="B3725" s="36" t="s">
        <v>5137</v>
      </c>
      <c r="C3725" s="36" t="s">
        <v>5137</v>
      </c>
      <c r="D3725" s="49"/>
      <c r="E3725" s="49"/>
      <c r="F3725" s="49"/>
      <c r="G3725" s="49"/>
      <c r="H3725" s="49"/>
      <c r="I3725" s="49"/>
    </row>
    <row r="3726" ht="15.75" customHeight="1" spans="1:9">
      <c r="A3726" s="49"/>
      <c r="B3726" s="36" t="s">
        <v>5137</v>
      </c>
      <c r="C3726" s="36" t="s">
        <v>5138</v>
      </c>
      <c r="D3726" s="49"/>
      <c r="E3726" s="49"/>
      <c r="F3726" s="49"/>
      <c r="G3726" s="49"/>
      <c r="H3726" s="49"/>
      <c r="I3726" s="49"/>
    </row>
    <row r="3727" ht="15.75" customHeight="1" spans="1:9">
      <c r="A3727" s="49"/>
      <c r="B3727" s="36" t="s">
        <v>5137</v>
      </c>
      <c r="C3727" s="36" t="s">
        <v>5139</v>
      </c>
      <c r="D3727" s="49"/>
      <c r="E3727" s="49"/>
      <c r="F3727" s="49"/>
      <c r="G3727" s="49"/>
      <c r="H3727" s="49"/>
      <c r="I3727" s="49"/>
    </row>
    <row r="3728" ht="15.75" customHeight="1" spans="1:9">
      <c r="A3728" s="49"/>
      <c r="B3728" s="36" t="s">
        <v>5137</v>
      </c>
      <c r="C3728" s="36" t="s">
        <v>592</v>
      </c>
      <c r="D3728" s="49"/>
      <c r="E3728" s="49"/>
      <c r="F3728" s="49"/>
      <c r="G3728" s="49"/>
      <c r="H3728" s="49"/>
      <c r="I3728" s="49"/>
    </row>
    <row r="3729" ht="15.75" customHeight="1" spans="1:9">
      <c r="A3729" s="49"/>
      <c r="B3729" s="36" t="s">
        <v>5140</v>
      </c>
      <c r="C3729" s="36" t="s">
        <v>5141</v>
      </c>
      <c r="D3729" s="49"/>
      <c r="E3729" s="49"/>
      <c r="F3729" s="49"/>
      <c r="G3729" s="49"/>
      <c r="H3729" s="49"/>
      <c r="I3729" s="49"/>
    </row>
    <row r="3730" ht="15.75" customHeight="1" spans="1:9">
      <c r="A3730" s="49"/>
      <c r="B3730" s="36" t="s">
        <v>5140</v>
      </c>
      <c r="C3730" s="36" t="s">
        <v>5142</v>
      </c>
      <c r="D3730" s="49"/>
      <c r="E3730" s="49"/>
      <c r="F3730" s="49"/>
      <c r="G3730" s="49"/>
      <c r="H3730" s="49"/>
      <c r="I3730" s="49"/>
    </row>
    <row r="3731" ht="15.75" customHeight="1" spans="1:9">
      <c r="A3731" s="49"/>
      <c r="B3731" s="36" t="s">
        <v>5140</v>
      </c>
      <c r="C3731" s="36" t="s">
        <v>43</v>
      </c>
      <c r="D3731" s="49"/>
      <c r="E3731" s="49"/>
      <c r="F3731" s="49"/>
      <c r="G3731" s="49"/>
      <c r="H3731" s="49"/>
      <c r="I3731" s="49"/>
    </row>
    <row r="3732" ht="15.75" customHeight="1" spans="1:9">
      <c r="A3732" s="49"/>
      <c r="B3732" s="36" t="s">
        <v>5140</v>
      </c>
      <c r="C3732" s="36" t="s">
        <v>5143</v>
      </c>
      <c r="D3732" s="49"/>
      <c r="E3732" s="49"/>
      <c r="F3732" s="49"/>
      <c r="G3732" s="49"/>
      <c r="H3732" s="49"/>
      <c r="I3732" s="49"/>
    </row>
    <row r="3733" ht="15.75" customHeight="1" spans="1:9">
      <c r="A3733" s="49"/>
      <c r="B3733" s="36" t="s">
        <v>5140</v>
      </c>
      <c r="C3733" s="36" t="s">
        <v>5144</v>
      </c>
      <c r="D3733" s="49"/>
      <c r="E3733" s="49"/>
      <c r="F3733" s="49"/>
      <c r="G3733" s="49"/>
      <c r="H3733" s="49"/>
      <c r="I3733" s="49"/>
    </row>
    <row r="3734" ht="15.75" customHeight="1" spans="1:9">
      <c r="A3734" s="49"/>
      <c r="B3734" s="36" t="s">
        <v>5140</v>
      </c>
      <c r="C3734" s="36" t="s">
        <v>5140</v>
      </c>
      <c r="D3734" s="49"/>
      <c r="E3734" s="49"/>
      <c r="F3734" s="49"/>
      <c r="G3734" s="49"/>
      <c r="H3734" s="49"/>
      <c r="I3734" s="49"/>
    </row>
    <row r="3735" ht="15.75" customHeight="1" spans="1:9">
      <c r="A3735" s="49"/>
      <c r="B3735" s="36" t="s">
        <v>5140</v>
      </c>
      <c r="C3735" s="36" t="s">
        <v>5145</v>
      </c>
      <c r="D3735" s="49"/>
      <c r="E3735" s="49"/>
      <c r="F3735" s="49"/>
      <c r="G3735" s="49"/>
      <c r="H3735" s="49"/>
      <c r="I3735" s="49"/>
    </row>
    <row r="3736" ht="15.75" customHeight="1" spans="1:9">
      <c r="A3736" s="49"/>
      <c r="B3736" s="36" t="s">
        <v>5140</v>
      </c>
      <c r="C3736" s="36" t="s">
        <v>5146</v>
      </c>
      <c r="D3736" s="49"/>
      <c r="E3736" s="49"/>
      <c r="F3736" s="49"/>
      <c r="G3736" s="49"/>
      <c r="H3736" s="49"/>
      <c r="I3736" s="49"/>
    </row>
    <row r="3737" ht="15.75" customHeight="1" spans="1:9">
      <c r="A3737" s="49"/>
      <c r="B3737" s="36" t="s">
        <v>5140</v>
      </c>
      <c r="C3737" s="36" t="s">
        <v>5147</v>
      </c>
      <c r="D3737" s="49"/>
      <c r="E3737" s="49"/>
      <c r="F3737" s="49"/>
      <c r="G3737" s="49"/>
      <c r="H3737" s="49"/>
      <c r="I3737" s="49"/>
    </row>
    <row r="3738" ht="15.75" customHeight="1" spans="1:9">
      <c r="A3738" s="49"/>
      <c r="B3738" s="36" t="s">
        <v>5140</v>
      </c>
      <c r="C3738" s="36" t="s">
        <v>5148</v>
      </c>
      <c r="D3738" s="49"/>
      <c r="E3738" s="49"/>
      <c r="F3738" s="49"/>
      <c r="G3738" s="49"/>
      <c r="H3738" s="49"/>
      <c r="I3738" s="49"/>
    </row>
    <row r="3739" ht="15.75" customHeight="1" spans="1:9">
      <c r="A3739" s="49"/>
      <c r="B3739" s="36" t="s">
        <v>5140</v>
      </c>
      <c r="C3739" s="36" t="s">
        <v>5149</v>
      </c>
      <c r="D3739" s="49"/>
      <c r="E3739" s="49"/>
      <c r="F3739" s="49"/>
      <c r="G3739" s="49"/>
      <c r="H3739" s="49"/>
      <c r="I3739" s="49"/>
    </row>
    <row r="3740" ht="15.75" customHeight="1" spans="1:9">
      <c r="A3740" s="49"/>
      <c r="B3740" s="36" t="s">
        <v>5140</v>
      </c>
      <c r="C3740" s="36" t="s">
        <v>5150</v>
      </c>
      <c r="D3740" s="49"/>
      <c r="E3740" s="49"/>
      <c r="F3740" s="49"/>
      <c r="G3740" s="49"/>
      <c r="H3740" s="49"/>
      <c r="I3740" s="49"/>
    </row>
    <row r="3741" ht="15.75" customHeight="1" spans="1:9">
      <c r="A3741" s="49"/>
      <c r="B3741" s="36" t="s">
        <v>5140</v>
      </c>
      <c r="C3741" s="36" t="s">
        <v>5151</v>
      </c>
      <c r="D3741" s="49"/>
      <c r="E3741" s="49"/>
      <c r="F3741" s="49"/>
      <c r="G3741" s="49"/>
      <c r="H3741" s="49"/>
      <c r="I3741" s="49"/>
    </row>
    <row r="3742" ht="15.75" customHeight="1" spans="1:9">
      <c r="A3742" s="49"/>
      <c r="B3742" s="36" t="s">
        <v>5140</v>
      </c>
      <c r="C3742" s="36" t="s">
        <v>5152</v>
      </c>
      <c r="D3742" s="49"/>
      <c r="E3742" s="49"/>
      <c r="F3742" s="49"/>
      <c r="G3742" s="49"/>
      <c r="H3742" s="49"/>
      <c r="I3742" s="49"/>
    </row>
    <row r="3743" ht="15.75" customHeight="1" spans="1:9">
      <c r="A3743" s="49"/>
      <c r="B3743" s="36" t="s">
        <v>5140</v>
      </c>
      <c r="C3743" s="36" t="s">
        <v>5153</v>
      </c>
      <c r="D3743" s="49"/>
      <c r="E3743" s="49"/>
      <c r="F3743" s="49"/>
      <c r="G3743" s="49"/>
      <c r="H3743" s="49"/>
      <c r="I3743" s="49"/>
    </row>
    <row r="3744" ht="15.75" customHeight="1" spans="1:9">
      <c r="A3744" s="49"/>
      <c r="B3744" s="36" t="s">
        <v>5154</v>
      </c>
      <c r="C3744" s="36" t="s">
        <v>196</v>
      </c>
      <c r="D3744" s="49"/>
      <c r="E3744" s="49"/>
      <c r="F3744" s="49"/>
      <c r="G3744" s="49"/>
      <c r="H3744" s="49"/>
      <c r="I3744" s="49"/>
    </row>
    <row r="3745" ht="15.75" customHeight="1" spans="1:9">
      <c r="A3745" s="49"/>
      <c r="B3745" s="36" t="s">
        <v>5154</v>
      </c>
      <c r="C3745" s="36" t="s">
        <v>5155</v>
      </c>
      <c r="D3745" s="49"/>
      <c r="E3745" s="49"/>
      <c r="F3745" s="49"/>
      <c r="G3745" s="49"/>
      <c r="H3745" s="49"/>
      <c r="I3745" s="49"/>
    </row>
    <row r="3746" ht="15.75" customHeight="1" spans="1:9">
      <c r="A3746" s="49"/>
      <c r="B3746" s="36" t="s">
        <v>5154</v>
      </c>
      <c r="C3746" s="36" t="s">
        <v>44</v>
      </c>
      <c r="D3746" s="49"/>
      <c r="E3746" s="49"/>
      <c r="F3746" s="49"/>
      <c r="G3746" s="49"/>
      <c r="H3746" s="49"/>
      <c r="I3746" s="49"/>
    </row>
    <row r="3747" ht="15.75" customHeight="1" spans="1:9">
      <c r="A3747" s="49"/>
      <c r="B3747" s="36" t="s">
        <v>5154</v>
      </c>
      <c r="C3747" s="36" t="s">
        <v>5156</v>
      </c>
      <c r="D3747" s="49"/>
      <c r="E3747" s="49"/>
      <c r="F3747" s="49"/>
      <c r="G3747" s="49"/>
      <c r="H3747" s="49"/>
      <c r="I3747" s="49"/>
    </row>
    <row r="3748" ht="15.75" customHeight="1" spans="1:9">
      <c r="A3748" s="49"/>
      <c r="B3748" s="36" t="s">
        <v>5154</v>
      </c>
      <c r="C3748" s="36" t="s">
        <v>5157</v>
      </c>
      <c r="D3748" s="49"/>
      <c r="E3748" s="49"/>
      <c r="F3748" s="49"/>
      <c r="G3748" s="49"/>
      <c r="H3748" s="49"/>
      <c r="I3748" s="49"/>
    </row>
    <row r="3749" ht="15.75" customHeight="1" spans="1:9">
      <c r="A3749" s="49"/>
      <c r="B3749" s="36" t="s">
        <v>5154</v>
      </c>
      <c r="C3749" s="36" t="s">
        <v>5158</v>
      </c>
      <c r="D3749" s="49"/>
      <c r="E3749" s="49"/>
      <c r="F3749" s="49"/>
      <c r="G3749" s="49"/>
      <c r="H3749" s="49"/>
      <c r="I3749" s="49"/>
    </row>
    <row r="3750" ht="15.75" customHeight="1" spans="1:9">
      <c r="A3750" s="49"/>
      <c r="B3750" s="36" t="s">
        <v>5154</v>
      </c>
      <c r="C3750" s="36" t="s">
        <v>5154</v>
      </c>
      <c r="D3750" s="49"/>
      <c r="E3750" s="49"/>
      <c r="F3750" s="49"/>
      <c r="G3750" s="49"/>
      <c r="H3750" s="49"/>
      <c r="I3750" s="49"/>
    </row>
    <row r="3751" ht="15.75" customHeight="1" spans="1:9">
      <c r="A3751" s="49"/>
      <c r="B3751" s="36" t="s">
        <v>5154</v>
      </c>
      <c r="C3751" s="36" t="s">
        <v>5159</v>
      </c>
      <c r="D3751" s="49"/>
      <c r="E3751" s="49"/>
      <c r="F3751" s="49"/>
      <c r="G3751" s="49"/>
      <c r="H3751" s="49"/>
      <c r="I3751" s="49"/>
    </row>
    <row r="3752" ht="15.75" customHeight="1" spans="1:9">
      <c r="A3752" s="49"/>
      <c r="B3752" s="36" t="s">
        <v>5154</v>
      </c>
      <c r="C3752" s="36" t="s">
        <v>5160</v>
      </c>
      <c r="D3752" s="49"/>
      <c r="E3752" s="49"/>
      <c r="F3752" s="49"/>
      <c r="G3752" s="49"/>
      <c r="H3752" s="49"/>
      <c r="I3752" s="49"/>
    </row>
    <row r="3753" ht="15.75" customHeight="1" spans="1:9">
      <c r="A3753" s="49"/>
      <c r="B3753" s="36" t="s">
        <v>5154</v>
      </c>
      <c r="C3753" s="36" t="s">
        <v>5161</v>
      </c>
      <c r="D3753" s="49"/>
      <c r="E3753" s="49"/>
      <c r="F3753" s="49"/>
      <c r="G3753" s="49"/>
      <c r="H3753" s="49"/>
      <c r="I3753" s="49"/>
    </row>
    <row r="3754" ht="15.75" customHeight="1" spans="1:9">
      <c r="A3754" s="49"/>
      <c r="B3754" s="36" t="s">
        <v>5154</v>
      </c>
      <c r="C3754" s="36" t="s">
        <v>5162</v>
      </c>
      <c r="D3754" s="49"/>
      <c r="E3754" s="49"/>
      <c r="F3754" s="49"/>
      <c r="G3754" s="49"/>
      <c r="H3754" s="49"/>
      <c r="I3754" s="49"/>
    </row>
    <row r="3755" ht="15.75" customHeight="1" spans="1:9">
      <c r="A3755" s="49"/>
      <c r="B3755" s="36" t="s">
        <v>5154</v>
      </c>
      <c r="C3755" s="36" t="s">
        <v>5163</v>
      </c>
      <c r="D3755" s="49"/>
      <c r="E3755" s="49"/>
      <c r="F3755" s="49"/>
      <c r="G3755" s="49"/>
      <c r="H3755" s="49"/>
      <c r="I3755" s="49"/>
    </row>
    <row r="3756" ht="15.75" customHeight="1" spans="1:9">
      <c r="A3756" s="49"/>
      <c r="B3756" s="36" t="s">
        <v>5154</v>
      </c>
      <c r="C3756" s="36" t="s">
        <v>5164</v>
      </c>
      <c r="D3756" s="49"/>
      <c r="E3756" s="49"/>
      <c r="F3756" s="49"/>
      <c r="G3756" s="49"/>
      <c r="H3756" s="49"/>
      <c r="I3756" s="49"/>
    </row>
    <row r="3757" ht="15.75" customHeight="1" spans="1:9">
      <c r="A3757" s="49"/>
      <c r="B3757" s="36" t="s">
        <v>5154</v>
      </c>
      <c r="C3757" s="36" t="s">
        <v>5165</v>
      </c>
      <c r="D3757" s="49"/>
      <c r="E3757" s="49"/>
      <c r="F3757" s="49"/>
      <c r="G3757" s="49"/>
      <c r="H3757" s="49"/>
      <c r="I3757" s="49"/>
    </row>
    <row r="3758" ht="15.75" customHeight="1" spans="1:9">
      <c r="A3758" s="49"/>
      <c r="B3758" s="36" t="s">
        <v>5154</v>
      </c>
      <c r="C3758" s="36" t="s">
        <v>5166</v>
      </c>
      <c r="D3758" s="49"/>
      <c r="E3758" s="49"/>
      <c r="F3758" s="49"/>
      <c r="G3758" s="49"/>
      <c r="H3758" s="49"/>
      <c r="I3758" s="49"/>
    </row>
    <row r="3759" ht="15.75" customHeight="1" spans="1:9">
      <c r="A3759" s="49"/>
      <c r="B3759" s="36" t="s">
        <v>5154</v>
      </c>
      <c r="C3759" s="36" t="s">
        <v>5167</v>
      </c>
      <c r="D3759" s="49"/>
      <c r="E3759" s="49"/>
      <c r="F3759" s="49"/>
      <c r="G3759" s="49"/>
      <c r="H3759" s="49"/>
      <c r="I3759" s="49"/>
    </row>
    <row r="3760" ht="15.75" customHeight="1" spans="1:9">
      <c r="A3760" s="49"/>
      <c r="B3760" s="36" t="s">
        <v>5168</v>
      </c>
      <c r="C3760" s="36" t="s">
        <v>199</v>
      </c>
      <c r="D3760" s="49"/>
      <c r="E3760" s="49"/>
      <c r="F3760" s="49"/>
      <c r="G3760" s="49"/>
      <c r="H3760" s="49"/>
      <c r="I3760" s="49"/>
    </row>
    <row r="3761" ht="15.75" customHeight="1" spans="1:9">
      <c r="A3761" s="49"/>
      <c r="B3761" s="36" t="s">
        <v>5168</v>
      </c>
      <c r="C3761" s="36" t="s">
        <v>5169</v>
      </c>
      <c r="D3761" s="49"/>
      <c r="E3761" s="49"/>
      <c r="F3761" s="49"/>
      <c r="G3761" s="49"/>
      <c r="H3761" s="49"/>
      <c r="I3761" s="49"/>
    </row>
    <row r="3762" ht="15.75" customHeight="1" spans="1:9">
      <c r="A3762" s="49"/>
      <c r="B3762" s="36" t="s">
        <v>5168</v>
      </c>
      <c r="C3762" s="36" t="s">
        <v>45</v>
      </c>
      <c r="D3762" s="49"/>
      <c r="E3762" s="49"/>
      <c r="F3762" s="49"/>
      <c r="G3762" s="49"/>
      <c r="H3762" s="49"/>
      <c r="I3762" s="49"/>
    </row>
    <row r="3763" ht="15.75" customHeight="1" spans="1:9">
      <c r="A3763" s="49"/>
      <c r="B3763" s="36" t="s">
        <v>5168</v>
      </c>
      <c r="C3763" s="36" t="s">
        <v>5170</v>
      </c>
      <c r="D3763" s="49"/>
      <c r="E3763" s="49"/>
      <c r="F3763" s="49"/>
      <c r="G3763" s="49"/>
      <c r="H3763" s="49"/>
      <c r="I3763" s="49"/>
    </row>
    <row r="3764" ht="15.75" customHeight="1" spans="1:9">
      <c r="A3764" s="49"/>
      <c r="B3764" s="36" t="s">
        <v>5168</v>
      </c>
      <c r="C3764" s="36" t="s">
        <v>5171</v>
      </c>
      <c r="D3764" s="49"/>
      <c r="E3764" s="49"/>
      <c r="F3764" s="49"/>
      <c r="G3764" s="49"/>
      <c r="H3764" s="49"/>
      <c r="I3764" s="49"/>
    </row>
    <row r="3765" ht="15.75" customHeight="1" spans="1:9">
      <c r="A3765" s="49"/>
      <c r="B3765" s="36" t="s">
        <v>5168</v>
      </c>
      <c r="C3765" s="36" t="s">
        <v>5168</v>
      </c>
      <c r="D3765" s="49"/>
      <c r="E3765" s="49"/>
      <c r="F3765" s="49"/>
      <c r="G3765" s="49"/>
      <c r="H3765" s="49"/>
      <c r="I3765" s="49"/>
    </row>
    <row r="3766" ht="15.75" customHeight="1" spans="1:9">
      <c r="A3766" s="49"/>
      <c r="B3766" s="36" t="s">
        <v>5168</v>
      </c>
      <c r="C3766" s="36" t="s">
        <v>5172</v>
      </c>
      <c r="D3766" s="49"/>
      <c r="E3766" s="49"/>
      <c r="F3766" s="49"/>
      <c r="G3766" s="49"/>
      <c r="H3766" s="49"/>
      <c r="I3766" s="49"/>
    </row>
    <row r="3767" ht="15.75" customHeight="1" spans="1:9">
      <c r="A3767" s="49"/>
      <c r="B3767" s="36" t="s">
        <v>5168</v>
      </c>
      <c r="C3767" s="36" t="s">
        <v>5173</v>
      </c>
      <c r="D3767" s="49"/>
      <c r="E3767" s="49"/>
      <c r="F3767" s="49"/>
      <c r="G3767" s="49"/>
      <c r="H3767" s="49"/>
      <c r="I3767" s="49"/>
    </row>
    <row r="3768" ht="15.75" customHeight="1" spans="1:9">
      <c r="A3768" s="49"/>
      <c r="B3768" s="36" t="s">
        <v>5168</v>
      </c>
      <c r="C3768" s="36" t="s">
        <v>5174</v>
      </c>
      <c r="D3768" s="49"/>
      <c r="E3768" s="49"/>
      <c r="F3768" s="49"/>
      <c r="G3768" s="49"/>
      <c r="H3768" s="49"/>
      <c r="I3768" s="49"/>
    </row>
    <row r="3769" ht="15.75" customHeight="1" spans="1:9">
      <c r="A3769" s="49"/>
      <c r="B3769" s="36" t="s">
        <v>5168</v>
      </c>
      <c r="C3769" s="36" t="s">
        <v>5175</v>
      </c>
      <c r="D3769" s="49"/>
      <c r="E3769" s="49"/>
      <c r="F3769" s="49"/>
      <c r="G3769" s="49"/>
      <c r="H3769" s="49"/>
      <c r="I3769" s="49"/>
    </row>
    <row r="3770" ht="15.75" customHeight="1" spans="1:9">
      <c r="A3770" s="49"/>
      <c r="B3770" s="36" t="s">
        <v>5168</v>
      </c>
      <c r="C3770" s="36" t="s">
        <v>5176</v>
      </c>
      <c r="D3770" s="49"/>
      <c r="E3770" s="49"/>
      <c r="F3770" s="49"/>
      <c r="G3770" s="49"/>
      <c r="H3770" s="49"/>
      <c r="I3770" s="49"/>
    </row>
    <row r="3771" ht="15.75" customHeight="1" spans="1:9">
      <c r="A3771" s="49"/>
      <c r="B3771" s="36" t="s">
        <v>5168</v>
      </c>
      <c r="C3771" s="36" t="s">
        <v>5177</v>
      </c>
      <c r="D3771" s="49"/>
      <c r="E3771" s="49"/>
      <c r="F3771" s="49"/>
      <c r="G3771" s="49"/>
      <c r="H3771" s="49"/>
      <c r="I3771" s="49"/>
    </row>
    <row r="3772" ht="15.75" customHeight="1" spans="1:9">
      <c r="A3772" s="49"/>
      <c r="B3772" s="36" t="s">
        <v>5178</v>
      </c>
      <c r="C3772" s="36" t="s">
        <v>5178</v>
      </c>
      <c r="D3772" s="49"/>
      <c r="E3772" s="49"/>
      <c r="F3772" s="49"/>
      <c r="G3772" s="49"/>
      <c r="H3772" s="49"/>
      <c r="I3772" s="49"/>
    </row>
    <row r="3773" ht="15.75" customHeight="1" spans="1:9">
      <c r="A3773" s="49"/>
      <c r="B3773" s="36" t="s">
        <v>5178</v>
      </c>
      <c r="C3773" s="36" t="s">
        <v>5179</v>
      </c>
      <c r="D3773" s="49"/>
      <c r="E3773" s="49"/>
      <c r="F3773" s="49"/>
      <c r="G3773" s="49"/>
      <c r="H3773" s="49"/>
      <c r="I3773" s="49"/>
    </row>
    <row r="3774" ht="15.75" customHeight="1" spans="1:9">
      <c r="A3774" s="49"/>
      <c r="B3774" s="36" t="s">
        <v>5178</v>
      </c>
      <c r="C3774" s="36" t="s">
        <v>5180</v>
      </c>
      <c r="D3774" s="49"/>
      <c r="E3774" s="49"/>
      <c r="F3774" s="49"/>
      <c r="G3774" s="49"/>
      <c r="H3774" s="49"/>
      <c r="I3774" s="49"/>
    </row>
    <row r="3775" ht="15.75" customHeight="1" spans="1:9">
      <c r="A3775" s="49"/>
      <c r="B3775" s="36" t="s">
        <v>5178</v>
      </c>
      <c r="C3775" s="36" t="s">
        <v>5181</v>
      </c>
      <c r="D3775" s="49"/>
      <c r="E3775" s="49"/>
      <c r="F3775" s="49"/>
      <c r="G3775" s="49"/>
      <c r="H3775" s="49"/>
      <c r="I3775" s="49"/>
    </row>
    <row r="3776" ht="15.75" customHeight="1" spans="1:9">
      <c r="A3776" s="49"/>
      <c r="B3776" s="36" t="s">
        <v>5178</v>
      </c>
      <c r="C3776" s="36" t="s">
        <v>5182</v>
      </c>
      <c r="D3776" s="49"/>
      <c r="E3776" s="49"/>
      <c r="F3776" s="49"/>
      <c r="G3776" s="49"/>
      <c r="H3776" s="49"/>
      <c r="I3776" s="49"/>
    </row>
    <row r="3777" ht="15.75" customHeight="1" spans="1:9">
      <c r="A3777" s="49"/>
      <c r="B3777" s="36" t="s">
        <v>5178</v>
      </c>
      <c r="C3777" s="36" t="s">
        <v>5183</v>
      </c>
      <c r="D3777" s="49"/>
      <c r="E3777" s="49"/>
      <c r="F3777" s="49"/>
      <c r="G3777" s="49"/>
      <c r="H3777" s="49"/>
      <c r="I3777" s="49"/>
    </row>
    <row r="3778" ht="15.75" customHeight="1" spans="1:9">
      <c r="A3778" s="49"/>
      <c r="B3778" s="36" t="s">
        <v>5178</v>
      </c>
      <c r="C3778" s="36" t="s">
        <v>5184</v>
      </c>
      <c r="D3778" s="49"/>
      <c r="E3778" s="49"/>
      <c r="F3778" s="49"/>
      <c r="G3778" s="49"/>
      <c r="H3778" s="49"/>
      <c r="I3778" s="49"/>
    </row>
    <row r="3779" ht="15.75" customHeight="1" spans="1:9">
      <c r="A3779" s="49"/>
      <c r="B3779" s="36" t="s">
        <v>5178</v>
      </c>
      <c r="C3779" s="36" t="s">
        <v>5185</v>
      </c>
      <c r="D3779" s="49"/>
      <c r="E3779" s="49"/>
      <c r="F3779" s="49"/>
      <c r="G3779" s="49"/>
      <c r="H3779" s="49"/>
      <c r="I3779" s="49"/>
    </row>
    <row r="3780" ht="15.75" customHeight="1" spans="1:9">
      <c r="A3780" s="49"/>
      <c r="B3780" s="36" t="s">
        <v>5178</v>
      </c>
      <c r="C3780" s="36" t="s">
        <v>5186</v>
      </c>
      <c r="D3780" s="49"/>
      <c r="E3780" s="49"/>
      <c r="F3780" s="49"/>
      <c r="G3780" s="49"/>
      <c r="H3780" s="49"/>
      <c r="I3780" s="49"/>
    </row>
    <row r="3781" ht="15.75" customHeight="1" spans="1:9">
      <c r="A3781" s="49"/>
      <c r="B3781" s="36" t="s">
        <v>5178</v>
      </c>
      <c r="C3781" s="36" t="s">
        <v>5187</v>
      </c>
      <c r="D3781" s="49"/>
      <c r="E3781" s="49"/>
      <c r="F3781" s="49"/>
      <c r="G3781" s="49"/>
      <c r="H3781" s="49"/>
      <c r="I3781" s="49"/>
    </row>
    <row r="3782" ht="15.75" customHeight="1" spans="1:9">
      <c r="A3782" s="49"/>
      <c r="B3782" s="36" t="s">
        <v>5178</v>
      </c>
      <c r="C3782" s="36" t="s">
        <v>5188</v>
      </c>
      <c r="D3782" s="49"/>
      <c r="E3782" s="49"/>
      <c r="F3782" s="49"/>
      <c r="G3782" s="49"/>
      <c r="H3782" s="49"/>
      <c r="I3782" s="49"/>
    </row>
    <row r="3783" ht="15.75" customHeight="1" spans="1:9">
      <c r="A3783" s="49"/>
      <c r="B3783" s="36" t="s">
        <v>5189</v>
      </c>
      <c r="C3783" s="36" t="s">
        <v>5190</v>
      </c>
      <c r="D3783" s="49"/>
      <c r="E3783" s="49"/>
      <c r="F3783" s="49"/>
      <c r="G3783" s="49"/>
      <c r="H3783" s="49"/>
      <c r="I3783" s="49"/>
    </row>
    <row r="3784" ht="15.75" customHeight="1" spans="1:9">
      <c r="A3784" s="49"/>
      <c r="B3784" s="36" t="s">
        <v>5189</v>
      </c>
      <c r="C3784" s="36" t="s">
        <v>5189</v>
      </c>
      <c r="D3784" s="49"/>
      <c r="E3784" s="49"/>
      <c r="F3784" s="49"/>
      <c r="G3784" s="49"/>
      <c r="H3784" s="49"/>
      <c r="I3784" s="49"/>
    </row>
    <row r="3785" ht="15.75" customHeight="1" spans="1:9">
      <c r="A3785" s="49"/>
      <c r="B3785" s="36" t="s">
        <v>5189</v>
      </c>
      <c r="C3785" s="36" t="s">
        <v>53</v>
      </c>
      <c r="D3785" s="49"/>
      <c r="E3785" s="49"/>
      <c r="F3785" s="49"/>
      <c r="G3785" s="49"/>
      <c r="H3785" s="49"/>
      <c r="I3785" s="49"/>
    </row>
    <row r="3786" ht="15.75" customHeight="1" spans="1:9">
      <c r="A3786" s="49"/>
      <c r="B3786" s="36" t="s">
        <v>5189</v>
      </c>
      <c r="C3786" s="36" t="s">
        <v>5191</v>
      </c>
      <c r="D3786" s="49"/>
      <c r="E3786" s="49"/>
      <c r="F3786" s="49"/>
      <c r="G3786" s="49"/>
      <c r="H3786" s="49"/>
      <c r="I3786" s="49"/>
    </row>
    <row r="3787" ht="15.75" customHeight="1" spans="1:9">
      <c r="A3787" s="49"/>
      <c r="B3787" s="36" t="s">
        <v>5189</v>
      </c>
      <c r="C3787" s="36" t="s">
        <v>3480</v>
      </c>
      <c r="D3787" s="49"/>
      <c r="E3787" s="49"/>
      <c r="F3787" s="49"/>
      <c r="G3787" s="49"/>
      <c r="H3787" s="49"/>
      <c r="I3787" s="49"/>
    </row>
    <row r="3788" ht="15.75" customHeight="1" spans="1:9">
      <c r="A3788" s="49"/>
      <c r="B3788" s="36" t="s">
        <v>5189</v>
      </c>
      <c r="C3788" s="36" t="s">
        <v>5192</v>
      </c>
      <c r="D3788" s="49"/>
      <c r="E3788" s="49"/>
      <c r="F3788" s="49"/>
      <c r="G3788" s="49"/>
      <c r="H3788" s="49"/>
      <c r="I3788" s="49"/>
    </row>
    <row r="3789" ht="15.75" customHeight="1" spans="1:9">
      <c r="A3789" s="49"/>
      <c r="B3789" s="36" t="s">
        <v>5189</v>
      </c>
      <c r="C3789" s="36" t="s">
        <v>5193</v>
      </c>
      <c r="D3789" s="49"/>
      <c r="E3789" s="49"/>
      <c r="F3789" s="49"/>
      <c r="G3789" s="49"/>
      <c r="H3789" s="49"/>
      <c r="I3789" s="49"/>
    </row>
    <row r="3790" ht="15.75" customHeight="1" spans="1:9">
      <c r="A3790" s="49"/>
      <c r="B3790" s="36" t="s">
        <v>5189</v>
      </c>
      <c r="C3790" s="36" t="s">
        <v>5194</v>
      </c>
      <c r="D3790" s="49"/>
      <c r="E3790" s="49"/>
      <c r="F3790" s="49"/>
      <c r="G3790" s="49"/>
      <c r="H3790" s="49"/>
      <c r="I3790" s="49"/>
    </row>
    <row r="3791" ht="15.75" customHeight="1" spans="1:9">
      <c r="A3791" s="49"/>
      <c r="B3791" s="36" t="s">
        <v>5189</v>
      </c>
      <c r="C3791" s="36" t="s">
        <v>5195</v>
      </c>
      <c r="D3791" s="49"/>
      <c r="E3791" s="49"/>
      <c r="F3791" s="49"/>
      <c r="G3791" s="49"/>
      <c r="H3791" s="49"/>
      <c r="I3791" s="49"/>
    </row>
    <row r="3792" ht="15.75" customHeight="1" spans="1:9">
      <c r="A3792" s="49"/>
      <c r="B3792" s="36" t="s">
        <v>5189</v>
      </c>
      <c r="C3792" s="36" t="s">
        <v>5196</v>
      </c>
      <c r="D3792" s="49"/>
      <c r="E3792" s="49"/>
      <c r="F3792" s="49"/>
      <c r="G3792" s="49"/>
      <c r="H3792" s="49"/>
      <c r="I3792" s="49"/>
    </row>
    <row r="3793" ht="15.75" customHeight="1" spans="1:9">
      <c r="A3793" s="49"/>
      <c r="B3793" s="36" t="s">
        <v>5189</v>
      </c>
      <c r="C3793" s="36" t="s">
        <v>5197</v>
      </c>
      <c r="D3793" s="49"/>
      <c r="E3793" s="49"/>
      <c r="F3793" s="49"/>
      <c r="G3793" s="49"/>
      <c r="H3793" s="49"/>
      <c r="I3793" s="49"/>
    </row>
    <row r="3794" ht="15.75" customHeight="1" spans="1:9">
      <c r="A3794" s="49"/>
      <c r="B3794" s="36" t="s">
        <v>5189</v>
      </c>
      <c r="C3794" s="36" t="s">
        <v>5198</v>
      </c>
      <c r="D3794" s="49"/>
      <c r="E3794" s="49"/>
      <c r="F3794" s="49"/>
      <c r="G3794" s="49"/>
      <c r="H3794" s="49"/>
      <c r="I3794" s="49"/>
    </row>
    <row r="3795" ht="15.75" customHeight="1" spans="1:9">
      <c r="A3795" s="49"/>
      <c r="B3795" s="36" t="s">
        <v>5189</v>
      </c>
      <c r="C3795" s="36" t="s">
        <v>5199</v>
      </c>
      <c r="D3795" s="49"/>
      <c r="E3795" s="49"/>
      <c r="F3795" s="49"/>
      <c r="G3795" s="49"/>
      <c r="H3795" s="49"/>
      <c r="I3795" s="49"/>
    </row>
    <row r="3796" ht="15.75" customHeight="1" spans="1:9">
      <c r="A3796" s="49"/>
      <c r="B3796" s="36" t="s">
        <v>5189</v>
      </c>
      <c r="C3796" s="36" t="s">
        <v>5200</v>
      </c>
      <c r="D3796" s="49"/>
      <c r="E3796" s="49"/>
      <c r="F3796" s="49"/>
      <c r="G3796" s="49"/>
      <c r="H3796" s="49"/>
      <c r="I3796" s="49"/>
    </row>
    <row r="3797" ht="15.75" customHeight="1" spans="1:9">
      <c r="A3797" s="49"/>
      <c r="B3797" s="36" t="s">
        <v>5189</v>
      </c>
      <c r="C3797" s="36" t="s">
        <v>5201</v>
      </c>
      <c r="D3797" s="49"/>
      <c r="E3797" s="49"/>
      <c r="F3797" s="49"/>
      <c r="G3797" s="49"/>
      <c r="H3797" s="49"/>
      <c r="I3797" s="49"/>
    </row>
    <row r="3798" ht="15.75" customHeight="1" spans="1:9">
      <c r="A3798" s="49"/>
      <c r="B3798" s="36" t="s">
        <v>5189</v>
      </c>
      <c r="C3798" s="36" t="s">
        <v>5202</v>
      </c>
      <c r="D3798" s="49"/>
      <c r="E3798" s="49"/>
      <c r="F3798" s="49"/>
      <c r="G3798" s="49"/>
      <c r="H3798" s="49"/>
      <c r="I3798" s="49"/>
    </row>
    <row r="3799" ht="15.75" customHeight="1" spans="1:9">
      <c r="A3799" s="49"/>
      <c r="B3799" s="36" t="s">
        <v>5189</v>
      </c>
      <c r="C3799" s="36" t="s">
        <v>5203</v>
      </c>
      <c r="D3799" s="49"/>
      <c r="E3799" s="49"/>
      <c r="F3799" s="49"/>
      <c r="G3799" s="49"/>
      <c r="H3799" s="49"/>
      <c r="I3799" s="49"/>
    </row>
    <row r="3800" ht="15.75" customHeight="1" spans="1:9">
      <c r="A3800" s="49"/>
      <c r="B3800" s="36" t="s">
        <v>5189</v>
      </c>
      <c r="C3800" s="36" t="s">
        <v>5204</v>
      </c>
      <c r="D3800" s="49"/>
      <c r="E3800" s="49"/>
      <c r="F3800" s="49"/>
      <c r="G3800" s="49"/>
      <c r="H3800" s="49"/>
      <c r="I3800" s="49"/>
    </row>
    <row r="3801" ht="15.75" customHeight="1" spans="1:9">
      <c r="A3801" s="49"/>
      <c r="B3801" s="36" t="s">
        <v>5189</v>
      </c>
      <c r="C3801" s="36" t="s">
        <v>5205</v>
      </c>
      <c r="D3801" s="49"/>
      <c r="E3801" s="49"/>
      <c r="F3801" s="49"/>
      <c r="G3801" s="49"/>
      <c r="H3801" s="49"/>
      <c r="I3801" s="49"/>
    </row>
    <row r="3802" ht="15.75" customHeight="1" spans="1:9">
      <c r="A3802" s="49"/>
      <c r="B3802" s="36" t="s">
        <v>5189</v>
      </c>
      <c r="C3802" s="36" t="s">
        <v>5206</v>
      </c>
      <c r="D3802" s="49"/>
      <c r="E3802" s="49"/>
      <c r="F3802" s="49"/>
      <c r="G3802" s="49"/>
      <c r="H3802" s="49"/>
      <c r="I3802" s="49"/>
    </row>
    <row r="3803" ht="15.75" customHeight="1" spans="1:9">
      <c r="A3803" s="49"/>
      <c r="B3803" s="36" t="s">
        <v>5189</v>
      </c>
      <c r="C3803" s="36" t="s">
        <v>5207</v>
      </c>
      <c r="D3803" s="49"/>
      <c r="E3803" s="49"/>
      <c r="F3803" s="49"/>
      <c r="G3803" s="49"/>
      <c r="H3803" s="49"/>
      <c r="I3803" s="49"/>
    </row>
    <row r="3804" ht="15.75" customHeight="1" spans="1:9">
      <c r="A3804" s="49"/>
      <c r="B3804" s="36" t="s">
        <v>5189</v>
      </c>
      <c r="C3804" s="36" t="s">
        <v>5208</v>
      </c>
      <c r="D3804" s="49"/>
      <c r="E3804" s="49"/>
      <c r="F3804" s="49"/>
      <c r="G3804" s="49"/>
      <c r="H3804" s="49"/>
      <c r="I3804" s="49"/>
    </row>
    <row r="3805" ht="15.75" customHeight="1" spans="1:9">
      <c r="A3805" s="49"/>
      <c r="B3805" s="36" t="s">
        <v>5189</v>
      </c>
      <c r="C3805" s="36" t="s">
        <v>5209</v>
      </c>
      <c r="D3805" s="49"/>
      <c r="E3805" s="49"/>
      <c r="F3805" s="49"/>
      <c r="G3805" s="49"/>
      <c r="H3805" s="49"/>
      <c r="I3805" s="49"/>
    </row>
    <row r="3806" ht="15.75" customHeight="1" spans="1:9">
      <c r="A3806" s="49"/>
      <c r="B3806" s="36" t="s">
        <v>5189</v>
      </c>
      <c r="C3806" s="36" t="s">
        <v>5210</v>
      </c>
      <c r="D3806" s="49"/>
      <c r="E3806" s="49"/>
      <c r="F3806" s="49"/>
      <c r="G3806" s="49"/>
      <c r="H3806" s="49"/>
      <c r="I3806" s="49"/>
    </row>
    <row r="3807" ht="15.75" customHeight="1" spans="1:9">
      <c r="A3807" s="49"/>
      <c r="B3807" s="36" t="s">
        <v>5189</v>
      </c>
      <c r="C3807" s="36" t="s">
        <v>5211</v>
      </c>
      <c r="D3807" s="49"/>
      <c r="E3807" s="49"/>
      <c r="F3807" s="49"/>
      <c r="G3807" s="49"/>
      <c r="H3807" s="49"/>
      <c r="I3807" s="49"/>
    </row>
    <row r="3808" ht="15.75" customHeight="1" spans="1:9">
      <c r="A3808" s="49"/>
      <c r="B3808" s="36" t="s">
        <v>5189</v>
      </c>
      <c r="C3808" s="36" t="s">
        <v>5212</v>
      </c>
      <c r="D3808" s="49"/>
      <c r="E3808" s="49"/>
      <c r="F3808" s="49"/>
      <c r="G3808" s="49"/>
      <c r="H3808" s="49"/>
      <c r="I3808" s="49"/>
    </row>
    <row r="3809" ht="15.75" customHeight="1" spans="1:9">
      <c r="A3809" s="49"/>
      <c r="B3809" s="36" t="s">
        <v>5189</v>
      </c>
      <c r="C3809" s="36" t="s">
        <v>5213</v>
      </c>
      <c r="D3809" s="49"/>
      <c r="E3809" s="49"/>
      <c r="F3809" s="49"/>
      <c r="G3809" s="49"/>
      <c r="H3809" s="49"/>
      <c r="I3809" s="49"/>
    </row>
    <row r="3810" ht="15.75" customHeight="1" spans="1:9">
      <c r="A3810" s="49"/>
      <c r="B3810" s="36" t="s">
        <v>5189</v>
      </c>
      <c r="C3810" s="36" t="s">
        <v>5214</v>
      </c>
      <c r="D3810" s="49"/>
      <c r="E3810" s="49"/>
      <c r="F3810" s="49"/>
      <c r="G3810" s="49"/>
      <c r="H3810" s="49"/>
      <c r="I3810" s="49"/>
    </row>
    <row r="3811" ht="15.75" customHeight="1" spans="1:9">
      <c r="A3811" s="49"/>
      <c r="B3811" s="36" t="s">
        <v>5189</v>
      </c>
      <c r="C3811" s="36" t="s">
        <v>5215</v>
      </c>
      <c r="D3811" s="49"/>
      <c r="E3811" s="49"/>
      <c r="F3811" s="49"/>
      <c r="G3811" s="49"/>
      <c r="H3811" s="49"/>
      <c r="I3811" s="49"/>
    </row>
    <row r="3812" ht="15.75" customHeight="1" spans="1:9">
      <c r="A3812" s="49"/>
      <c r="B3812" s="36" t="s">
        <v>5189</v>
      </c>
      <c r="C3812" s="36" t="s">
        <v>5216</v>
      </c>
      <c r="D3812" s="49"/>
      <c r="E3812" s="49"/>
      <c r="F3812" s="49"/>
      <c r="G3812" s="49"/>
      <c r="H3812" s="49"/>
      <c r="I3812" s="49"/>
    </row>
    <row r="3813" ht="15.75" customHeight="1" spans="1:9">
      <c r="A3813" s="49"/>
      <c r="B3813" s="36" t="s">
        <v>5189</v>
      </c>
      <c r="C3813" s="36" t="s">
        <v>5217</v>
      </c>
      <c r="D3813" s="49"/>
      <c r="E3813" s="49"/>
      <c r="F3813" s="49"/>
      <c r="G3813" s="49"/>
      <c r="H3813" s="49"/>
      <c r="I3813" s="49"/>
    </row>
    <row r="3814" ht="15.75" customHeight="1" spans="1:9">
      <c r="A3814" s="49"/>
      <c r="B3814" s="36" t="s">
        <v>5189</v>
      </c>
      <c r="C3814" s="36" t="s">
        <v>5218</v>
      </c>
      <c r="D3814" s="49"/>
      <c r="E3814" s="49"/>
      <c r="F3814" s="49"/>
      <c r="G3814" s="49"/>
      <c r="H3814" s="49"/>
      <c r="I3814" s="49"/>
    </row>
    <row r="3815" ht="15.75" customHeight="1" spans="1:9">
      <c r="A3815" s="49"/>
      <c r="B3815" s="36" t="s">
        <v>5189</v>
      </c>
      <c r="C3815" s="36" t="s">
        <v>5219</v>
      </c>
      <c r="D3815" s="49"/>
      <c r="E3815" s="49"/>
      <c r="F3815" s="49"/>
      <c r="G3815" s="49"/>
      <c r="H3815" s="49"/>
      <c r="I3815" s="49"/>
    </row>
    <row r="3816" ht="15.75" customHeight="1" spans="1:9">
      <c r="A3816" s="49"/>
      <c r="B3816" s="36" t="s">
        <v>5189</v>
      </c>
      <c r="C3816" s="36" t="s">
        <v>5220</v>
      </c>
      <c r="D3816" s="49"/>
      <c r="E3816" s="49"/>
      <c r="F3816" s="49"/>
      <c r="G3816" s="49"/>
      <c r="H3816" s="49"/>
      <c r="I3816" s="49"/>
    </row>
    <row r="3817" ht="15.75" customHeight="1" spans="1:9">
      <c r="A3817" s="49"/>
      <c r="B3817" s="36" t="s">
        <v>5189</v>
      </c>
      <c r="C3817" s="36" t="s">
        <v>5221</v>
      </c>
      <c r="D3817" s="49"/>
      <c r="E3817" s="49"/>
      <c r="F3817" s="49"/>
      <c r="G3817" s="49"/>
      <c r="H3817" s="49"/>
      <c r="I3817" s="49"/>
    </row>
    <row r="3818" ht="15.75" customHeight="1" spans="1:9">
      <c r="A3818" s="49"/>
      <c r="B3818" s="36" t="s">
        <v>5189</v>
      </c>
      <c r="C3818" s="36" t="s">
        <v>5222</v>
      </c>
      <c r="D3818" s="49"/>
      <c r="E3818" s="49"/>
      <c r="F3818" s="49"/>
      <c r="G3818" s="49"/>
      <c r="H3818" s="49"/>
      <c r="I3818" s="49"/>
    </row>
    <row r="3819" ht="15.75" customHeight="1" spans="1:9">
      <c r="A3819" s="49"/>
      <c r="B3819" s="36" t="s">
        <v>5189</v>
      </c>
      <c r="C3819" s="36" t="s">
        <v>5223</v>
      </c>
      <c r="D3819" s="49"/>
      <c r="E3819" s="49"/>
      <c r="F3819" s="49"/>
      <c r="G3819" s="49"/>
      <c r="H3819" s="49"/>
      <c r="I3819" s="49"/>
    </row>
    <row r="3820" ht="15.75" customHeight="1" spans="1:9">
      <c r="A3820" s="49"/>
      <c r="B3820" s="36" t="s">
        <v>5189</v>
      </c>
      <c r="C3820" s="36" t="s">
        <v>5224</v>
      </c>
      <c r="D3820" s="49"/>
      <c r="E3820" s="49"/>
      <c r="F3820" s="49"/>
      <c r="G3820" s="49"/>
      <c r="H3820" s="49"/>
      <c r="I3820" s="49"/>
    </row>
    <row r="3821" ht="15.75" customHeight="1" spans="1:9">
      <c r="A3821" s="49"/>
      <c r="B3821" s="36" t="s">
        <v>5189</v>
      </c>
      <c r="C3821" s="36" t="s">
        <v>5225</v>
      </c>
      <c r="D3821" s="49"/>
      <c r="E3821" s="49"/>
      <c r="F3821" s="49"/>
      <c r="G3821" s="49"/>
      <c r="H3821" s="49"/>
      <c r="I3821" s="49"/>
    </row>
    <row r="3822" ht="15.75" customHeight="1" spans="1:9">
      <c r="A3822" s="49"/>
      <c r="B3822" s="36" t="s">
        <v>5189</v>
      </c>
      <c r="C3822" s="36" t="s">
        <v>5226</v>
      </c>
      <c r="D3822" s="49"/>
      <c r="E3822" s="49"/>
      <c r="F3822" s="49"/>
      <c r="G3822" s="49"/>
      <c r="H3822" s="49"/>
      <c r="I3822" s="49"/>
    </row>
    <row r="3823" ht="15.75" customHeight="1" spans="1:9">
      <c r="A3823" s="49"/>
      <c r="B3823" s="36" t="s">
        <v>5189</v>
      </c>
      <c r="C3823" s="36" t="s">
        <v>5227</v>
      </c>
      <c r="D3823" s="49"/>
      <c r="E3823" s="49"/>
      <c r="F3823" s="49"/>
      <c r="G3823" s="49"/>
      <c r="H3823" s="49"/>
      <c r="I3823" s="49"/>
    </row>
    <row r="3824" ht="15.75" customHeight="1" spans="1:9">
      <c r="A3824" s="49"/>
      <c r="B3824" s="36" t="s">
        <v>5189</v>
      </c>
      <c r="C3824" s="36" t="s">
        <v>5228</v>
      </c>
      <c r="D3824" s="49"/>
      <c r="E3824" s="49"/>
      <c r="F3824" s="49"/>
      <c r="G3824" s="49"/>
      <c r="H3824" s="49"/>
      <c r="I3824" s="49"/>
    </row>
    <row r="3825" ht="15.75" customHeight="1" spans="1:9">
      <c r="A3825" s="49"/>
      <c r="B3825" s="36" t="s">
        <v>5189</v>
      </c>
      <c r="C3825" s="36" t="s">
        <v>5229</v>
      </c>
      <c r="D3825" s="49"/>
      <c r="E3825" s="49"/>
      <c r="F3825" s="49"/>
      <c r="G3825" s="49"/>
      <c r="H3825" s="49"/>
      <c r="I3825" s="49"/>
    </row>
    <row r="3826" ht="15.75" customHeight="1" spans="1:9">
      <c r="A3826" s="49"/>
      <c r="B3826" s="36" t="s">
        <v>5189</v>
      </c>
      <c r="C3826" s="36" t="s">
        <v>5230</v>
      </c>
      <c r="D3826" s="49"/>
      <c r="E3826" s="49"/>
      <c r="F3826" s="49"/>
      <c r="G3826" s="49"/>
      <c r="H3826" s="49"/>
      <c r="I3826" s="49"/>
    </row>
    <row r="3827" ht="15.75" customHeight="1" spans="1:9">
      <c r="A3827" s="49"/>
      <c r="B3827" s="36" t="s">
        <v>5189</v>
      </c>
      <c r="C3827" s="36" t="s">
        <v>5231</v>
      </c>
      <c r="D3827" s="49"/>
      <c r="E3827" s="49"/>
      <c r="F3827" s="49"/>
      <c r="G3827" s="49"/>
      <c r="H3827" s="49"/>
      <c r="I3827" s="49"/>
    </row>
    <row r="3828" ht="15.75" customHeight="1" spans="1:9">
      <c r="A3828" s="49"/>
      <c r="B3828" s="36" t="s">
        <v>5189</v>
      </c>
      <c r="C3828" s="36" t="s">
        <v>5232</v>
      </c>
      <c r="D3828" s="49"/>
      <c r="E3828" s="49"/>
      <c r="F3828" s="49"/>
      <c r="G3828" s="49"/>
      <c r="H3828" s="49"/>
      <c r="I3828" s="49"/>
    </row>
    <row r="3829" ht="15.75" customHeight="1" spans="1:9">
      <c r="A3829" s="49"/>
      <c r="B3829" s="36" t="s">
        <v>5189</v>
      </c>
      <c r="C3829" s="36" t="s">
        <v>5233</v>
      </c>
      <c r="D3829" s="49"/>
      <c r="E3829" s="49"/>
      <c r="F3829" s="49"/>
      <c r="G3829" s="49"/>
      <c r="H3829" s="49"/>
      <c r="I3829" s="49"/>
    </row>
    <row r="3830" ht="15.75" customHeight="1" spans="1:9">
      <c r="A3830" s="49"/>
      <c r="B3830" s="36" t="s">
        <v>5189</v>
      </c>
      <c r="C3830" s="36" t="s">
        <v>5234</v>
      </c>
      <c r="D3830" s="49"/>
      <c r="E3830" s="49"/>
      <c r="F3830" s="49"/>
      <c r="G3830" s="49"/>
      <c r="H3830" s="49"/>
      <c r="I3830" s="49"/>
    </row>
    <row r="3831" ht="15.75" customHeight="1" spans="1:9">
      <c r="A3831" s="49"/>
      <c r="B3831" s="36" t="s">
        <v>5189</v>
      </c>
      <c r="C3831" s="36" t="s">
        <v>5235</v>
      </c>
      <c r="D3831" s="49"/>
      <c r="E3831" s="49"/>
      <c r="F3831" s="49"/>
      <c r="G3831" s="49"/>
      <c r="H3831" s="49"/>
      <c r="I3831" s="49"/>
    </row>
    <row r="3832" ht="15.75" customHeight="1" spans="1:9">
      <c r="A3832" s="49"/>
      <c r="B3832" s="36" t="s">
        <v>5189</v>
      </c>
      <c r="C3832" s="36" t="s">
        <v>5236</v>
      </c>
      <c r="D3832" s="49"/>
      <c r="E3832" s="49"/>
      <c r="F3832" s="49"/>
      <c r="G3832" s="49"/>
      <c r="H3832" s="49"/>
      <c r="I3832" s="49"/>
    </row>
    <row r="3833" ht="15.75" customHeight="1" spans="1:9">
      <c r="A3833" s="49"/>
      <c r="B3833" s="36" t="s">
        <v>5189</v>
      </c>
      <c r="C3833" s="36" t="s">
        <v>5237</v>
      </c>
      <c r="D3833" s="49"/>
      <c r="E3833" s="49"/>
      <c r="F3833" s="49"/>
      <c r="G3833" s="49"/>
      <c r="H3833" s="49"/>
      <c r="I3833" s="49"/>
    </row>
    <row r="3834" ht="15.75" customHeight="1" spans="1:9">
      <c r="A3834" s="49"/>
      <c r="B3834" s="36" t="s">
        <v>5189</v>
      </c>
      <c r="C3834" s="36" t="s">
        <v>5238</v>
      </c>
      <c r="D3834" s="49"/>
      <c r="E3834" s="49"/>
      <c r="F3834" s="49"/>
      <c r="G3834" s="49"/>
      <c r="H3834" s="49"/>
      <c r="I3834" s="49"/>
    </row>
    <row r="3835" ht="15.75" customHeight="1" spans="1:9">
      <c r="A3835" s="49"/>
      <c r="B3835" s="36" t="s">
        <v>5189</v>
      </c>
      <c r="C3835" s="36" t="s">
        <v>5239</v>
      </c>
      <c r="D3835" s="49"/>
      <c r="E3835" s="49"/>
      <c r="F3835" s="49"/>
      <c r="G3835" s="49"/>
      <c r="H3835" s="49"/>
      <c r="I3835" s="49"/>
    </row>
    <row r="3836" ht="15.75" customHeight="1" spans="1:9">
      <c r="A3836" s="49"/>
      <c r="B3836" s="36" t="s">
        <v>5189</v>
      </c>
      <c r="C3836" s="36" t="s">
        <v>5240</v>
      </c>
      <c r="D3836" s="49"/>
      <c r="E3836" s="49"/>
      <c r="F3836" s="49"/>
      <c r="G3836" s="49"/>
      <c r="H3836" s="49"/>
      <c r="I3836" s="49"/>
    </row>
    <row r="3837" ht="15.75" customHeight="1" spans="1:9">
      <c r="A3837" s="49"/>
      <c r="B3837" s="36" t="s">
        <v>5189</v>
      </c>
      <c r="C3837" s="36" t="s">
        <v>5241</v>
      </c>
      <c r="D3837" s="49"/>
      <c r="E3837" s="49"/>
      <c r="F3837" s="49"/>
      <c r="G3837" s="49"/>
      <c r="H3837" s="49"/>
      <c r="I3837" s="49"/>
    </row>
    <row r="3838" ht="15.75" customHeight="1" spans="1:9">
      <c r="A3838" s="49"/>
      <c r="B3838" s="36" t="s">
        <v>5189</v>
      </c>
      <c r="C3838" s="36" t="s">
        <v>5242</v>
      </c>
      <c r="D3838" s="49"/>
      <c r="E3838" s="49"/>
      <c r="F3838" s="49"/>
      <c r="G3838" s="49"/>
      <c r="H3838" s="49"/>
      <c r="I3838" s="49"/>
    </row>
    <row r="3839" ht="15.75" customHeight="1" spans="1:9">
      <c r="A3839" s="49"/>
      <c r="B3839" s="36" t="s">
        <v>5189</v>
      </c>
      <c r="C3839" s="36" t="s">
        <v>5243</v>
      </c>
      <c r="D3839" s="49"/>
      <c r="E3839" s="49"/>
      <c r="F3839" s="49"/>
      <c r="G3839" s="49"/>
      <c r="H3839" s="49"/>
      <c r="I3839" s="49"/>
    </row>
    <row r="3840" ht="15.75" customHeight="1" spans="1:9">
      <c r="A3840" s="49"/>
      <c r="B3840" s="36" t="s">
        <v>5189</v>
      </c>
      <c r="C3840" s="36" t="s">
        <v>5244</v>
      </c>
      <c r="D3840" s="49"/>
      <c r="E3840" s="49"/>
      <c r="F3840" s="49"/>
      <c r="G3840" s="49"/>
      <c r="H3840" s="49"/>
      <c r="I3840" s="49"/>
    </row>
    <row r="3841" ht="15.75" customHeight="1" spans="1:9">
      <c r="A3841" s="49"/>
      <c r="B3841" s="36" t="s">
        <v>5189</v>
      </c>
      <c r="C3841" s="36" t="s">
        <v>5245</v>
      </c>
      <c r="D3841" s="49"/>
      <c r="E3841" s="49"/>
      <c r="F3841" s="49"/>
      <c r="G3841" s="49"/>
      <c r="H3841" s="49"/>
      <c r="I3841" s="49"/>
    </row>
    <row r="3842" ht="15.75" customHeight="1" spans="1:9">
      <c r="A3842" s="49"/>
      <c r="B3842" s="36" t="s">
        <v>5189</v>
      </c>
      <c r="C3842" s="36" t="s">
        <v>5246</v>
      </c>
      <c r="D3842" s="49"/>
      <c r="E3842" s="49"/>
      <c r="F3842" s="49"/>
      <c r="G3842" s="49"/>
      <c r="H3842" s="49"/>
      <c r="I3842" s="49"/>
    </row>
    <row r="3843" ht="15.75" customHeight="1" spans="1:9">
      <c r="A3843" s="49"/>
      <c r="B3843" s="36" t="s">
        <v>5189</v>
      </c>
      <c r="C3843" s="36" t="s">
        <v>5247</v>
      </c>
      <c r="D3843" s="49"/>
      <c r="E3843" s="49"/>
      <c r="F3843" s="49"/>
      <c r="G3843" s="49"/>
      <c r="H3843" s="49"/>
      <c r="I3843" s="49"/>
    </row>
    <row r="3844" ht="15.75" customHeight="1" spans="1:9">
      <c r="A3844" s="49"/>
      <c r="B3844" s="36" t="s">
        <v>5189</v>
      </c>
      <c r="C3844" s="36" t="s">
        <v>5248</v>
      </c>
      <c r="D3844" s="49"/>
      <c r="E3844" s="49"/>
      <c r="F3844" s="49"/>
      <c r="G3844" s="49"/>
      <c r="H3844" s="49"/>
      <c r="I3844" s="49"/>
    </row>
    <row r="3845" ht="15.75" customHeight="1" spans="1:9">
      <c r="A3845" s="49"/>
      <c r="B3845" s="36" t="s">
        <v>5189</v>
      </c>
      <c r="C3845" s="36" t="s">
        <v>5249</v>
      </c>
      <c r="D3845" s="49"/>
      <c r="E3845" s="49"/>
      <c r="F3845" s="49"/>
      <c r="G3845" s="49"/>
      <c r="H3845" s="49"/>
      <c r="I3845" s="49"/>
    </row>
    <row r="3846" ht="15.75" customHeight="1" spans="1:9">
      <c r="A3846" s="49"/>
      <c r="B3846" s="36" t="s">
        <v>5189</v>
      </c>
      <c r="C3846" s="36" t="s">
        <v>5250</v>
      </c>
      <c r="D3846" s="49"/>
      <c r="E3846" s="49"/>
      <c r="F3846" s="49"/>
      <c r="G3846" s="49"/>
      <c r="H3846" s="49"/>
      <c r="I3846" s="49"/>
    </row>
    <row r="3847" ht="15.75" customHeight="1" spans="1:9">
      <c r="A3847" s="49"/>
      <c r="B3847" s="36" t="s">
        <v>5189</v>
      </c>
      <c r="C3847" s="36" t="s">
        <v>5251</v>
      </c>
      <c r="D3847" s="49"/>
      <c r="E3847" s="49"/>
      <c r="F3847" s="49"/>
      <c r="G3847" s="49"/>
      <c r="H3847" s="49"/>
      <c r="I3847" s="49"/>
    </row>
    <row r="3848" ht="15.75" customHeight="1" spans="1:9">
      <c r="A3848" s="49"/>
      <c r="B3848" s="36" t="s">
        <v>5189</v>
      </c>
      <c r="C3848" s="36" t="s">
        <v>5252</v>
      </c>
      <c r="D3848" s="49"/>
      <c r="E3848" s="49"/>
      <c r="F3848" s="49"/>
      <c r="G3848" s="49"/>
      <c r="H3848" s="49"/>
      <c r="I3848" s="49"/>
    </row>
    <row r="3849" ht="15.75" customHeight="1" spans="1:9">
      <c r="A3849" s="49"/>
      <c r="B3849" s="36" t="s">
        <v>5189</v>
      </c>
      <c r="C3849" s="36" t="s">
        <v>5253</v>
      </c>
      <c r="D3849" s="49"/>
      <c r="E3849" s="49"/>
      <c r="F3849" s="49"/>
      <c r="G3849" s="49"/>
      <c r="H3849" s="49"/>
      <c r="I3849" s="49"/>
    </row>
    <row r="3850" ht="15.75" customHeight="1" spans="1:9">
      <c r="A3850" s="49"/>
      <c r="B3850" s="36" t="s">
        <v>5189</v>
      </c>
      <c r="C3850" s="36" t="s">
        <v>5254</v>
      </c>
      <c r="D3850" s="49"/>
      <c r="E3850" s="49"/>
      <c r="F3850" s="49"/>
      <c r="G3850" s="49"/>
      <c r="H3850" s="49"/>
      <c r="I3850" s="49"/>
    </row>
    <row r="3851" ht="15.75" customHeight="1" spans="1:9">
      <c r="A3851" s="49"/>
      <c r="B3851" s="36" t="s">
        <v>5189</v>
      </c>
      <c r="C3851" s="36" t="s">
        <v>5255</v>
      </c>
      <c r="D3851" s="49"/>
      <c r="E3851" s="49"/>
      <c r="F3851" s="49"/>
      <c r="G3851" s="49"/>
      <c r="H3851" s="49"/>
      <c r="I3851" s="49"/>
    </row>
    <row r="3852" ht="15.75" customHeight="1" spans="1:9">
      <c r="A3852" s="49"/>
      <c r="B3852" s="36" t="s">
        <v>5189</v>
      </c>
      <c r="C3852" s="36" t="s">
        <v>5256</v>
      </c>
      <c r="D3852" s="49"/>
      <c r="E3852" s="49"/>
      <c r="F3852" s="49"/>
      <c r="G3852" s="49"/>
      <c r="H3852" s="49"/>
      <c r="I3852" s="49"/>
    </row>
    <row r="3853" ht="15.75" customHeight="1" spans="1:9">
      <c r="A3853" s="49"/>
      <c r="B3853" s="36" t="s">
        <v>5189</v>
      </c>
      <c r="C3853" s="36" t="s">
        <v>5257</v>
      </c>
      <c r="D3853" s="49"/>
      <c r="E3853" s="49"/>
      <c r="F3853" s="49"/>
      <c r="G3853" s="49"/>
      <c r="H3853" s="49"/>
      <c r="I3853" s="49"/>
    </row>
    <row r="3854" ht="15.75" customHeight="1" spans="1:9">
      <c r="A3854" s="49"/>
      <c r="B3854" s="36" t="s">
        <v>5258</v>
      </c>
      <c r="C3854" s="36" t="s">
        <v>5258</v>
      </c>
      <c r="D3854" s="49"/>
      <c r="E3854" s="49"/>
      <c r="F3854" s="49"/>
      <c r="G3854" s="49"/>
      <c r="H3854" s="49"/>
      <c r="I3854" s="49"/>
    </row>
    <row r="3855" ht="15.75" customHeight="1" spans="1:9">
      <c r="A3855" s="49"/>
      <c r="B3855" s="36" t="s">
        <v>5258</v>
      </c>
      <c r="C3855" s="36" t="s">
        <v>5259</v>
      </c>
      <c r="D3855" s="49"/>
      <c r="E3855" s="49"/>
      <c r="F3855" s="49"/>
      <c r="G3855" s="49"/>
      <c r="H3855" s="49"/>
      <c r="I3855" s="49"/>
    </row>
    <row r="3856" ht="15.75" customHeight="1" spans="1:9">
      <c r="A3856" s="49"/>
      <c r="B3856" s="36" t="s">
        <v>5258</v>
      </c>
      <c r="C3856" s="36" t="s">
        <v>5260</v>
      </c>
      <c r="D3856" s="49"/>
      <c r="E3856" s="49"/>
      <c r="F3856" s="49"/>
      <c r="G3856" s="49"/>
      <c r="H3856" s="49"/>
      <c r="I3856" s="49"/>
    </row>
    <row r="3857" ht="15.75" customHeight="1" spans="1:9">
      <c r="A3857" s="49"/>
      <c r="B3857" s="36" t="s">
        <v>5261</v>
      </c>
      <c r="C3857" s="36" t="s">
        <v>5261</v>
      </c>
      <c r="D3857" s="49"/>
      <c r="E3857" s="49"/>
      <c r="F3857" s="49"/>
      <c r="G3857" s="49"/>
      <c r="H3857" s="49"/>
      <c r="I3857" s="49"/>
    </row>
    <row r="3858" ht="15.75" customHeight="1" spans="1:9">
      <c r="A3858" s="49"/>
      <c r="B3858" s="36" t="s">
        <v>5261</v>
      </c>
      <c r="C3858" s="36" t="s">
        <v>5262</v>
      </c>
      <c r="D3858" s="49"/>
      <c r="E3858" s="49"/>
      <c r="F3858" s="49"/>
      <c r="G3858" s="49"/>
      <c r="H3858" s="49"/>
      <c r="I3858" s="49"/>
    </row>
    <row r="3859" ht="15.75" customHeight="1" spans="1:9">
      <c r="A3859" s="49"/>
      <c r="B3859" s="36" t="s">
        <v>5261</v>
      </c>
      <c r="C3859" s="36" t="s">
        <v>5263</v>
      </c>
      <c r="D3859" s="49"/>
      <c r="E3859" s="49"/>
      <c r="F3859" s="49"/>
      <c r="G3859" s="49"/>
      <c r="H3859" s="49"/>
      <c r="I3859" s="49"/>
    </row>
    <row r="3860" ht="15.75" customHeight="1" spans="1:9">
      <c r="A3860" s="49"/>
      <c r="B3860" s="36" t="s">
        <v>5264</v>
      </c>
      <c r="C3860" s="36" t="s">
        <v>57</v>
      </c>
      <c r="D3860" s="49"/>
      <c r="E3860" s="49"/>
      <c r="F3860" s="49"/>
      <c r="G3860" s="49"/>
      <c r="H3860" s="49"/>
      <c r="I3860" s="49"/>
    </row>
    <row r="3861" ht="15.75" customHeight="1" spans="1:9">
      <c r="A3861" s="49"/>
      <c r="B3861" s="36" t="s">
        <v>5264</v>
      </c>
      <c r="C3861" s="36" t="s">
        <v>5264</v>
      </c>
      <c r="D3861" s="49"/>
      <c r="E3861" s="49"/>
      <c r="F3861" s="49"/>
      <c r="G3861" s="49"/>
      <c r="H3861" s="49"/>
      <c r="I3861" s="49"/>
    </row>
    <row r="3862" ht="15.75" customHeight="1" spans="1:9">
      <c r="A3862" s="49"/>
      <c r="B3862" s="36" t="s">
        <v>63</v>
      </c>
      <c r="C3862" s="36" t="s">
        <v>5265</v>
      </c>
      <c r="D3862" s="49"/>
      <c r="E3862" s="49"/>
      <c r="F3862" s="49"/>
      <c r="G3862" s="49"/>
      <c r="H3862" s="49"/>
      <c r="I3862" s="49"/>
    </row>
    <row r="3863" ht="15.75" customHeight="1" spans="1:9">
      <c r="A3863" s="49"/>
      <c r="B3863" s="36" t="s">
        <v>63</v>
      </c>
      <c r="C3863" s="36" t="s">
        <v>5266</v>
      </c>
      <c r="D3863" s="49"/>
      <c r="E3863" s="49"/>
      <c r="F3863" s="49"/>
      <c r="G3863" s="49"/>
      <c r="H3863" s="49"/>
      <c r="I3863" s="49"/>
    </row>
    <row r="3864" ht="15.75" customHeight="1" spans="1:9">
      <c r="A3864" s="49"/>
      <c r="B3864" s="36" t="s">
        <v>63</v>
      </c>
      <c r="C3864" s="36" t="s">
        <v>5267</v>
      </c>
      <c r="D3864" s="49"/>
      <c r="E3864" s="49"/>
      <c r="F3864" s="49"/>
      <c r="G3864" s="49"/>
      <c r="H3864" s="49"/>
      <c r="I3864" s="49"/>
    </row>
    <row r="3865" ht="15.75" customHeight="1" spans="1:9">
      <c r="A3865" s="49"/>
      <c r="B3865" s="36" t="s">
        <v>63</v>
      </c>
      <c r="C3865" s="36" t="s">
        <v>5268</v>
      </c>
      <c r="D3865" s="49"/>
      <c r="E3865" s="49"/>
      <c r="F3865" s="49"/>
      <c r="G3865" s="49"/>
      <c r="H3865" s="49"/>
      <c r="I3865" s="49"/>
    </row>
    <row r="3866" ht="15.75" customHeight="1" spans="1:9">
      <c r="A3866" s="49"/>
      <c r="B3866" s="36" t="s">
        <v>5269</v>
      </c>
      <c r="C3866" s="36" t="s">
        <v>5270</v>
      </c>
      <c r="D3866" s="49"/>
      <c r="E3866" s="49"/>
      <c r="F3866" s="49"/>
      <c r="G3866" s="49"/>
      <c r="H3866" s="49"/>
      <c r="I3866" s="49"/>
    </row>
    <row r="3867" ht="15.75" customHeight="1" spans="1:9">
      <c r="A3867" s="49"/>
      <c r="B3867" s="36" t="s">
        <v>5269</v>
      </c>
      <c r="C3867" s="36" t="s">
        <v>81</v>
      </c>
      <c r="D3867" s="49"/>
      <c r="E3867" s="49"/>
      <c r="F3867" s="49"/>
      <c r="G3867" s="49"/>
      <c r="H3867" s="49"/>
      <c r="I3867" s="49"/>
    </row>
    <row r="3868" ht="15.75" customHeight="1" spans="1:9">
      <c r="A3868" s="49"/>
      <c r="B3868" s="36" t="s">
        <v>5269</v>
      </c>
      <c r="C3868" s="36" t="s">
        <v>5269</v>
      </c>
      <c r="D3868" s="49"/>
      <c r="E3868" s="49"/>
      <c r="F3868" s="49"/>
      <c r="G3868" s="49"/>
      <c r="H3868" s="49"/>
      <c r="I3868" s="49"/>
    </row>
    <row r="3869" ht="15.75" customHeight="1" spans="1:9">
      <c r="A3869" s="49"/>
      <c r="B3869" s="36" t="s">
        <v>5269</v>
      </c>
      <c r="C3869" s="36" t="s">
        <v>5271</v>
      </c>
      <c r="D3869" s="49"/>
      <c r="E3869" s="49"/>
      <c r="F3869" s="49"/>
      <c r="G3869" s="49"/>
      <c r="H3869" s="49"/>
      <c r="I3869" s="49"/>
    </row>
    <row r="3870" ht="15.75" customHeight="1" spans="1:9">
      <c r="A3870" s="49"/>
      <c r="B3870" s="36" t="s">
        <v>5269</v>
      </c>
      <c r="C3870" s="36" t="s">
        <v>5272</v>
      </c>
      <c r="D3870" s="49"/>
      <c r="E3870" s="49"/>
      <c r="F3870" s="49"/>
      <c r="G3870" s="49"/>
      <c r="H3870" s="49"/>
      <c r="I3870" s="49"/>
    </row>
    <row r="3871" ht="15.75" customHeight="1" spans="1:9">
      <c r="A3871" s="49"/>
      <c r="B3871" s="36" t="s">
        <v>5269</v>
      </c>
      <c r="C3871" s="36" t="s">
        <v>5273</v>
      </c>
      <c r="D3871" s="49"/>
      <c r="E3871" s="49"/>
      <c r="F3871" s="49"/>
      <c r="G3871" s="49"/>
      <c r="H3871" s="49"/>
      <c r="I3871" s="49"/>
    </row>
    <row r="3872" ht="15.75" customHeight="1" spans="1:9">
      <c r="A3872" s="49"/>
      <c r="B3872" s="36" t="s">
        <v>5269</v>
      </c>
      <c r="C3872" s="36" t="s">
        <v>5274</v>
      </c>
      <c r="D3872" s="49"/>
      <c r="E3872" s="49"/>
      <c r="F3872" s="49"/>
      <c r="G3872" s="49"/>
      <c r="H3872" s="49"/>
      <c r="I3872" s="49"/>
    </row>
    <row r="3873" ht="15.75" customHeight="1" spans="1:9">
      <c r="A3873" s="49"/>
      <c r="B3873" s="36" t="s">
        <v>5269</v>
      </c>
      <c r="C3873" s="36" t="s">
        <v>5275</v>
      </c>
      <c r="D3873" s="49"/>
      <c r="E3873" s="49"/>
      <c r="F3873" s="49"/>
      <c r="G3873" s="49"/>
      <c r="H3873" s="49"/>
      <c r="I3873" s="49"/>
    </row>
    <row r="3874" ht="15.75" customHeight="1" spans="1:9">
      <c r="A3874" s="49"/>
      <c r="B3874" s="36" t="s">
        <v>5269</v>
      </c>
      <c r="C3874" s="36" t="s">
        <v>5276</v>
      </c>
      <c r="D3874" s="49"/>
      <c r="E3874" s="49"/>
      <c r="F3874" s="49"/>
      <c r="G3874" s="49"/>
      <c r="H3874" s="49"/>
      <c r="I3874" s="49"/>
    </row>
    <row r="3875" ht="15.75" customHeight="1" spans="1:9">
      <c r="A3875" s="49"/>
      <c r="B3875" s="36" t="s">
        <v>5269</v>
      </c>
      <c r="C3875" s="36" t="s">
        <v>5277</v>
      </c>
      <c r="D3875" s="49"/>
      <c r="E3875" s="49"/>
      <c r="F3875" s="49"/>
      <c r="G3875" s="49"/>
      <c r="H3875" s="49"/>
      <c r="I3875" s="49"/>
    </row>
    <row r="3876" ht="15.75" customHeight="1" spans="1:9">
      <c r="A3876" s="49"/>
      <c r="B3876" s="36" t="s">
        <v>5269</v>
      </c>
      <c r="C3876" s="36" t="s">
        <v>5278</v>
      </c>
      <c r="D3876" s="49"/>
      <c r="E3876" s="49"/>
      <c r="F3876" s="49"/>
      <c r="G3876" s="49"/>
      <c r="H3876" s="49"/>
      <c r="I3876" s="49"/>
    </row>
    <row r="3877" ht="15.75" customHeight="1" spans="1:9">
      <c r="A3877" s="49"/>
      <c r="B3877" s="36" t="s">
        <v>5269</v>
      </c>
      <c r="C3877" s="36" t="s">
        <v>5279</v>
      </c>
      <c r="D3877" s="49"/>
      <c r="E3877" s="49"/>
      <c r="F3877" s="49"/>
      <c r="G3877" s="49"/>
      <c r="H3877" s="49"/>
      <c r="I3877" s="49"/>
    </row>
    <row r="3878" ht="15.75" customHeight="1" spans="1:9">
      <c r="A3878" s="49"/>
      <c r="B3878" s="36" t="s">
        <v>5269</v>
      </c>
      <c r="C3878" s="36" t="s">
        <v>5280</v>
      </c>
      <c r="D3878" s="49"/>
      <c r="E3878" s="49"/>
      <c r="F3878" s="49"/>
      <c r="G3878" s="49"/>
      <c r="H3878" s="49"/>
      <c r="I3878" s="49"/>
    </row>
    <row r="3879" ht="15.75" customHeight="1" spans="1:9">
      <c r="A3879" s="49"/>
      <c r="B3879" s="36" t="s">
        <v>5269</v>
      </c>
      <c r="C3879" s="36" t="s">
        <v>5281</v>
      </c>
      <c r="D3879" s="49"/>
      <c r="E3879" s="49"/>
      <c r="F3879" s="49"/>
      <c r="G3879" s="49"/>
      <c r="H3879" s="49"/>
      <c r="I3879" s="49"/>
    </row>
    <row r="3880" ht="15.75" customHeight="1" spans="1:9">
      <c r="A3880" s="49"/>
      <c r="B3880" s="36" t="s">
        <v>5269</v>
      </c>
      <c r="C3880" s="36" t="s">
        <v>5282</v>
      </c>
      <c r="D3880" s="49"/>
      <c r="E3880" s="49"/>
      <c r="F3880" s="49"/>
      <c r="G3880" s="49"/>
      <c r="H3880" s="49"/>
      <c r="I3880" s="49"/>
    </row>
    <row r="3881" ht="15.75" customHeight="1" spans="1:9">
      <c r="A3881" s="49"/>
      <c r="B3881" s="36" t="s">
        <v>5269</v>
      </c>
      <c r="C3881" s="36" t="s">
        <v>5283</v>
      </c>
      <c r="D3881" s="49"/>
      <c r="E3881" s="49"/>
      <c r="F3881" s="49"/>
      <c r="G3881" s="49"/>
      <c r="H3881" s="49"/>
      <c r="I3881" s="49"/>
    </row>
    <row r="3882" ht="15.75" customHeight="1" spans="1:9">
      <c r="A3882" s="49"/>
      <c r="B3882" s="36" t="s">
        <v>5269</v>
      </c>
      <c r="C3882" s="36" t="s">
        <v>5284</v>
      </c>
      <c r="D3882" s="49"/>
      <c r="E3882" s="49"/>
      <c r="F3882" s="49"/>
      <c r="G3882" s="49"/>
      <c r="H3882" s="49"/>
      <c r="I3882" s="49"/>
    </row>
    <row r="3883" ht="15.75" customHeight="1" spans="1:9">
      <c r="A3883" s="49"/>
      <c r="B3883" s="36" t="s">
        <v>5269</v>
      </c>
      <c r="C3883" s="36" t="s">
        <v>5285</v>
      </c>
      <c r="D3883" s="49"/>
      <c r="E3883" s="49"/>
      <c r="F3883" s="49"/>
      <c r="G3883" s="49"/>
      <c r="H3883" s="49"/>
      <c r="I3883" s="49"/>
    </row>
    <row r="3884" ht="15.75" customHeight="1" spans="1:9">
      <c r="A3884" s="49"/>
      <c r="B3884" s="36" t="s">
        <v>5269</v>
      </c>
      <c r="C3884" s="36" t="s">
        <v>5286</v>
      </c>
      <c r="D3884" s="49"/>
      <c r="E3884" s="49"/>
      <c r="F3884" s="49"/>
      <c r="G3884" s="49"/>
      <c r="H3884" s="49"/>
      <c r="I3884" s="49"/>
    </row>
    <row r="3885" ht="15.75" customHeight="1" spans="1:9">
      <c r="A3885" s="49"/>
      <c r="B3885" s="36" t="s">
        <v>5269</v>
      </c>
      <c r="C3885" s="36" t="s">
        <v>5287</v>
      </c>
      <c r="D3885" s="49"/>
      <c r="E3885" s="49"/>
      <c r="F3885" s="49"/>
      <c r="G3885" s="49"/>
      <c r="H3885" s="49"/>
      <c r="I3885" s="49"/>
    </row>
    <row r="3886" ht="15.75" customHeight="1" spans="1:9">
      <c r="A3886" s="49"/>
      <c r="B3886" s="36" t="s">
        <v>5269</v>
      </c>
      <c r="C3886" s="36" t="s">
        <v>5288</v>
      </c>
      <c r="D3886" s="49"/>
      <c r="E3886" s="49"/>
      <c r="F3886" s="49"/>
      <c r="G3886" s="49"/>
      <c r="H3886" s="49"/>
      <c r="I3886" s="49"/>
    </row>
    <row r="3887" ht="15.75" customHeight="1" spans="1:9">
      <c r="A3887" s="49"/>
      <c r="B3887" s="36" t="s">
        <v>5269</v>
      </c>
      <c r="C3887" s="36" t="s">
        <v>5289</v>
      </c>
      <c r="D3887" s="49"/>
      <c r="E3887" s="49"/>
      <c r="F3887" s="49"/>
      <c r="G3887" s="49"/>
      <c r="H3887" s="49"/>
      <c r="I3887" s="49"/>
    </row>
    <row r="3888" ht="15.75" customHeight="1" spans="1:9">
      <c r="A3888" s="49"/>
      <c r="B3888" s="36" t="s">
        <v>5269</v>
      </c>
      <c r="C3888" s="36" t="s">
        <v>5290</v>
      </c>
      <c r="D3888" s="49"/>
      <c r="E3888" s="49"/>
      <c r="F3888" s="49"/>
      <c r="G3888" s="49"/>
      <c r="H3888" s="49"/>
      <c r="I3888" s="49"/>
    </row>
    <row r="3889" ht="15.75" customHeight="1" spans="1:9">
      <c r="A3889" s="49"/>
      <c r="B3889" s="36" t="s">
        <v>5269</v>
      </c>
      <c r="C3889" s="36" t="s">
        <v>5291</v>
      </c>
      <c r="D3889" s="49"/>
      <c r="E3889" s="49"/>
      <c r="F3889" s="49"/>
      <c r="G3889" s="49"/>
      <c r="H3889" s="49"/>
      <c r="I3889" s="49"/>
    </row>
    <row r="3890" ht="15.75" customHeight="1" spans="1:9">
      <c r="A3890" s="49"/>
      <c r="B3890" s="36" t="s">
        <v>5269</v>
      </c>
      <c r="C3890" s="36" t="s">
        <v>5292</v>
      </c>
      <c r="D3890" s="49"/>
      <c r="E3890" s="49"/>
      <c r="F3890" s="49"/>
      <c r="G3890" s="49"/>
      <c r="H3890" s="49"/>
      <c r="I3890" s="49"/>
    </row>
    <row r="3891" ht="15.75" customHeight="1" spans="1:9">
      <c r="A3891" s="49"/>
      <c r="B3891" s="36" t="s">
        <v>5269</v>
      </c>
      <c r="C3891" s="36" t="s">
        <v>5293</v>
      </c>
      <c r="D3891" s="49"/>
      <c r="E3891" s="49"/>
      <c r="F3891" s="49"/>
      <c r="G3891" s="49"/>
      <c r="H3891" s="49"/>
      <c r="I3891" s="49"/>
    </row>
    <row r="3892" ht="15.75" customHeight="1" spans="1:9">
      <c r="A3892" s="49"/>
      <c r="B3892" s="36" t="s">
        <v>5269</v>
      </c>
      <c r="C3892" s="36" t="s">
        <v>5294</v>
      </c>
      <c r="D3892" s="49"/>
      <c r="E3892" s="49"/>
      <c r="F3892" s="49"/>
      <c r="G3892" s="49"/>
      <c r="H3892" s="49"/>
      <c r="I3892" s="49"/>
    </row>
    <row r="3893" ht="15.75" customHeight="1" spans="1:9">
      <c r="A3893" s="49"/>
      <c r="B3893" s="36" t="s">
        <v>5269</v>
      </c>
      <c r="C3893" s="36" t="s">
        <v>5295</v>
      </c>
      <c r="D3893" s="49"/>
      <c r="E3893" s="49"/>
      <c r="F3893" s="49"/>
      <c r="G3893" s="49"/>
      <c r="H3893" s="49"/>
      <c r="I3893" s="49"/>
    </row>
    <row r="3894" ht="15.75" customHeight="1" spans="1:9">
      <c r="A3894" s="49"/>
      <c r="B3894" s="36" t="s">
        <v>5269</v>
      </c>
      <c r="C3894" s="36" t="s">
        <v>5296</v>
      </c>
      <c r="D3894" s="49"/>
      <c r="E3894" s="49"/>
      <c r="F3894" s="49"/>
      <c r="G3894" s="49"/>
      <c r="H3894" s="49"/>
      <c r="I3894" s="49"/>
    </row>
    <row r="3895" ht="15.75" customHeight="1" spans="1:9">
      <c r="A3895" s="49"/>
      <c r="B3895" s="36" t="s">
        <v>5269</v>
      </c>
      <c r="C3895" s="36" t="s">
        <v>5297</v>
      </c>
      <c r="D3895" s="49"/>
      <c r="E3895" s="49"/>
      <c r="F3895" s="49"/>
      <c r="G3895" s="49"/>
      <c r="H3895" s="49"/>
      <c r="I3895" s="49"/>
    </row>
    <row r="3896" ht="15.75" customHeight="1" spans="1:9">
      <c r="A3896" s="49"/>
      <c r="B3896" s="36" t="s">
        <v>5269</v>
      </c>
      <c r="C3896" s="36" t="s">
        <v>5298</v>
      </c>
      <c r="D3896" s="49"/>
      <c r="E3896" s="49"/>
      <c r="F3896" s="49"/>
      <c r="G3896" s="49"/>
      <c r="H3896" s="49"/>
      <c r="I3896" s="49"/>
    </row>
    <row r="3897" ht="15.75" customHeight="1" spans="1:9">
      <c r="A3897" s="49"/>
      <c r="B3897" s="36" t="s">
        <v>5269</v>
      </c>
      <c r="C3897" s="36" t="s">
        <v>5299</v>
      </c>
      <c r="D3897" s="49"/>
      <c r="E3897" s="49"/>
      <c r="F3897" s="49"/>
      <c r="G3897" s="49"/>
      <c r="H3897" s="49"/>
      <c r="I3897" s="49"/>
    </row>
    <row r="3898" ht="15.75" customHeight="1" spans="1:9">
      <c r="A3898" s="49"/>
      <c r="B3898" s="36" t="s">
        <v>5269</v>
      </c>
      <c r="C3898" s="36" t="s">
        <v>5300</v>
      </c>
      <c r="D3898" s="49"/>
      <c r="E3898" s="49"/>
      <c r="F3898" s="49"/>
      <c r="G3898" s="49"/>
      <c r="H3898" s="49"/>
      <c r="I3898" s="49"/>
    </row>
    <row r="3899" ht="15.75" customHeight="1" spans="1:9">
      <c r="A3899" s="49"/>
      <c r="B3899" s="36" t="s">
        <v>5269</v>
      </c>
      <c r="C3899" s="36" t="s">
        <v>5301</v>
      </c>
      <c r="D3899" s="49"/>
      <c r="E3899" s="49"/>
      <c r="F3899" s="49"/>
      <c r="G3899" s="49"/>
      <c r="H3899" s="49"/>
      <c r="I3899" s="49"/>
    </row>
    <row r="3900" ht="15.75" customHeight="1" spans="1:9">
      <c r="A3900" s="49"/>
      <c r="B3900" s="36" t="s">
        <v>5269</v>
      </c>
      <c r="C3900" s="36" t="s">
        <v>5302</v>
      </c>
      <c r="D3900" s="49"/>
      <c r="E3900" s="49"/>
      <c r="F3900" s="49"/>
      <c r="G3900" s="49"/>
      <c r="H3900" s="49"/>
      <c r="I3900" s="49"/>
    </row>
    <row r="3901" ht="15.75" customHeight="1" spans="1:9">
      <c r="A3901" s="49"/>
      <c r="B3901" s="36" t="s">
        <v>5269</v>
      </c>
      <c r="C3901" s="36" t="s">
        <v>5303</v>
      </c>
      <c r="D3901" s="49"/>
      <c r="E3901" s="49"/>
      <c r="F3901" s="49"/>
      <c r="G3901" s="49"/>
      <c r="H3901" s="49"/>
      <c r="I3901" s="49"/>
    </row>
    <row r="3902" ht="15.75" customHeight="1" spans="1:9">
      <c r="A3902" s="49"/>
      <c r="B3902" s="36" t="s">
        <v>5269</v>
      </c>
      <c r="C3902" s="36" t="s">
        <v>5304</v>
      </c>
      <c r="D3902" s="49"/>
      <c r="E3902" s="49"/>
      <c r="F3902" s="49"/>
      <c r="G3902" s="49"/>
      <c r="H3902" s="49"/>
      <c r="I3902" s="49"/>
    </row>
    <row r="3903" ht="15.75" customHeight="1" spans="1:9">
      <c r="A3903" s="49"/>
      <c r="B3903" s="36" t="s">
        <v>5269</v>
      </c>
      <c r="C3903" s="36" t="s">
        <v>5305</v>
      </c>
      <c r="D3903" s="49"/>
      <c r="E3903" s="49"/>
      <c r="F3903" s="49"/>
      <c r="G3903" s="49"/>
      <c r="H3903" s="49"/>
      <c r="I3903" s="49"/>
    </row>
    <row r="3904" ht="15.75" customHeight="1" spans="1:9">
      <c r="A3904" s="49"/>
      <c r="B3904" s="36" t="s">
        <v>5269</v>
      </c>
      <c r="C3904" s="36" t="s">
        <v>5306</v>
      </c>
      <c r="D3904" s="49"/>
      <c r="E3904" s="49"/>
      <c r="F3904" s="49"/>
      <c r="G3904" s="49"/>
      <c r="H3904" s="49"/>
      <c r="I3904" s="49"/>
    </row>
    <row r="3905" ht="15.75" customHeight="1" spans="1:9">
      <c r="A3905" s="49"/>
      <c r="B3905" s="36" t="s">
        <v>5269</v>
      </c>
      <c r="C3905" s="36" t="s">
        <v>5307</v>
      </c>
      <c r="D3905" s="49"/>
      <c r="E3905" s="49"/>
      <c r="F3905" s="49"/>
      <c r="G3905" s="49"/>
      <c r="H3905" s="49"/>
      <c r="I3905" s="49"/>
    </row>
    <row r="3906" ht="15.75" customHeight="1" spans="1:9">
      <c r="A3906" s="49"/>
      <c r="B3906" s="36" t="s">
        <v>5269</v>
      </c>
      <c r="C3906" s="36" t="s">
        <v>5308</v>
      </c>
      <c r="D3906" s="49"/>
      <c r="E3906" s="49"/>
      <c r="F3906" s="49"/>
      <c r="G3906" s="49"/>
      <c r="H3906" s="49"/>
      <c r="I3906" s="49"/>
    </row>
    <row r="3907" ht="15.75" customHeight="1" spans="1:9">
      <c r="A3907" s="49"/>
      <c r="B3907" s="36" t="s">
        <v>5269</v>
      </c>
      <c r="C3907" s="36" t="s">
        <v>5309</v>
      </c>
      <c r="D3907" s="49"/>
      <c r="E3907" s="49"/>
      <c r="F3907" s="49"/>
      <c r="G3907" s="49"/>
      <c r="H3907" s="49"/>
      <c r="I3907" s="49"/>
    </row>
    <row r="3908" ht="15.75" customHeight="1" spans="1:9">
      <c r="A3908" s="49"/>
      <c r="B3908" s="36" t="s">
        <v>5269</v>
      </c>
      <c r="C3908" s="36" t="s">
        <v>5310</v>
      </c>
      <c r="D3908" s="49"/>
      <c r="E3908" s="49"/>
      <c r="F3908" s="49"/>
      <c r="G3908" s="49"/>
      <c r="H3908" s="49"/>
      <c r="I3908" s="49"/>
    </row>
    <row r="3909" ht="15.75" customHeight="1" spans="1:9">
      <c r="A3909" s="49"/>
      <c r="B3909" s="36" t="s">
        <v>5269</v>
      </c>
      <c r="C3909" s="36" t="s">
        <v>5311</v>
      </c>
      <c r="D3909" s="49"/>
      <c r="E3909" s="49"/>
      <c r="F3909" s="49"/>
      <c r="G3909" s="49"/>
      <c r="H3909" s="49"/>
      <c r="I3909" s="49"/>
    </row>
    <row r="3910" ht="15.75" customHeight="1" spans="1:9">
      <c r="A3910" s="49"/>
      <c r="B3910" s="36" t="s">
        <v>5312</v>
      </c>
      <c r="C3910" s="36" t="s">
        <v>5313</v>
      </c>
      <c r="D3910" s="49"/>
      <c r="E3910" s="49"/>
      <c r="F3910" s="49"/>
      <c r="G3910" s="49"/>
      <c r="H3910" s="49"/>
      <c r="I3910" s="49"/>
    </row>
    <row r="3911" ht="15.75" customHeight="1" spans="1:9">
      <c r="A3911" s="49"/>
      <c r="B3911" s="36" t="s">
        <v>5312</v>
      </c>
      <c r="C3911" s="36" t="s">
        <v>5314</v>
      </c>
      <c r="D3911" s="49"/>
      <c r="E3911" s="49"/>
      <c r="F3911" s="49"/>
      <c r="G3911" s="49"/>
      <c r="H3911" s="49"/>
      <c r="I3911" s="49"/>
    </row>
    <row r="3912" ht="15.75" customHeight="1" spans="1:9">
      <c r="A3912" s="49"/>
      <c r="B3912" s="36" t="s">
        <v>5312</v>
      </c>
      <c r="C3912" s="36" t="s">
        <v>5315</v>
      </c>
      <c r="D3912" s="49"/>
      <c r="E3912" s="49"/>
      <c r="F3912" s="49"/>
      <c r="G3912" s="49"/>
      <c r="H3912" s="49"/>
      <c r="I3912" s="49"/>
    </row>
    <row r="3913" ht="15.75" customHeight="1" spans="1:9">
      <c r="A3913" s="49"/>
      <c r="B3913" s="36" t="s">
        <v>5312</v>
      </c>
      <c r="C3913" s="36" t="s">
        <v>5316</v>
      </c>
      <c r="D3913" s="49"/>
      <c r="E3913" s="49"/>
      <c r="F3913" s="49"/>
      <c r="G3913" s="49"/>
      <c r="H3913" s="49"/>
      <c r="I3913" s="49"/>
    </row>
    <row r="3914" ht="15.75" customHeight="1" spans="1:9">
      <c r="A3914" s="49"/>
      <c r="B3914" s="36" t="s">
        <v>5312</v>
      </c>
      <c r="C3914" s="36" t="s">
        <v>5317</v>
      </c>
      <c r="D3914" s="49"/>
      <c r="E3914" s="49"/>
      <c r="F3914" s="49"/>
      <c r="G3914" s="49"/>
      <c r="H3914" s="49"/>
      <c r="I3914" s="49"/>
    </row>
    <row r="3915" ht="15.75" customHeight="1" spans="1:9">
      <c r="A3915" s="49"/>
      <c r="B3915" s="36" t="s">
        <v>5312</v>
      </c>
      <c r="C3915" s="36" t="s">
        <v>5318</v>
      </c>
      <c r="D3915" s="49"/>
      <c r="E3915" s="49"/>
      <c r="F3915" s="49"/>
      <c r="G3915" s="49"/>
      <c r="H3915" s="49"/>
      <c r="I3915" s="49"/>
    </row>
    <row r="3916" ht="15.75" customHeight="1" spans="1:9">
      <c r="A3916" s="49"/>
      <c r="B3916" s="36" t="s">
        <v>5312</v>
      </c>
      <c r="C3916" s="36" t="s">
        <v>5319</v>
      </c>
      <c r="D3916" s="49"/>
      <c r="E3916" s="49"/>
      <c r="F3916" s="49"/>
      <c r="G3916" s="49"/>
      <c r="H3916" s="49"/>
      <c r="I3916" s="49"/>
    </row>
    <row r="3917" ht="15.75" customHeight="1" spans="1:9">
      <c r="A3917" s="49"/>
      <c r="B3917" s="36" t="s">
        <v>5312</v>
      </c>
      <c r="C3917" s="36" t="s">
        <v>5320</v>
      </c>
      <c r="D3917" s="49"/>
      <c r="E3917" s="49"/>
      <c r="F3917" s="49"/>
      <c r="G3917" s="49"/>
      <c r="H3917" s="49"/>
      <c r="I3917" s="49"/>
    </row>
    <row r="3918" ht="15.75" customHeight="1" spans="1:9">
      <c r="A3918" s="49"/>
      <c r="B3918" s="36" t="s">
        <v>5312</v>
      </c>
      <c r="C3918" s="36" t="s">
        <v>5321</v>
      </c>
      <c r="D3918" s="49"/>
      <c r="E3918" s="49"/>
      <c r="F3918" s="49"/>
      <c r="G3918" s="49"/>
      <c r="H3918" s="49"/>
      <c r="I3918" s="49"/>
    </row>
    <row r="3919" ht="15.75" customHeight="1" spans="1:9">
      <c r="A3919" s="49"/>
      <c r="B3919" s="36" t="s">
        <v>5312</v>
      </c>
      <c r="C3919" s="36" t="s">
        <v>5322</v>
      </c>
      <c r="D3919" s="49"/>
      <c r="E3919" s="49"/>
      <c r="F3919" s="49"/>
      <c r="G3919" s="49"/>
      <c r="H3919" s="49"/>
      <c r="I3919" s="49"/>
    </row>
    <row r="3920" ht="15.75" customHeight="1" spans="1:9">
      <c r="A3920" s="49"/>
      <c r="B3920" s="36" t="s">
        <v>5312</v>
      </c>
      <c r="C3920" s="36" t="s">
        <v>5323</v>
      </c>
      <c r="D3920" s="49"/>
      <c r="E3920" s="49"/>
      <c r="F3920" s="49"/>
      <c r="G3920" s="49"/>
      <c r="H3920" s="49"/>
      <c r="I3920" s="49"/>
    </row>
    <row r="3921" ht="15.75" customHeight="1" spans="1:9">
      <c r="A3921" s="49"/>
      <c r="B3921" s="36" t="s">
        <v>5312</v>
      </c>
      <c r="C3921" s="36" t="s">
        <v>5324</v>
      </c>
      <c r="D3921" s="49"/>
      <c r="E3921" s="49"/>
      <c r="F3921" s="49"/>
      <c r="G3921" s="49"/>
      <c r="H3921" s="49"/>
      <c r="I3921" s="49"/>
    </row>
    <row r="3922" ht="15.75" customHeight="1" spans="1:9">
      <c r="A3922" s="49"/>
      <c r="B3922" s="36" t="s">
        <v>5312</v>
      </c>
      <c r="C3922" s="36" t="s">
        <v>5325</v>
      </c>
      <c r="D3922" s="49"/>
      <c r="E3922" s="49"/>
      <c r="F3922" s="49"/>
      <c r="G3922" s="49"/>
      <c r="H3922" s="49"/>
      <c r="I3922" s="49"/>
    </row>
    <row r="3923" ht="15.75" customHeight="1" spans="1:9">
      <c r="A3923" s="49"/>
      <c r="B3923" s="36" t="s">
        <v>5312</v>
      </c>
      <c r="C3923" s="36" t="s">
        <v>5326</v>
      </c>
      <c r="D3923" s="49"/>
      <c r="E3923" s="49"/>
      <c r="F3923" s="49"/>
      <c r="G3923" s="49"/>
      <c r="H3923" s="49"/>
      <c r="I3923" s="49"/>
    </row>
    <row r="3924" ht="15.75" customHeight="1" spans="1:9">
      <c r="A3924" s="49"/>
      <c r="B3924" s="36" t="s">
        <v>5312</v>
      </c>
      <c r="C3924" s="36" t="s">
        <v>5327</v>
      </c>
      <c r="D3924" s="49"/>
      <c r="E3924" s="49"/>
      <c r="F3924" s="49"/>
      <c r="G3924" s="49"/>
      <c r="H3924" s="49"/>
      <c r="I3924" s="49"/>
    </row>
    <row r="3925" ht="15.75" customHeight="1" spans="1:9">
      <c r="A3925" s="49"/>
      <c r="B3925" s="36" t="s">
        <v>5312</v>
      </c>
      <c r="C3925" s="36" t="s">
        <v>5328</v>
      </c>
      <c r="D3925" s="49"/>
      <c r="E3925" s="49"/>
      <c r="F3925" s="49"/>
      <c r="G3925" s="49"/>
      <c r="H3925" s="49"/>
      <c r="I3925" s="49"/>
    </row>
    <row r="3926" ht="15.75" customHeight="1" spans="1:9">
      <c r="A3926" s="49"/>
      <c r="B3926" s="36" t="s">
        <v>5312</v>
      </c>
      <c r="C3926" s="36" t="s">
        <v>5329</v>
      </c>
      <c r="D3926" s="49"/>
      <c r="E3926" s="49"/>
      <c r="F3926" s="49"/>
      <c r="G3926" s="49"/>
      <c r="H3926" s="49"/>
      <c r="I3926" s="49"/>
    </row>
    <row r="3927" ht="15.75" customHeight="1" spans="1:9">
      <c r="A3927" s="49"/>
      <c r="B3927" s="36" t="s">
        <v>5312</v>
      </c>
      <c r="C3927" s="36" t="s">
        <v>5330</v>
      </c>
      <c r="D3927" s="49"/>
      <c r="E3927" s="49"/>
      <c r="F3927" s="49"/>
      <c r="G3927" s="49"/>
      <c r="H3927" s="49"/>
      <c r="I3927" s="49"/>
    </row>
    <row r="3928" ht="15.75" customHeight="1" spans="1:9">
      <c r="A3928" s="49"/>
      <c r="B3928" s="36" t="s">
        <v>5312</v>
      </c>
      <c r="C3928" s="36" t="s">
        <v>5331</v>
      </c>
      <c r="D3928" s="49"/>
      <c r="E3928" s="49"/>
      <c r="F3928" s="49"/>
      <c r="G3928" s="49"/>
      <c r="H3928" s="49"/>
      <c r="I3928" s="49"/>
    </row>
    <row r="3929" ht="15.75" customHeight="1" spans="1:9">
      <c r="A3929" s="49"/>
      <c r="B3929" s="36" t="s">
        <v>5312</v>
      </c>
      <c r="C3929" s="36" t="s">
        <v>5332</v>
      </c>
      <c r="D3929" s="49"/>
      <c r="E3929" s="49"/>
      <c r="F3929" s="49"/>
      <c r="G3929" s="49"/>
      <c r="H3929" s="49"/>
      <c r="I3929" s="49"/>
    </row>
    <row r="3930" ht="15.75" customHeight="1" spans="1:9">
      <c r="A3930" s="49"/>
      <c r="B3930" s="36" t="s">
        <v>5312</v>
      </c>
      <c r="C3930" s="36" t="s">
        <v>5333</v>
      </c>
      <c r="D3930" s="49"/>
      <c r="E3930" s="49"/>
      <c r="F3930" s="49"/>
      <c r="G3930" s="49"/>
      <c r="H3930" s="49"/>
      <c r="I3930" s="49"/>
    </row>
    <row r="3931" ht="15.75" customHeight="1" spans="1:9">
      <c r="A3931" s="49"/>
      <c r="B3931" s="36" t="s">
        <v>5312</v>
      </c>
      <c r="C3931" s="36" t="s">
        <v>5334</v>
      </c>
      <c r="D3931" s="49"/>
      <c r="E3931" s="49"/>
      <c r="F3931" s="49"/>
      <c r="G3931" s="49"/>
      <c r="H3931" s="49"/>
      <c r="I3931" s="49"/>
    </row>
    <row r="3932" ht="15.75" customHeight="1" spans="1:9">
      <c r="A3932" s="49"/>
      <c r="B3932" s="36" t="s">
        <v>5312</v>
      </c>
      <c r="C3932" s="36" t="s">
        <v>5335</v>
      </c>
      <c r="D3932" s="49"/>
      <c r="E3932" s="49"/>
      <c r="F3932" s="49"/>
      <c r="G3932" s="49"/>
      <c r="H3932" s="49"/>
      <c r="I3932" s="49"/>
    </row>
    <row r="3933" ht="15.75" customHeight="1" spans="1:9">
      <c r="A3933" s="49"/>
      <c r="B3933" s="36" t="s">
        <v>5312</v>
      </c>
      <c r="C3933" s="36" t="s">
        <v>5336</v>
      </c>
      <c r="D3933" s="49"/>
      <c r="E3933" s="49"/>
      <c r="F3933" s="49"/>
      <c r="G3933" s="49"/>
      <c r="H3933" s="49"/>
      <c r="I3933" s="49"/>
    </row>
    <row r="3934" ht="15.75" customHeight="1" spans="1:9">
      <c r="A3934" s="49"/>
      <c r="B3934" s="36" t="s">
        <v>5312</v>
      </c>
      <c r="C3934" s="36" t="s">
        <v>5337</v>
      </c>
      <c r="D3934" s="49"/>
      <c r="E3934" s="49"/>
      <c r="F3934" s="49"/>
      <c r="G3934" s="49"/>
      <c r="H3934" s="49"/>
      <c r="I3934" s="49"/>
    </row>
    <row r="3935" ht="15.75" customHeight="1" spans="1:9">
      <c r="A3935" s="49"/>
      <c r="B3935" s="36" t="s">
        <v>5312</v>
      </c>
      <c r="C3935" s="36" t="s">
        <v>5338</v>
      </c>
      <c r="D3935" s="49"/>
      <c r="E3935" s="49"/>
      <c r="F3935" s="49"/>
      <c r="G3935" s="49"/>
      <c r="H3935" s="49"/>
      <c r="I3935" s="49"/>
    </row>
    <row r="3936" ht="15.75" customHeight="1" spans="1:9">
      <c r="A3936" s="49"/>
      <c r="B3936" s="36" t="s">
        <v>5312</v>
      </c>
      <c r="C3936" s="36" t="s">
        <v>5339</v>
      </c>
      <c r="D3936" s="49"/>
      <c r="E3936" s="49"/>
      <c r="F3936" s="49"/>
      <c r="G3936" s="49"/>
      <c r="H3936" s="49"/>
      <c r="I3936" s="49"/>
    </row>
    <row r="3937" ht="15.75" customHeight="1" spans="1:9">
      <c r="A3937" s="49"/>
      <c r="B3937" s="36" t="s">
        <v>5312</v>
      </c>
      <c r="C3937" s="36" t="s">
        <v>5340</v>
      </c>
      <c r="D3937" s="49"/>
      <c r="E3937" s="49"/>
      <c r="F3937" s="49"/>
      <c r="G3937" s="49"/>
      <c r="H3937" s="49"/>
      <c r="I3937" s="49"/>
    </row>
    <row r="3938" ht="15.75" customHeight="1" spans="1:9">
      <c r="A3938" s="49"/>
      <c r="B3938" s="36" t="s">
        <v>5312</v>
      </c>
      <c r="C3938" s="36" t="s">
        <v>5341</v>
      </c>
      <c r="D3938" s="49"/>
      <c r="E3938" s="49"/>
      <c r="F3938" s="49"/>
      <c r="G3938" s="49"/>
      <c r="H3938" s="49"/>
      <c r="I3938" s="49"/>
    </row>
    <row r="3939" ht="15.75" customHeight="1" spans="1:9">
      <c r="A3939" s="49"/>
      <c r="B3939" s="36" t="s">
        <v>5312</v>
      </c>
      <c r="C3939" s="36" t="s">
        <v>5342</v>
      </c>
      <c r="D3939" s="49"/>
      <c r="E3939" s="49"/>
      <c r="F3939" s="49"/>
      <c r="G3939" s="49"/>
      <c r="H3939" s="49"/>
      <c r="I3939" s="49"/>
    </row>
    <row r="3940" ht="15.75" customHeight="1" spans="1:9">
      <c r="A3940" s="49"/>
      <c r="B3940" s="36" t="s">
        <v>5312</v>
      </c>
      <c r="C3940" s="36" t="s">
        <v>5343</v>
      </c>
      <c r="D3940" s="49"/>
      <c r="E3940" s="49"/>
      <c r="F3940" s="49"/>
      <c r="G3940" s="49"/>
      <c r="H3940" s="49"/>
      <c r="I3940" s="49"/>
    </row>
  </sheetData>
  <hyperlinks>
    <hyperlink ref="C2080" r:id="rId1" display="Inv.No"/>
  </hyperlinks>
  <pageMargins left="0.7" right="0.7" top="0.75" bottom="0.75" header="0.511811023622047" footer="0.511811023622047"/>
  <pageSetup paperSize="1"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18"/>
  <sheetViews>
    <sheetView zoomScale="65" zoomScaleNormal="65" workbookViewId="0">
      <selection activeCell="A1" sqref="A1"/>
    </sheetView>
  </sheetViews>
  <sheetFormatPr defaultColWidth="14.5" defaultRowHeight="14" outlineLevelCol="6"/>
  <cols>
    <col min="1" max="26" width="8.6640625" customWidth="1"/>
  </cols>
  <sheetData>
    <row r="1" ht="15.95" spans="1:7">
      <c r="A1" s="38" t="s">
        <v>3410</v>
      </c>
      <c r="B1" s="38" t="b">
        <f>TRUE()</f>
        <v>1</v>
      </c>
      <c r="C1" s="38" t="s">
        <v>3411</v>
      </c>
      <c r="F1" s="40" t="s">
        <v>3414</v>
      </c>
      <c r="G1" s="35"/>
    </row>
    <row r="2" ht="14.75" spans="1:7">
      <c r="A2" s="39" t="s">
        <v>3410</v>
      </c>
      <c r="B2" s="39" t="b">
        <f>FALSE()</f>
        <v>0</v>
      </c>
      <c r="C2" s="39" t="s">
        <v>889</v>
      </c>
      <c r="F2" s="36"/>
      <c r="G2" s="36"/>
    </row>
    <row r="3" ht="24.75" spans="1:7">
      <c r="A3" s="39" t="s">
        <v>3410</v>
      </c>
      <c r="B3" s="39" t="b">
        <f>TRUE()</f>
        <v>1</v>
      </c>
      <c r="C3" s="39" t="s">
        <v>3412</v>
      </c>
      <c r="F3" s="35" t="s">
        <v>3415</v>
      </c>
      <c r="G3" s="35" t="s">
        <v>3416</v>
      </c>
    </row>
    <row r="4" ht="36.75" spans="1:7">
      <c r="A4" s="39" t="s">
        <v>3410</v>
      </c>
      <c r="B4" s="39" t="b">
        <f>FALSE()</f>
        <v>0</v>
      </c>
      <c r="C4" s="39" t="s">
        <v>3413</v>
      </c>
      <c r="F4" s="36" t="s">
        <v>3417</v>
      </c>
      <c r="G4" s="36" t="s">
        <v>3418</v>
      </c>
    </row>
    <row r="5" ht="24.75" spans="1:7">
      <c r="A5" s="39" t="s">
        <v>3410</v>
      </c>
      <c r="B5" s="39" t="b">
        <f>TRUE()</f>
        <v>1</v>
      </c>
      <c r="C5" s="39" t="b">
        <f>TRUE()</f>
        <v>1</v>
      </c>
      <c r="F5" s="36" t="s">
        <v>3417</v>
      </c>
      <c r="G5" s="36" t="s">
        <v>14</v>
      </c>
    </row>
    <row r="6" ht="24.75" spans="1:7">
      <c r="A6" s="39" t="s">
        <v>3410</v>
      </c>
      <c r="B6" s="39" t="b">
        <f>FALSE()</f>
        <v>0</v>
      </c>
      <c r="C6" s="39" t="b">
        <f>FALSE()</f>
        <v>0</v>
      </c>
      <c r="F6" s="36" t="s">
        <v>3417</v>
      </c>
      <c r="G6" s="36" t="s">
        <v>3419</v>
      </c>
    </row>
    <row r="7" ht="24.75" spans="1:7">
      <c r="A7" s="39" t="s">
        <v>3410</v>
      </c>
      <c r="B7" s="39" t="b">
        <f>TRUE()</f>
        <v>1</v>
      </c>
      <c r="C7" s="39">
        <v>1</v>
      </c>
      <c r="F7" s="36" t="s">
        <v>3417</v>
      </c>
      <c r="G7" s="36" t="s">
        <v>3420</v>
      </c>
    </row>
    <row r="8" ht="24.75" spans="1:7">
      <c r="A8" s="39" t="s">
        <v>3410</v>
      </c>
      <c r="B8" s="39" t="b">
        <f>FALSE()</f>
        <v>0</v>
      </c>
      <c r="C8" s="39">
        <v>0</v>
      </c>
      <c r="F8" s="36" t="s">
        <v>3417</v>
      </c>
      <c r="G8" s="36" t="s">
        <v>3421</v>
      </c>
    </row>
    <row r="9" ht="24.75" spans="6:7">
      <c r="F9" s="36" t="s">
        <v>3417</v>
      </c>
      <c r="G9" s="36" t="s">
        <v>3417</v>
      </c>
    </row>
    <row r="10" ht="24.75" spans="6:7">
      <c r="F10" s="36" t="s">
        <v>3417</v>
      </c>
      <c r="G10" s="36" t="s">
        <v>3422</v>
      </c>
    </row>
    <row r="11" ht="24.75" spans="6:7">
      <c r="F11" s="36" t="s">
        <v>3417</v>
      </c>
      <c r="G11" s="36" t="s">
        <v>3423</v>
      </c>
    </row>
    <row r="12" ht="36.75" spans="6:7">
      <c r="F12" s="36" t="s">
        <v>3417</v>
      </c>
      <c r="G12" s="36" t="s">
        <v>3424</v>
      </c>
    </row>
    <row r="13" ht="24.75" spans="6:7">
      <c r="F13" s="36" t="s">
        <v>3417</v>
      </c>
      <c r="G13" s="36" t="s">
        <v>3425</v>
      </c>
    </row>
    <row r="14" ht="24.75" spans="6:7">
      <c r="F14" s="36" t="s">
        <v>3417</v>
      </c>
      <c r="G14" s="36" t="s">
        <v>3426</v>
      </c>
    </row>
    <row r="15" ht="24.75" spans="6:7">
      <c r="F15" s="36" t="s">
        <v>3417</v>
      </c>
      <c r="G15" s="36" t="s">
        <v>3427</v>
      </c>
    </row>
    <row r="16" ht="24.75" spans="6:7">
      <c r="F16" s="36" t="s">
        <v>3417</v>
      </c>
      <c r="G16" s="36" t="s">
        <v>3428</v>
      </c>
    </row>
    <row r="17" ht="24.75" spans="6:7">
      <c r="F17" s="36" t="s">
        <v>3417</v>
      </c>
      <c r="G17" s="36" t="s">
        <v>3429</v>
      </c>
    </row>
    <row r="18" ht="24.75" spans="6:7">
      <c r="F18" s="36" t="s">
        <v>3417</v>
      </c>
      <c r="G18" s="36" t="s">
        <v>3430</v>
      </c>
    </row>
    <row r="19" ht="24.75" spans="6:7">
      <c r="F19" s="36" t="s">
        <v>3417</v>
      </c>
      <c r="G19" s="36" t="s">
        <v>3431</v>
      </c>
    </row>
    <row r="20" ht="24.75" spans="6:7">
      <c r="F20" s="36" t="s">
        <v>3417</v>
      </c>
      <c r="G20" s="36" t="s">
        <v>3432</v>
      </c>
    </row>
    <row r="21" ht="15.75" customHeight="1" spans="6:7">
      <c r="F21" s="36" t="s">
        <v>3417</v>
      </c>
      <c r="G21" s="36" t="s">
        <v>3433</v>
      </c>
    </row>
    <row r="22" ht="15.75" customHeight="1" spans="6:7">
      <c r="F22" s="36" t="s">
        <v>3417</v>
      </c>
      <c r="G22" s="36" t="s">
        <v>3434</v>
      </c>
    </row>
    <row r="23" ht="15.75" customHeight="1" spans="6:7">
      <c r="F23" s="36" t="s">
        <v>3417</v>
      </c>
      <c r="G23" s="36" t="s">
        <v>3435</v>
      </c>
    </row>
    <row r="24" ht="15.75" customHeight="1" spans="6:7">
      <c r="F24" s="36" t="s">
        <v>3417</v>
      </c>
      <c r="G24" s="36" t="s">
        <v>3436</v>
      </c>
    </row>
    <row r="25" ht="15.75" customHeight="1" spans="6:7">
      <c r="F25" s="36" t="s">
        <v>3417</v>
      </c>
      <c r="G25" s="36" t="s">
        <v>3437</v>
      </c>
    </row>
    <row r="26" ht="15.75" customHeight="1" spans="6:7">
      <c r="F26" s="36" t="s">
        <v>3417</v>
      </c>
      <c r="G26" s="36" t="s">
        <v>3438</v>
      </c>
    </row>
    <row r="27" ht="15.75" customHeight="1" spans="6:7">
      <c r="F27" s="36" t="s">
        <v>3417</v>
      </c>
      <c r="G27" s="36" t="s">
        <v>3439</v>
      </c>
    </row>
    <row r="28" ht="15.75" customHeight="1" spans="6:7">
      <c r="F28" s="36" t="s">
        <v>3417</v>
      </c>
      <c r="G28" s="36" t="s">
        <v>3440</v>
      </c>
    </row>
    <row r="29" ht="15.75" customHeight="1" spans="6:7">
      <c r="F29" s="36" t="s">
        <v>3417</v>
      </c>
      <c r="G29" s="36" t="s">
        <v>3441</v>
      </c>
    </row>
    <row r="30" ht="15.75" customHeight="1" spans="6:7">
      <c r="F30" s="36" t="s">
        <v>3417</v>
      </c>
      <c r="G30" s="36" t="s">
        <v>3442</v>
      </c>
    </row>
    <row r="31" ht="15.75" customHeight="1" spans="6:7">
      <c r="F31" s="36" t="s">
        <v>3417</v>
      </c>
      <c r="G31" s="36" t="s">
        <v>3443</v>
      </c>
    </row>
    <row r="32" ht="15.75" customHeight="1" spans="6:7">
      <c r="F32" s="36" t="s">
        <v>3417</v>
      </c>
      <c r="G32" s="36" t="s">
        <v>3444</v>
      </c>
    </row>
    <row r="33" ht="15.75" customHeight="1" spans="6:7">
      <c r="F33" s="36" t="s">
        <v>3417</v>
      </c>
      <c r="G33" s="36" t="s">
        <v>3445</v>
      </c>
    </row>
    <row r="34" ht="15.75" customHeight="1" spans="6:7">
      <c r="F34" s="36" t="s">
        <v>3417</v>
      </c>
      <c r="G34" s="36" t="s">
        <v>3446</v>
      </c>
    </row>
    <row r="35" ht="15.75" customHeight="1" spans="6:7">
      <c r="F35" s="36" t="s">
        <v>3417</v>
      </c>
      <c r="G35" s="36" t="s">
        <v>3447</v>
      </c>
    </row>
    <row r="36" ht="15.75" customHeight="1" spans="6:7">
      <c r="F36" s="36" t="s">
        <v>3417</v>
      </c>
      <c r="G36" s="36" t="s">
        <v>3448</v>
      </c>
    </row>
    <row r="37" ht="15.75" customHeight="1" spans="6:7">
      <c r="F37" s="36" t="s">
        <v>3417</v>
      </c>
      <c r="G37" s="36" t="s">
        <v>3449</v>
      </c>
    </row>
    <row r="38" ht="15.75" customHeight="1" spans="6:7">
      <c r="F38" s="36" t="s">
        <v>3417</v>
      </c>
      <c r="G38" s="36" t="s">
        <v>3450</v>
      </c>
    </row>
    <row r="39" ht="15.75" customHeight="1" spans="6:7">
      <c r="F39" s="36" t="s">
        <v>3417</v>
      </c>
      <c r="G39" s="36" t="s">
        <v>3451</v>
      </c>
    </row>
    <row r="40" ht="15.75" customHeight="1" spans="6:7">
      <c r="F40" s="36" t="s">
        <v>3417</v>
      </c>
      <c r="G40" s="36" t="s">
        <v>3452</v>
      </c>
    </row>
    <row r="41" ht="15.75" customHeight="1" spans="6:7">
      <c r="F41" s="36" t="s">
        <v>3417</v>
      </c>
      <c r="G41" s="36" t="s">
        <v>3453</v>
      </c>
    </row>
    <row r="42" ht="15.75" customHeight="1" spans="6:7">
      <c r="F42" s="36" t="s">
        <v>3417</v>
      </c>
      <c r="G42" s="36" t="s">
        <v>3454</v>
      </c>
    </row>
    <row r="43" ht="15.75" customHeight="1" spans="6:7">
      <c r="F43" s="36" t="s">
        <v>3417</v>
      </c>
      <c r="G43" s="36" t="s">
        <v>3455</v>
      </c>
    </row>
    <row r="44" ht="15.75" customHeight="1" spans="6:7">
      <c r="F44" s="36" t="s">
        <v>3417</v>
      </c>
      <c r="G44" s="36" t="s">
        <v>3456</v>
      </c>
    </row>
    <row r="45" ht="15.75" customHeight="1" spans="6:7">
      <c r="F45" s="36" t="s">
        <v>3457</v>
      </c>
      <c r="G45" s="36" t="s">
        <v>3458</v>
      </c>
    </row>
    <row r="46" ht="15.75" customHeight="1" spans="6:7">
      <c r="F46" s="36" t="s">
        <v>3457</v>
      </c>
      <c r="G46" s="36" t="s">
        <v>102</v>
      </c>
    </row>
    <row r="47" ht="15.75" customHeight="1" spans="6:7">
      <c r="F47" s="36" t="s">
        <v>3457</v>
      </c>
      <c r="G47" s="36" t="s">
        <v>3459</v>
      </c>
    </row>
    <row r="48" ht="15.75" customHeight="1" spans="6:7">
      <c r="F48" s="36" t="s">
        <v>3457</v>
      </c>
      <c r="G48" s="36" t="s">
        <v>3460</v>
      </c>
    </row>
    <row r="49" ht="15.75" customHeight="1" spans="6:7">
      <c r="F49" s="36" t="s">
        <v>3457</v>
      </c>
      <c r="G49" s="36" t="s">
        <v>3457</v>
      </c>
    </row>
    <row r="50" ht="15.75" customHeight="1" spans="6:7">
      <c r="F50" s="36" t="s">
        <v>3457</v>
      </c>
      <c r="G50" s="36" t="s">
        <v>3461</v>
      </c>
    </row>
    <row r="51" ht="15.75" customHeight="1" spans="6:7">
      <c r="F51" s="36" t="s">
        <v>3457</v>
      </c>
      <c r="G51" s="36" t="s">
        <v>3462</v>
      </c>
    </row>
    <row r="52" ht="15.75" customHeight="1" spans="6:7">
      <c r="F52" s="36" t="s">
        <v>3457</v>
      </c>
      <c r="G52" s="36" t="s">
        <v>3463</v>
      </c>
    </row>
    <row r="53" ht="15.75" customHeight="1" spans="6:7">
      <c r="F53" s="36" t="s">
        <v>3457</v>
      </c>
      <c r="G53" s="36" t="s">
        <v>3464</v>
      </c>
    </row>
    <row r="54" ht="15.75" customHeight="1" spans="6:7">
      <c r="F54" s="36" t="s">
        <v>3457</v>
      </c>
      <c r="G54" s="36" t="s">
        <v>3465</v>
      </c>
    </row>
    <row r="55" ht="15.75" customHeight="1" spans="6:7">
      <c r="F55" s="36" t="s">
        <v>3457</v>
      </c>
      <c r="G55" s="36" t="s">
        <v>3466</v>
      </c>
    </row>
    <row r="56" ht="15.75" customHeight="1" spans="6:7">
      <c r="F56" s="36" t="s">
        <v>3457</v>
      </c>
      <c r="G56" s="36" t="s">
        <v>3467</v>
      </c>
    </row>
    <row r="57" ht="15.75" customHeight="1" spans="6:7">
      <c r="F57" s="36" t="s">
        <v>3457</v>
      </c>
      <c r="G57" s="36" t="s">
        <v>3468</v>
      </c>
    </row>
    <row r="58" ht="15.75" customHeight="1" spans="6:7">
      <c r="F58" s="36" t="s">
        <v>3457</v>
      </c>
      <c r="G58" s="36" t="s">
        <v>3469</v>
      </c>
    </row>
    <row r="59" ht="15.75" customHeight="1" spans="6:7">
      <c r="F59" s="36" t="s">
        <v>3457</v>
      </c>
      <c r="G59" s="36" t="s">
        <v>3470</v>
      </c>
    </row>
    <row r="60" ht="15.75" customHeight="1" spans="6:7">
      <c r="F60" s="36" t="s">
        <v>3457</v>
      </c>
      <c r="G60" s="36" t="s">
        <v>3471</v>
      </c>
    </row>
    <row r="61" ht="15.75" customHeight="1" spans="6:7">
      <c r="F61" s="36" t="s">
        <v>3457</v>
      </c>
      <c r="G61" s="36" t="s">
        <v>3472</v>
      </c>
    </row>
    <row r="62" ht="15.75" customHeight="1" spans="6:7">
      <c r="F62" s="36" t="s">
        <v>3457</v>
      </c>
      <c r="G62" s="36" t="s">
        <v>3473</v>
      </c>
    </row>
    <row r="63" ht="15.75" customHeight="1" spans="6:7">
      <c r="F63" s="36" t="s">
        <v>3457</v>
      </c>
      <c r="G63" s="36" t="s">
        <v>3474</v>
      </c>
    </row>
    <row r="64" ht="15.75" customHeight="1" spans="6:7">
      <c r="F64" s="36" t="s">
        <v>3457</v>
      </c>
      <c r="G64" s="36" t="s">
        <v>3475</v>
      </c>
    </row>
    <row r="65" ht="15.75" customHeight="1" spans="6:7">
      <c r="F65" s="36" t="s">
        <v>3457</v>
      </c>
      <c r="G65" s="36" t="s">
        <v>3476</v>
      </c>
    </row>
    <row r="66" ht="15.75" customHeight="1" spans="6:7">
      <c r="F66" s="36" t="s">
        <v>3457</v>
      </c>
      <c r="G66" s="36" t="s">
        <v>3477</v>
      </c>
    </row>
    <row r="67" ht="15.75" customHeight="1" spans="6:7">
      <c r="F67" s="36" t="s">
        <v>3457</v>
      </c>
      <c r="G67" s="36" t="s">
        <v>3478</v>
      </c>
    </row>
    <row r="68" ht="15.75" customHeight="1" spans="6:7">
      <c r="F68" s="36" t="s">
        <v>3457</v>
      </c>
      <c r="G68" s="36" t="s">
        <v>3479</v>
      </c>
    </row>
    <row r="69" ht="15.75" customHeight="1" spans="6:7">
      <c r="F69" s="36" t="s">
        <v>3457</v>
      </c>
      <c r="G69" s="36" t="s">
        <v>3480</v>
      </c>
    </row>
    <row r="70" ht="15.75" customHeight="1" spans="6:7">
      <c r="F70" s="36" t="s">
        <v>3457</v>
      </c>
      <c r="G70" s="36" t="s">
        <v>3481</v>
      </c>
    </row>
    <row r="71" ht="15.75" customHeight="1" spans="6:7">
      <c r="F71" s="36" t="s">
        <v>3457</v>
      </c>
      <c r="G71" s="36" t="s">
        <v>3482</v>
      </c>
    </row>
    <row r="72" ht="15.75" customHeight="1" spans="6:7">
      <c r="F72" s="36" t="s">
        <v>3457</v>
      </c>
      <c r="G72" s="36" t="s">
        <v>3483</v>
      </c>
    </row>
    <row r="73" ht="15.75" customHeight="1" spans="6:7">
      <c r="F73" s="36" t="s">
        <v>3457</v>
      </c>
      <c r="G73" s="36" t="s">
        <v>3484</v>
      </c>
    </row>
    <row r="74" ht="15.75" customHeight="1" spans="6:7">
      <c r="F74" s="36" t="s">
        <v>3457</v>
      </c>
      <c r="G74" s="36" t="s">
        <v>3485</v>
      </c>
    </row>
    <row r="75" ht="15.75" customHeight="1" spans="6:7">
      <c r="F75" s="36" t="s">
        <v>3457</v>
      </c>
      <c r="G75" s="36" t="s">
        <v>3486</v>
      </c>
    </row>
    <row r="76" ht="15.75" customHeight="1" spans="6:7">
      <c r="F76" s="36" t="s">
        <v>3457</v>
      </c>
      <c r="G76" s="36" t="s">
        <v>3487</v>
      </c>
    </row>
    <row r="77" ht="15.75" customHeight="1" spans="6:7">
      <c r="F77" s="36" t="s">
        <v>3457</v>
      </c>
      <c r="G77" s="36" t="s">
        <v>3488</v>
      </c>
    </row>
    <row r="78" ht="15.75" customHeight="1" spans="6:7">
      <c r="F78" s="36" t="s">
        <v>3457</v>
      </c>
      <c r="G78" s="36" t="s">
        <v>3489</v>
      </c>
    </row>
    <row r="79" ht="15.75" customHeight="1" spans="6:7">
      <c r="F79" s="36" t="s">
        <v>3457</v>
      </c>
      <c r="G79" s="36" t="s">
        <v>3490</v>
      </c>
    </row>
    <row r="80" ht="15.75" customHeight="1" spans="6:7">
      <c r="F80" s="36" t="s">
        <v>3457</v>
      </c>
      <c r="G80" s="36" t="s">
        <v>3491</v>
      </c>
    </row>
    <row r="81" ht="15.75" customHeight="1" spans="6:7">
      <c r="F81" s="36" t="s">
        <v>3457</v>
      </c>
      <c r="G81" s="36" t="s">
        <v>3492</v>
      </c>
    </row>
    <row r="82" ht="15.75" customHeight="1" spans="6:7">
      <c r="F82" s="36" t="s">
        <v>3457</v>
      </c>
      <c r="G82" s="36" t="s">
        <v>3493</v>
      </c>
    </row>
    <row r="83" ht="15.75" customHeight="1" spans="6:7">
      <c r="F83" s="36" t="s">
        <v>3457</v>
      </c>
      <c r="G83" s="36" t="s">
        <v>3494</v>
      </c>
    </row>
    <row r="84" ht="15.75" customHeight="1" spans="6:7">
      <c r="F84" s="36" t="s">
        <v>3457</v>
      </c>
      <c r="G84" s="36" t="s">
        <v>3495</v>
      </c>
    </row>
    <row r="85" ht="15.75" customHeight="1" spans="6:7">
      <c r="F85" s="36" t="s">
        <v>3457</v>
      </c>
      <c r="G85" s="36" t="s">
        <v>3496</v>
      </c>
    </row>
    <row r="86" ht="15.75" customHeight="1" spans="6:7">
      <c r="F86" s="36" t="s">
        <v>3457</v>
      </c>
      <c r="G86" s="36" t="s">
        <v>3497</v>
      </c>
    </row>
    <row r="87" ht="15.75" customHeight="1" spans="6:7">
      <c r="F87" s="36" t="s">
        <v>3457</v>
      </c>
      <c r="G87" s="36" t="s">
        <v>3498</v>
      </c>
    </row>
    <row r="88" ht="15.75" customHeight="1" spans="6:7">
      <c r="F88" s="36" t="s">
        <v>3457</v>
      </c>
      <c r="G88" s="36" t="s">
        <v>3499</v>
      </c>
    </row>
    <row r="89" ht="15.75" customHeight="1" spans="6:7">
      <c r="F89" s="36" t="s">
        <v>3457</v>
      </c>
      <c r="G89" s="36" t="s">
        <v>3500</v>
      </c>
    </row>
    <row r="90" ht="15.75" customHeight="1" spans="6:7">
      <c r="F90" s="36" t="s">
        <v>3457</v>
      </c>
      <c r="G90" s="36" t="s">
        <v>3501</v>
      </c>
    </row>
    <row r="91" ht="15.75" customHeight="1" spans="6:7">
      <c r="F91" s="36" t="s">
        <v>3457</v>
      </c>
      <c r="G91" s="36" t="s">
        <v>3502</v>
      </c>
    </row>
    <row r="92" ht="15.75" customHeight="1" spans="6:7">
      <c r="F92" s="36" t="s">
        <v>3457</v>
      </c>
      <c r="G92" s="36" t="s">
        <v>3503</v>
      </c>
    </row>
    <row r="93" ht="15.75" customHeight="1" spans="6:7">
      <c r="F93" s="36" t="s">
        <v>3457</v>
      </c>
      <c r="G93" s="36" t="s">
        <v>3504</v>
      </c>
    </row>
    <row r="94" ht="15.75" customHeight="1" spans="6:7">
      <c r="F94" s="36" t="s">
        <v>3457</v>
      </c>
      <c r="G94" s="36" t="s">
        <v>3505</v>
      </c>
    </row>
    <row r="95" ht="15.75" customHeight="1" spans="6:7">
      <c r="F95" s="36" t="s">
        <v>3457</v>
      </c>
      <c r="G95" s="36" t="s">
        <v>3506</v>
      </c>
    </row>
    <row r="96" ht="15.75" customHeight="1" spans="6:7">
      <c r="F96" s="36" t="s">
        <v>3457</v>
      </c>
      <c r="G96" s="36" t="s">
        <v>3507</v>
      </c>
    </row>
    <row r="97" ht="15.75" customHeight="1" spans="6:7">
      <c r="F97" s="36" t="s">
        <v>3457</v>
      </c>
      <c r="G97" s="36" t="s">
        <v>3508</v>
      </c>
    </row>
    <row r="98" ht="15.75" customHeight="1" spans="6:7">
      <c r="F98" s="36" t="s">
        <v>3509</v>
      </c>
      <c r="G98" s="36" t="s">
        <v>3510</v>
      </c>
    </row>
    <row r="99" ht="15.75" customHeight="1" spans="6:7">
      <c r="F99" s="36" t="s">
        <v>3509</v>
      </c>
      <c r="G99" s="36" t="s">
        <v>105</v>
      </c>
    </row>
    <row r="100" ht="15.75" customHeight="1" spans="6:7">
      <c r="F100" s="36" t="s">
        <v>3509</v>
      </c>
      <c r="G100" s="36" t="s">
        <v>3511</v>
      </c>
    </row>
    <row r="101" ht="15.75" customHeight="1" spans="6:7">
      <c r="F101" s="36" t="s">
        <v>3509</v>
      </c>
      <c r="G101" s="36" t="s">
        <v>3512</v>
      </c>
    </row>
    <row r="102" ht="15.75" customHeight="1" spans="6:7">
      <c r="F102" s="36" t="s">
        <v>3509</v>
      </c>
      <c r="G102" s="36" t="s">
        <v>3513</v>
      </c>
    </row>
    <row r="103" ht="15.75" customHeight="1" spans="6:7">
      <c r="F103" s="36" t="s">
        <v>3509</v>
      </c>
      <c r="G103" s="36" t="s">
        <v>3514</v>
      </c>
    </row>
    <row r="104" ht="15.75" customHeight="1" spans="6:7">
      <c r="F104" s="36" t="s">
        <v>3509</v>
      </c>
      <c r="G104" s="36" t="s">
        <v>3515</v>
      </c>
    </row>
    <row r="105" ht="15.75" customHeight="1" spans="6:7">
      <c r="F105" s="36" t="s">
        <v>3509</v>
      </c>
      <c r="G105" s="36" t="s">
        <v>3509</v>
      </c>
    </row>
    <row r="106" ht="15.75" customHeight="1" spans="6:7">
      <c r="F106" s="36" t="s">
        <v>3509</v>
      </c>
      <c r="G106" s="36" t="s">
        <v>3516</v>
      </c>
    </row>
    <row r="107" ht="15.75" customHeight="1" spans="6:7">
      <c r="F107" s="36" t="s">
        <v>3509</v>
      </c>
      <c r="G107" s="36" t="s">
        <v>3517</v>
      </c>
    </row>
    <row r="108" ht="15.75" customHeight="1" spans="6:7">
      <c r="F108" s="36" t="s">
        <v>3509</v>
      </c>
      <c r="G108" s="36" t="s">
        <v>3518</v>
      </c>
    </row>
    <row r="109" ht="15.75" customHeight="1" spans="6:7">
      <c r="F109" s="36" t="s">
        <v>3509</v>
      </c>
      <c r="G109" s="36" t="s">
        <v>3519</v>
      </c>
    </row>
    <row r="110" ht="15.75" customHeight="1" spans="6:7">
      <c r="F110" s="36" t="s">
        <v>3509</v>
      </c>
      <c r="G110" s="36" t="s">
        <v>3520</v>
      </c>
    </row>
    <row r="111" ht="15.75" customHeight="1" spans="6:7">
      <c r="F111" s="36" t="s">
        <v>3509</v>
      </c>
      <c r="G111" s="36" t="s">
        <v>3521</v>
      </c>
    </row>
    <row r="112" ht="15.75" customHeight="1" spans="6:7">
      <c r="F112" s="36" t="s">
        <v>3509</v>
      </c>
      <c r="G112" s="36" t="s">
        <v>3522</v>
      </c>
    </row>
    <row r="113" ht="15.75" customHeight="1" spans="6:7">
      <c r="F113" s="36" t="s">
        <v>3509</v>
      </c>
      <c r="G113" s="36" t="s">
        <v>3523</v>
      </c>
    </row>
    <row r="114" ht="15.75" customHeight="1" spans="6:7">
      <c r="F114" s="36" t="s">
        <v>3509</v>
      </c>
      <c r="G114" s="36" t="s">
        <v>3524</v>
      </c>
    </row>
    <row r="115" ht="15.75" customHeight="1" spans="6:7">
      <c r="F115" s="36" t="s">
        <v>3509</v>
      </c>
      <c r="G115" s="36" t="s">
        <v>3525</v>
      </c>
    </row>
    <row r="116" ht="15.75" customHeight="1" spans="6:7">
      <c r="F116" s="36" t="s">
        <v>3509</v>
      </c>
      <c r="G116" s="36" t="s">
        <v>3526</v>
      </c>
    </row>
    <row r="117" ht="15.75" customHeight="1" spans="6:7">
      <c r="F117" s="36" t="s">
        <v>3509</v>
      </c>
      <c r="G117" s="36" t="s">
        <v>3527</v>
      </c>
    </row>
    <row r="118" ht="15.75" customHeight="1" spans="6:7">
      <c r="F118" s="36" t="s">
        <v>3509</v>
      </c>
      <c r="G118" s="36" t="s">
        <v>3528</v>
      </c>
    </row>
    <row r="119" ht="15.75" customHeight="1" spans="6:7">
      <c r="F119" s="36" t="s">
        <v>3509</v>
      </c>
      <c r="G119" s="36" t="s">
        <v>3529</v>
      </c>
    </row>
    <row r="120" ht="15.75" customHeight="1" spans="6:7">
      <c r="F120" s="36" t="s">
        <v>3509</v>
      </c>
      <c r="G120" s="36" t="s">
        <v>3530</v>
      </c>
    </row>
    <row r="121" ht="15.75" customHeight="1" spans="6:7">
      <c r="F121" s="36" t="s">
        <v>3509</v>
      </c>
      <c r="G121" s="36" t="s">
        <v>3531</v>
      </c>
    </row>
    <row r="122" ht="15.75" customHeight="1" spans="6:7">
      <c r="F122" s="36" t="s">
        <v>3509</v>
      </c>
      <c r="G122" s="36" t="s">
        <v>3532</v>
      </c>
    </row>
    <row r="123" ht="15.75" customHeight="1" spans="6:7">
      <c r="F123" s="36" t="s">
        <v>3509</v>
      </c>
      <c r="G123" s="36" t="s">
        <v>3533</v>
      </c>
    </row>
    <row r="124" ht="15.75" customHeight="1" spans="6:7">
      <c r="F124" s="36" t="s">
        <v>3509</v>
      </c>
      <c r="G124" s="36" t="s">
        <v>3534</v>
      </c>
    </row>
    <row r="125" ht="15.75" customHeight="1" spans="6:7">
      <c r="F125" s="36" t="s">
        <v>3509</v>
      </c>
      <c r="G125" s="36" t="s">
        <v>3535</v>
      </c>
    </row>
    <row r="126" ht="15.75" customHeight="1" spans="6:7">
      <c r="F126" s="36" t="s">
        <v>3509</v>
      </c>
      <c r="G126" s="36" t="s">
        <v>3536</v>
      </c>
    </row>
    <row r="127" ht="15.75" customHeight="1" spans="6:7">
      <c r="F127" s="36" t="s">
        <v>3509</v>
      </c>
      <c r="G127" s="36" t="s">
        <v>3537</v>
      </c>
    </row>
    <row r="128" ht="15.75" customHeight="1" spans="6:7">
      <c r="F128" s="36" t="s">
        <v>3509</v>
      </c>
      <c r="G128" s="36" t="s">
        <v>3538</v>
      </c>
    </row>
    <row r="129" ht="15.75" customHeight="1" spans="6:7">
      <c r="F129" s="36" t="s">
        <v>3509</v>
      </c>
      <c r="G129" s="36" t="s">
        <v>3539</v>
      </c>
    </row>
    <row r="130" ht="15.75" customHeight="1" spans="6:7">
      <c r="F130" s="36" t="s">
        <v>3509</v>
      </c>
      <c r="G130" s="36" t="s">
        <v>3540</v>
      </c>
    </row>
    <row r="131" ht="15.75" customHeight="1" spans="6:7">
      <c r="F131" s="36" t="s">
        <v>3509</v>
      </c>
      <c r="G131" s="36" t="s">
        <v>3541</v>
      </c>
    </row>
    <row r="132" ht="15.75" customHeight="1" spans="6:7">
      <c r="F132" s="36" t="s">
        <v>3509</v>
      </c>
      <c r="G132" s="36" t="s">
        <v>3542</v>
      </c>
    </row>
    <row r="133" ht="15.75" customHeight="1" spans="6:7">
      <c r="F133" s="36" t="s">
        <v>3509</v>
      </c>
      <c r="G133" s="36" t="s">
        <v>3543</v>
      </c>
    </row>
    <row r="134" ht="15.75" customHeight="1" spans="6:7">
      <c r="F134" s="36" t="s">
        <v>3509</v>
      </c>
      <c r="G134" s="36" t="s">
        <v>3544</v>
      </c>
    </row>
    <row r="135" ht="15.75" customHeight="1" spans="6:7">
      <c r="F135" s="36" t="s">
        <v>3509</v>
      </c>
      <c r="G135" s="36" t="s">
        <v>3545</v>
      </c>
    </row>
    <row r="136" ht="15.75" customHeight="1" spans="6:7">
      <c r="F136" s="36" t="s">
        <v>3509</v>
      </c>
      <c r="G136" s="36" t="s">
        <v>3546</v>
      </c>
    </row>
    <row r="137" ht="15.75" customHeight="1" spans="6:7">
      <c r="F137" s="36" t="s">
        <v>3509</v>
      </c>
      <c r="G137" s="36" t="s">
        <v>3547</v>
      </c>
    </row>
    <row r="138" ht="15.75" customHeight="1" spans="6:7">
      <c r="F138" s="36" t="s">
        <v>3509</v>
      </c>
      <c r="G138" s="36" t="s">
        <v>3548</v>
      </c>
    </row>
    <row r="139" ht="15.75" customHeight="1" spans="6:7">
      <c r="F139" s="36" t="s">
        <v>3509</v>
      </c>
      <c r="G139" s="36" t="s">
        <v>3549</v>
      </c>
    </row>
    <row r="140" ht="15.75" customHeight="1" spans="6:7">
      <c r="F140" s="36" t="s">
        <v>3509</v>
      </c>
      <c r="G140" s="36" t="s">
        <v>3550</v>
      </c>
    </row>
    <row r="141" ht="15.75" customHeight="1" spans="6:7">
      <c r="F141" s="36" t="s">
        <v>3509</v>
      </c>
      <c r="G141" s="36" t="s">
        <v>3551</v>
      </c>
    </row>
    <row r="142" ht="15.75" customHeight="1" spans="6:7">
      <c r="F142" s="36" t="s">
        <v>3509</v>
      </c>
      <c r="G142" s="36" t="s">
        <v>3552</v>
      </c>
    </row>
    <row r="143" ht="15.75" customHeight="1" spans="6:7">
      <c r="F143" s="36" t="s">
        <v>3509</v>
      </c>
      <c r="G143" s="36" t="s">
        <v>3553</v>
      </c>
    </row>
    <row r="144" ht="15.75" customHeight="1" spans="6:7">
      <c r="F144" s="36" t="s">
        <v>3509</v>
      </c>
      <c r="G144" s="36" t="s">
        <v>3554</v>
      </c>
    </row>
    <row r="145" ht="15.75" customHeight="1" spans="6:7">
      <c r="F145" s="36" t="s">
        <v>3509</v>
      </c>
      <c r="G145" s="36" t="s">
        <v>3555</v>
      </c>
    </row>
    <row r="146" ht="15.75" customHeight="1" spans="6:7">
      <c r="F146" s="36" t="s">
        <v>3509</v>
      </c>
      <c r="G146" s="36" t="s">
        <v>3556</v>
      </c>
    </row>
    <row r="147" ht="15.75" customHeight="1" spans="6:7">
      <c r="F147" s="36" t="s">
        <v>3509</v>
      </c>
      <c r="G147" s="36" t="s">
        <v>3557</v>
      </c>
    </row>
    <row r="148" ht="15.75" customHeight="1" spans="6:7">
      <c r="F148" s="36" t="s">
        <v>3509</v>
      </c>
      <c r="G148" s="36" t="s">
        <v>3558</v>
      </c>
    </row>
    <row r="149" ht="15.75" customHeight="1" spans="6:7">
      <c r="F149" s="36" t="s">
        <v>3509</v>
      </c>
      <c r="G149" s="36" t="s">
        <v>3559</v>
      </c>
    </row>
    <row r="150" ht="15.75" customHeight="1" spans="6:7">
      <c r="F150" s="36" t="s">
        <v>3509</v>
      </c>
      <c r="G150" s="36" t="s">
        <v>3560</v>
      </c>
    </row>
    <row r="151" ht="15.75" customHeight="1" spans="6:7">
      <c r="F151" s="36" t="s">
        <v>3509</v>
      </c>
      <c r="G151" s="36" t="s">
        <v>3561</v>
      </c>
    </row>
    <row r="152" ht="15.75" customHeight="1" spans="6:7">
      <c r="F152" s="36" t="s">
        <v>3509</v>
      </c>
      <c r="G152" s="36" t="s">
        <v>3562</v>
      </c>
    </row>
    <row r="153" ht="15.75" customHeight="1" spans="6:7">
      <c r="F153" s="36" t="s">
        <v>3509</v>
      </c>
      <c r="G153" s="36" t="s">
        <v>3563</v>
      </c>
    </row>
    <row r="154" ht="15.75" customHeight="1" spans="6:7">
      <c r="F154" s="36" t="s">
        <v>3509</v>
      </c>
      <c r="G154" s="36" t="s">
        <v>3564</v>
      </c>
    </row>
    <row r="155" ht="15.75" customHeight="1" spans="6:7">
      <c r="F155" s="36" t="s">
        <v>3509</v>
      </c>
      <c r="G155" s="36" t="s">
        <v>3565</v>
      </c>
    </row>
    <row r="156" ht="15.75" customHeight="1" spans="6:7">
      <c r="F156" s="36" t="s">
        <v>3509</v>
      </c>
      <c r="G156" s="36" t="s">
        <v>3566</v>
      </c>
    </row>
    <row r="157" ht="15.75" customHeight="1" spans="6:7">
      <c r="F157" s="36" t="s">
        <v>3509</v>
      </c>
      <c r="G157" s="36" t="s">
        <v>3567</v>
      </c>
    </row>
    <row r="158" ht="15.75" customHeight="1" spans="6:7">
      <c r="F158" s="36" t="s">
        <v>3509</v>
      </c>
      <c r="G158" s="37" t="s">
        <v>3568</v>
      </c>
    </row>
    <row r="159" ht="15.75" customHeight="1" spans="6:7">
      <c r="F159" s="36" t="s">
        <v>3509</v>
      </c>
      <c r="G159" s="36" t="s">
        <v>3569</v>
      </c>
    </row>
    <row r="160" ht="15.75" customHeight="1" spans="6:7">
      <c r="F160" s="36" t="s">
        <v>3509</v>
      </c>
      <c r="G160" s="36" t="s">
        <v>3570</v>
      </c>
    </row>
    <row r="161" ht="15.75" customHeight="1" spans="6:7">
      <c r="F161" s="36" t="s">
        <v>3509</v>
      </c>
      <c r="G161" s="36" t="s">
        <v>3571</v>
      </c>
    </row>
    <row r="162" ht="15.75" customHeight="1" spans="6:7">
      <c r="F162" s="36" t="s">
        <v>3509</v>
      </c>
      <c r="G162" s="36" t="s">
        <v>3572</v>
      </c>
    </row>
    <row r="163" ht="15.75" customHeight="1" spans="6:7">
      <c r="F163" s="36" t="s">
        <v>3509</v>
      </c>
      <c r="G163" s="36" t="s">
        <v>3573</v>
      </c>
    </row>
    <row r="164" ht="15.75" customHeight="1" spans="6:7">
      <c r="F164" s="36" t="s">
        <v>3509</v>
      </c>
      <c r="G164" s="36" t="s">
        <v>3574</v>
      </c>
    </row>
    <row r="165" ht="15.75" customHeight="1" spans="6:7">
      <c r="F165" s="36" t="s">
        <v>3509</v>
      </c>
      <c r="G165" s="36" t="s">
        <v>3575</v>
      </c>
    </row>
    <row r="166" ht="15.75" customHeight="1" spans="6:7">
      <c r="F166" s="36" t="s">
        <v>3509</v>
      </c>
      <c r="G166" s="36" t="s">
        <v>3576</v>
      </c>
    </row>
    <row r="167" ht="15.75" customHeight="1" spans="6:7">
      <c r="F167" s="36" t="s">
        <v>3509</v>
      </c>
      <c r="G167" s="36" t="s">
        <v>3577</v>
      </c>
    </row>
    <row r="168" ht="15.75" customHeight="1" spans="6:7">
      <c r="F168" s="36" t="s">
        <v>3509</v>
      </c>
      <c r="G168" s="36" t="s">
        <v>3578</v>
      </c>
    </row>
    <row r="169" ht="15.75" customHeight="1" spans="6:7">
      <c r="F169" s="36" t="s">
        <v>3509</v>
      </c>
      <c r="G169" s="36" t="s">
        <v>3579</v>
      </c>
    </row>
    <row r="170" ht="15.75" customHeight="1" spans="6:7">
      <c r="F170" s="36" t="s">
        <v>3580</v>
      </c>
      <c r="G170" s="36" t="s">
        <v>117</v>
      </c>
    </row>
    <row r="171" ht="15.75" customHeight="1" spans="6:7">
      <c r="F171" s="36" t="s">
        <v>3580</v>
      </c>
      <c r="G171" s="36" t="s">
        <v>3581</v>
      </c>
    </row>
    <row r="172" ht="15.75" customHeight="1" spans="6:7">
      <c r="F172" s="36" t="s">
        <v>3580</v>
      </c>
      <c r="G172" s="36" t="s">
        <v>3582</v>
      </c>
    </row>
    <row r="173" ht="15.75" customHeight="1" spans="6:7">
      <c r="F173" s="36" t="s">
        <v>3580</v>
      </c>
      <c r="G173" s="36" t="s">
        <v>3583</v>
      </c>
    </row>
    <row r="174" ht="15.75" customHeight="1" spans="6:7">
      <c r="F174" s="36" t="s">
        <v>3580</v>
      </c>
      <c r="G174" s="36" t="s">
        <v>3584</v>
      </c>
    </row>
    <row r="175" ht="15.75" customHeight="1" spans="6:7">
      <c r="F175" s="36" t="s">
        <v>3580</v>
      </c>
      <c r="G175" s="36" t="s">
        <v>304</v>
      </c>
    </row>
    <row r="176" ht="15.75" customHeight="1" spans="6:7">
      <c r="F176" s="36" t="s">
        <v>3580</v>
      </c>
      <c r="G176" s="36" t="s">
        <v>3585</v>
      </c>
    </row>
    <row r="177" ht="15.75" customHeight="1" spans="6:7">
      <c r="F177" s="36" t="s">
        <v>3580</v>
      </c>
      <c r="G177" s="36" t="s">
        <v>3586</v>
      </c>
    </row>
    <row r="178" ht="15.75" customHeight="1" spans="6:7">
      <c r="F178" s="36" t="s">
        <v>3580</v>
      </c>
      <c r="G178" s="36" t="s">
        <v>3587</v>
      </c>
    </row>
    <row r="179" ht="15.75" customHeight="1" spans="6:7">
      <c r="F179" s="36" t="s">
        <v>3580</v>
      </c>
      <c r="G179" s="36" t="s">
        <v>3588</v>
      </c>
    </row>
    <row r="180" ht="15.75" customHeight="1" spans="6:7">
      <c r="F180" s="36" t="s">
        <v>3580</v>
      </c>
      <c r="G180" s="36" t="s">
        <v>3589</v>
      </c>
    </row>
    <row r="181" ht="15.75" customHeight="1" spans="6:7">
      <c r="F181" s="36" t="s">
        <v>3580</v>
      </c>
      <c r="G181" s="36" t="s">
        <v>3590</v>
      </c>
    </row>
    <row r="182" ht="15.75" customHeight="1" spans="6:7">
      <c r="F182" s="36" t="s">
        <v>3580</v>
      </c>
      <c r="G182" s="36" t="s">
        <v>3591</v>
      </c>
    </row>
    <row r="183" ht="15.75" customHeight="1" spans="6:7">
      <c r="F183" s="36" t="s">
        <v>3580</v>
      </c>
      <c r="G183" s="36" t="s">
        <v>3592</v>
      </c>
    </row>
    <row r="184" ht="15.75" customHeight="1" spans="6:7">
      <c r="F184" s="36" t="s">
        <v>3580</v>
      </c>
      <c r="G184" s="36" t="s">
        <v>3593</v>
      </c>
    </row>
    <row r="185" ht="15.75" customHeight="1" spans="6:7">
      <c r="F185" s="36" t="s">
        <v>3580</v>
      </c>
      <c r="G185" s="36" t="s">
        <v>3594</v>
      </c>
    </row>
    <row r="186" ht="15.75" customHeight="1" spans="6:7">
      <c r="F186" s="36" t="s">
        <v>3580</v>
      </c>
      <c r="G186" s="36" t="s">
        <v>3595</v>
      </c>
    </row>
    <row r="187" ht="15.75" customHeight="1" spans="6:7">
      <c r="F187" s="36" t="s">
        <v>3580</v>
      </c>
      <c r="G187" s="36" t="s">
        <v>3596</v>
      </c>
    </row>
    <row r="188" ht="15.75" customHeight="1" spans="6:7">
      <c r="F188" s="36" t="s">
        <v>3580</v>
      </c>
      <c r="G188" s="36" t="s">
        <v>3597</v>
      </c>
    </row>
    <row r="189" ht="15.75" customHeight="1" spans="6:7">
      <c r="F189" s="36" t="s">
        <v>3580</v>
      </c>
      <c r="G189" s="36" t="s">
        <v>3598</v>
      </c>
    </row>
    <row r="190" ht="15.75" customHeight="1" spans="6:7">
      <c r="F190" s="36" t="s">
        <v>3580</v>
      </c>
      <c r="G190" s="36" t="s">
        <v>3599</v>
      </c>
    </row>
    <row r="191" ht="15.75" customHeight="1" spans="6:7">
      <c r="F191" s="36" t="s">
        <v>3580</v>
      </c>
      <c r="G191" s="36" t="s">
        <v>3580</v>
      </c>
    </row>
    <row r="192" ht="15.75" customHeight="1" spans="6:7">
      <c r="F192" s="36" t="s">
        <v>3580</v>
      </c>
      <c r="G192" s="36" t="s">
        <v>3600</v>
      </c>
    </row>
    <row r="193" ht="15.75" customHeight="1" spans="6:7">
      <c r="F193" s="36" t="s">
        <v>3580</v>
      </c>
      <c r="G193" s="36" t="s">
        <v>3601</v>
      </c>
    </row>
    <row r="194" ht="15.75" customHeight="1" spans="6:7">
      <c r="F194" s="36" t="s">
        <v>3580</v>
      </c>
      <c r="G194" s="36" t="s">
        <v>3602</v>
      </c>
    </row>
    <row r="195" ht="15.75" customHeight="1" spans="6:7">
      <c r="F195" s="36" t="s">
        <v>3580</v>
      </c>
      <c r="G195" s="36" t="s">
        <v>3603</v>
      </c>
    </row>
    <row r="196" ht="15.75" customHeight="1" spans="6:7">
      <c r="F196" s="36" t="s">
        <v>3580</v>
      </c>
      <c r="G196" s="36" t="s">
        <v>3604</v>
      </c>
    </row>
    <row r="197" ht="15.75" customHeight="1" spans="6:7">
      <c r="F197" s="36" t="s">
        <v>3580</v>
      </c>
      <c r="G197" s="36" t="s">
        <v>3605</v>
      </c>
    </row>
    <row r="198" ht="15.75" customHeight="1" spans="6:7">
      <c r="F198" s="36" t="s">
        <v>3580</v>
      </c>
      <c r="G198" s="36" t="s">
        <v>3606</v>
      </c>
    </row>
    <row r="199" ht="15.75" customHeight="1" spans="6:7">
      <c r="F199" s="36" t="s">
        <v>3580</v>
      </c>
      <c r="G199" s="36" t="s">
        <v>3607</v>
      </c>
    </row>
    <row r="200" ht="15.75" customHeight="1" spans="6:7">
      <c r="F200" s="36" t="s">
        <v>3580</v>
      </c>
      <c r="G200" s="36" t="s">
        <v>3608</v>
      </c>
    </row>
    <row r="201" ht="15.75" customHeight="1" spans="6:7">
      <c r="F201" s="36" t="s">
        <v>3580</v>
      </c>
      <c r="G201" s="36" t="s">
        <v>3609</v>
      </c>
    </row>
    <row r="202" ht="15.75" customHeight="1" spans="6:7">
      <c r="F202" s="36" t="s">
        <v>3580</v>
      </c>
      <c r="G202" s="36" t="s">
        <v>3610</v>
      </c>
    </row>
    <row r="203" ht="15.75" customHeight="1" spans="6:7">
      <c r="F203" s="36" t="s">
        <v>3580</v>
      </c>
      <c r="G203" s="36" t="s">
        <v>3611</v>
      </c>
    </row>
    <row r="204" ht="15.75" customHeight="1" spans="6:7">
      <c r="F204" s="36" t="s">
        <v>3580</v>
      </c>
      <c r="G204" s="36" t="s">
        <v>3612</v>
      </c>
    </row>
    <row r="205" ht="15.75" customHeight="1" spans="6:7">
      <c r="F205" s="36" t="s">
        <v>3580</v>
      </c>
      <c r="G205" s="36" t="s">
        <v>3613</v>
      </c>
    </row>
    <row r="206" ht="15.75" customHeight="1" spans="6:7">
      <c r="F206" s="36" t="s">
        <v>3580</v>
      </c>
      <c r="G206" s="36" t="s">
        <v>3614</v>
      </c>
    </row>
    <row r="207" ht="15.75" customHeight="1" spans="6:7">
      <c r="F207" s="36" t="s">
        <v>3580</v>
      </c>
      <c r="G207" s="36" t="s">
        <v>3615</v>
      </c>
    </row>
    <row r="208" ht="15.75" customHeight="1" spans="6:7">
      <c r="F208" s="36" t="s">
        <v>3580</v>
      </c>
      <c r="G208" s="36" t="s">
        <v>3616</v>
      </c>
    </row>
    <row r="209" ht="15.75" customHeight="1" spans="6:7">
      <c r="F209" s="36" t="s">
        <v>3580</v>
      </c>
      <c r="G209" s="36" t="s">
        <v>3617</v>
      </c>
    </row>
    <row r="210" ht="15.75" customHeight="1" spans="6:7">
      <c r="F210" s="36" t="s">
        <v>3580</v>
      </c>
      <c r="G210" s="36" t="s">
        <v>3618</v>
      </c>
    </row>
    <row r="211" ht="15.75" customHeight="1" spans="6:7">
      <c r="F211" s="36" t="s">
        <v>3580</v>
      </c>
      <c r="G211" s="36" t="s">
        <v>3619</v>
      </c>
    </row>
    <row r="212" ht="15.75" customHeight="1" spans="6:7">
      <c r="F212" s="36" t="s">
        <v>3580</v>
      </c>
      <c r="G212" s="36" t="s">
        <v>3620</v>
      </c>
    </row>
    <row r="213" ht="15.75" customHeight="1" spans="6:7">
      <c r="F213" s="36" t="s">
        <v>3580</v>
      </c>
      <c r="G213" s="36" t="s">
        <v>3621</v>
      </c>
    </row>
    <row r="214" ht="15.75" customHeight="1" spans="6:7">
      <c r="F214" s="36" t="s">
        <v>3580</v>
      </c>
      <c r="G214" s="36" t="s">
        <v>3622</v>
      </c>
    </row>
    <row r="215" ht="15.75" customHeight="1" spans="6:7">
      <c r="F215" s="36" t="s">
        <v>3580</v>
      </c>
      <c r="G215" s="36" t="s">
        <v>3623</v>
      </c>
    </row>
    <row r="216" ht="15.75" customHeight="1" spans="6:7">
      <c r="F216" s="36" t="s">
        <v>3580</v>
      </c>
      <c r="G216" s="36" t="s">
        <v>3624</v>
      </c>
    </row>
    <row r="217" ht="15.75" customHeight="1" spans="6:7">
      <c r="F217" s="36" t="s">
        <v>3580</v>
      </c>
      <c r="G217" s="36" t="s">
        <v>3625</v>
      </c>
    </row>
    <row r="218" ht="15.75" customHeight="1" spans="6:7">
      <c r="F218" s="36" t="s">
        <v>3580</v>
      </c>
      <c r="G218" s="36" t="s">
        <v>3626</v>
      </c>
    </row>
    <row r="219" ht="15.75" customHeight="1" spans="6:7">
      <c r="F219" s="36" t="s">
        <v>3580</v>
      </c>
      <c r="G219" s="36" t="s">
        <v>3627</v>
      </c>
    </row>
    <row r="220" ht="15.75" customHeight="1" spans="6:7">
      <c r="F220" s="36" t="s">
        <v>3580</v>
      </c>
      <c r="G220" s="36" t="s">
        <v>3628</v>
      </c>
    </row>
    <row r="221" ht="15.75" customHeight="1" spans="6:7">
      <c r="F221" s="36" t="s">
        <v>3580</v>
      </c>
      <c r="G221" s="36" t="s">
        <v>3629</v>
      </c>
    </row>
    <row r="222" ht="15.75" customHeight="1" spans="6:7">
      <c r="F222" s="36" t="s">
        <v>3580</v>
      </c>
      <c r="G222" s="36" t="s">
        <v>3630</v>
      </c>
    </row>
    <row r="223" ht="15.75" customHeight="1" spans="6:7">
      <c r="F223" s="36" t="s">
        <v>3580</v>
      </c>
      <c r="G223" s="36" t="s">
        <v>3631</v>
      </c>
    </row>
    <row r="224" ht="15.75" customHeight="1" spans="6:7">
      <c r="F224" s="36" t="s">
        <v>3580</v>
      </c>
      <c r="G224" s="36" t="s">
        <v>3632</v>
      </c>
    </row>
    <row r="225" ht="15.75" customHeight="1" spans="6:7">
      <c r="F225" s="36" t="s">
        <v>3580</v>
      </c>
      <c r="G225" s="36" t="s">
        <v>3633</v>
      </c>
    </row>
    <row r="226" ht="15.75" customHeight="1" spans="6:7">
      <c r="F226" s="36" t="s">
        <v>3580</v>
      </c>
      <c r="G226" s="36" t="s">
        <v>3634</v>
      </c>
    </row>
    <row r="227" ht="15.75" customHeight="1" spans="6:7">
      <c r="F227" s="36" t="s">
        <v>3580</v>
      </c>
      <c r="G227" s="36" t="s">
        <v>3635</v>
      </c>
    </row>
    <row r="228" ht="15.75" customHeight="1" spans="6:7">
      <c r="F228" s="36" t="s">
        <v>3580</v>
      </c>
      <c r="G228" s="36" t="s">
        <v>3636</v>
      </c>
    </row>
    <row r="229" ht="15.75" customHeight="1" spans="6:7">
      <c r="F229" s="36" t="s">
        <v>3580</v>
      </c>
      <c r="G229" s="36" t="s">
        <v>3637</v>
      </c>
    </row>
    <row r="230" ht="15.75" customHeight="1" spans="6:7">
      <c r="F230" s="36" t="s">
        <v>3580</v>
      </c>
      <c r="G230" s="36" t="s">
        <v>3638</v>
      </c>
    </row>
    <row r="231" ht="15.75" customHeight="1" spans="6:7">
      <c r="F231" s="36" t="s">
        <v>3580</v>
      </c>
      <c r="G231" s="36" t="s">
        <v>3639</v>
      </c>
    </row>
    <row r="232" ht="15.75" customHeight="1" spans="6:7">
      <c r="F232" s="36" t="s">
        <v>3580</v>
      </c>
      <c r="G232" s="36" t="s">
        <v>3640</v>
      </c>
    </row>
    <row r="233" ht="15.75" customHeight="1" spans="6:7">
      <c r="F233" s="36" t="s">
        <v>3580</v>
      </c>
      <c r="G233" s="36" t="s">
        <v>3641</v>
      </c>
    </row>
    <row r="234" ht="15.75" customHeight="1" spans="6:7">
      <c r="F234" s="36" t="s">
        <v>3580</v>
      </c>
      <c r="G234" s="36" t="s">
        <v>3642</v>
      </c>
    </row>
    <row r="235" ht="15.75" customHeight="1" spans="6:7">
      <c r="F235" s="36" t="s">
        <v>3580</v>
      </c>
      <c r="G235" s="36" t="s">
        <v>3643</v>
      </c>
    </row>
    <row r="236" ht="15.75" customHeight="1" spans="6:7">
      <c r="F236" s="36" t="s">
        <v>3580</v>
      </c>
      <c r="G236" s="36" t="s">
        <v>3644</v>
      </c>
    </row>
    <row r="237" ht="15.75" customHeight="1" spans="6:7">
      <c r="F237" s="36" t="s">
        <v>3580</v>
      </c>
      <c r="G237" s="36" t="s">
        <v>3645</v>
      </c>
    </row>
    <row r="238" ht="15.75" customHeight="1" spans="6:7">
      <c r="F238" s="36" t="s">
        <v>3580</v>
      </c>
      <c r="G238" s="36" t="s">
        <v>3646</v>
      </c>
    </row>
    <row r="239" ht="15.75" customHeight="1" spans="6:7">
      <c r="F239" s="36" t="s">
        <v>3580</v>
      </c>
      <c r="G239" s="36" t="s">
        <v>3647</v>
      </c>
    </row>
    <row r="240" ht="15.75" customHeight="1" spans="6:7">
      <c r="F240" s="36" t="s">
        <v>3580</v>
      </c>
      <c r="G240" s="36" t="s">
        <v>3648</v>
      </c>
    </row>
    <row r="241" ht="15.75" customHeight="1" spans="6:7">
      <c r="F241" s="36" t="s">
        <v>3580</v>
      </c>
      <c r="G241" s="36" t="s">
        <v>3649</v>
      </c>
    </row>
    <row r="242" ht="15.75" customHeight="1" spans="6:7">
      <c r="F242" s="36" t="s">
        <v>3580</v>
      </c>
      <c r="G242" s="36" t="s">
        <v>3650</v>
      </c>
    </row>
    <row r="243" ht="15.75" customHeight="1" spans="6:7">
      <c r="F243" s="36" t="s">
        <v>3580</v>
      </c>
      <c r="G243" s="36" t="s">
        <v>3651</v>
      </c>
    </row>
    <row r="244" ht="15.75" customHeight="1" spans="6:7">
      <c r="F244" s="36" t="s">
        <v>3580</v>
      </c>
      <c r="G244" s="36" t="s">
        <v>3652</v>
      </c>
    </row>
    <row r="245" ht="15.75" customHeight="1" spans="6:7">
      <c r="F245" s="36" t="s">
        <v>3580</v>
      </c>
      <c r="G245" s="36" t="s">
        <v>3653</v>
      </c>
    </row>
    <row r="246" ht="15.75" customHeight="1" spans="6:7">
      <c r="F246" s="36" t="s">
        <v>3580</v>
      </c>
      <c r="G246" s="36" t="s">
        <v>3654</v>
      </c>
    </row>
    <row r="247" ht="15.75" customHeight="1" spans="6:7">
      <c r="F247" s="36" t="s">
        <v>3580</v>
      </c>
      <c r="G247" s="36" t="s">
        <v>3655</v>
      </c>
    </row>
    <row r="248" ht="15.75" customHeight="1" spans="6:7">
      <c r="F248" s="36" t="s">
        <v>3580</v>
      </c>
      <c r="G248" s="36" t="s">
        <v>3656</v>
      </c>
    </row>
    <row r="249" ht="15.75" customHeight="1" spans="6:7">
      <c r="F249" s="36" t="s">
        <v>3580</v>
      </c>
      <c r="G249" s="36" t="s">
        <v>3657</v>
      </c>
    </row>
    <row r="250" ht="15.75" customHeight="1" spans="6:7">
      <c r="F250" s="36" t="s">
        <v>3580</v>
      </c>
      <c r="G250" s="36" t="s">
        <v>3658</v>
      </c>
    </row>
    <row r="251" ht="15.75" customHeight="1" spans="6:7">
      <c r="F251" s="36" t="s">
        <v>3580</v>
      </c>
      <c r="G251" s="36" t="s">
        <v>3659</v>
      </c>
    </row>
    <row r="252" ht="15.75" customHeight="1" spans="6:7">
      <c r="F252" s="36" t="s">
        <v>3580</v>
      </c>
      <c r="G252" s="36" t="s">
        <v>3660</v>
      </c>
    </row>
    <row r="253" ht="15.75" customHeight="1" spans="6:7">
      <c r="F253" s="36" t="s">
        <v>3580</v>
      </c>
      <c r="G253" s="36" t="s">
        <v>3661</v>
      </c>
    </row>
    <row r="254" ht="15.75" customHeight="1" spans="6:7">
      <c r="F254" s="36" t="s">
        <v>3580</v>
      </c>
      <c r="G254" s="36" t="s">
        <v>3662</v>
      </c>
    </row>
    <row r="255" ht="15.75" customHeight="1" spans="6:7">
      <c r="F255" s="36" t="s">
        <v>3580</v>
      </c>
      <c r="G255" s="36" t="s">
        <v>3663</v>
      </c>
    </row>
    <row r="256" ht="15.75" customHeight="1" spans="6:7">
      <c r="F256" s="36" t="s">
        <v>3580</v>
      </c>
      <c r="G256" s="36" t="s">
        <v>3664</v>
      </c>
    </row>
    <row r="257" ht="15.75" customHeight="1" spans="6:7">
      <c r="F257" s="36" t="s">
        <v>3580</v>
      </c>
      <c r="G257" s="36" t="s">
        <v>3665</v>
      </c>
    </row>
    <row r="258" ht="15.75" customHeight="1" spans="6:7">
      <c r="F258" s="36" t="s">
        <v>3580</v>
      </c>
      <c r="G258" s="36" t="s">
        <v>3666</v>
      </c>
    </row>
    <row r="259" ht="15.75" customHeight="1" spans="6:7">
      <c r="F259" s="36" t="s">
        <v>3580</v>
      </c>
      <c r="G259" s="36" t="s">
        <v>3667</v>
      </c>
    </row>
    <row r="260" ht="15.75" customHeight="1" spans="6:7">
      <c r="F260" s="36" t="s">
        <v>3580</v>
      </c>
      <c r="G260" s="36" t="s">
        <v>3668</v>
      </c>
    </row>
    <row r="261" ht="15.75" customHeight="1" spans="6:7">
      <c r="F261" s="36" t="s">
        <v>3580</v>
      </c>
      <c r="G261" s="36" t="s">
        <v>3669</v>
      </c>
    </row>
    <row r="262" ht="15.75" customHeight="1" spans="6:7">
      <c r="F262" s="36" t="s">
        <v>3580</v>
      </c>
      <c r="G262" s="36" t="s">
        <v>3670</v>
      </c>
    </row>
    <row r="263" ht="15.75" customHeight="1" spans="6:7">
      <c r="F263" s="36" t="s">
        <v>3580</v>
      </c>
      <c r="G263" s="36" t="s">
        <v>3671</v>
      </c>
    </row>
    <row r="264" ht="15.75" customHeight="1" spans="6:7">
      <c r="F264" s="36" t="s">
        <v>3580</v>
      </c>
      <c r="G264" s="36" t="s">
        <v>3672</v>
      </c>
    </row>
    <row r="265" ht="15.75" customHeight="1" spans="6:7">
      <c r="F265" s="36" t="s">
        <v>3580</v>
      </c>
      <c r="G265" s="36" t="s">
        <v>3673</v>
      </c>
    </row>
    <row r="266" ht="15.75" customHeight="1" spans="6:7">
      <c r="F266" s="36" t="s">
        <v>3580</v>
      </c>
      <c r="G266" s="36" t="s">
        <v>3674</v>
      </c>
    </row>
    <row r="267" ht="15.75" customHeight="1" spans="6:7">
      <c r="F267" s="36" t="s">
        <v>3580</v>
      </c>
      <c r="G267" s="36" t="s">
        <v>3675</v>
      </c>
    </row>
    <row r="268" ht="15.75" customHeight="1" spans="6:7">
      <c r="F268" s="36" t="s">
        <v>3580</v>
      </c>
      <c r="G268" s="36" t="s">
        <v>3676</v>
      </c>
    </row>
    <row r="269" ht="15.75" customHeight="1" spans="6:7">
      <c r="F269" s="36" t="s">
        <v>3580</v>
      </c>
      <c r="G269" s="36" t="s">
        <v>3677</v>
      </c>
    </row>
    <row r="270" ht="15.75" customHeight="1" spans="6:7">
      <c r="F270" s="36" t="s">
        <v>3580</v>
      </c>
      <c r="G270" s="36" t="s">
        <v>3678</v>
      </c>
    </row>
    <row r="271" ht="15.75" customHeight="1" spans="6:7">
      <c r="F271" s="36" t="s">
        <v>3580</v>
      </c>
      <c r="G271" s="36" t="s">
        <v>3679</v>
      </c>
    </row>
    <row r="272" ht="15.75" customHeight="1" spans="6:7">
      <c r="F272" s="36" t="s">
        <v>3580</v>
      </c>
      <c r="G272" s="36" t="s">
        <v>3680</v>
      </c>
    </row>
    <row r="273" ht="15.75" customHeight="1" spans="6:7">
      <c r="F273" s="36" t="s">
        <v>3580</v>
      </c>
      <c r="G273" s="36" t="s">
        <v>3681</v>
      </c>
    </row>
    <row r="274" ht="15.75" customHeight="1" spans="6:7">
      <c r="F274" s="36" t="s">
        <v>3580</v>
      </c>
      <c r="G274" s="36" t="s">
        <v>3682</v>
      </c>
    </row>
    <row r="275" ht="15.75" customHeight="1" spans="6:7">
      <c r="F275" s="36" t="s">
        <v>3683</v>
      </c>
      <c r="G275" s="36" t="s">
        <v>3684</v>
      </c>
    </row>
    <row r="276" ht="15.75" customHeight="1" spans="6:7">
      <c r="F276" s="36" t="s">
        <v>3683</v>
      </c>
      <c r="G276" s="36" t="s">
        <v>20</v>
      </c>
    </row>
    <row r="277" ht="15.75" customHeight="1" spans="6:7">
      <c r="F277" s="36" t="s">
        <v>3683</v>
      </c>
      <c r="G277" s="36" t="s">
        <v>3685</v>
      </c>
    </row>
    <row r="278" ht="15.75" customHeight="1" spans="6:7">
      <c r="F278" s="36" t="s">
        <v>3683</v>
      </c>
      <c r="G278" s="36" t="s">
        <v>3686</v>
      </c>
    </row>
    <row r="279" ht="15.75" customHeight="1" spans="6:7">
      <c r="F279" s="36" t="s">
        <v>3683</v>
      </c>
      <c r="G279" s="36" t="s">
        <v>3687</v>
      </c>
    </row>
    <row r="280" ht="15.75" customHeight="1" spans="6:7">
      <c r="F280" s="36" t="s">
        <v>3683</v>
      </c>
      <c r="G280" s="36" t="s">
        <v>3688</v>
      </c>
    </row>
    <row r="281" ht="15.75" customHeight="1" spans="6:7">
      <c r="F281" s="36" t="s">
        <v>3683</v>
      </c>
      <c r="G281" s="36" t="s">
        <v>3689</v>
      </c>
    </row>
    <row r="282" ht="15.75" customHeight="1" spans="6:7">
      <c r="F282" s="36" t="s">
        <v>3683</v>
      </c>
      <c r="G282" s="36" t="s">
        <v>3690</v>
      </c>
    </row>
    <row r="283" ht="15.75" customHeight="1" spans="6:7">
      <c r="F283" s="36" t="s">
        <v>3683</v>
      </c>
      <c r="G283" s="36" t="s">
        <v>3691</v>
      </c>
    </row>
    <row r="284" ht="15.75" customHeight="1" spans="6:7">
      <c r="F284" s="36" t="s">
        <v>3683</v>
      </c>
      <c r="G284" s="36" t="s">
        <v>3692</v>
      </c>
    </row>
    <row r="285" ht="15.75" customHeight="1" spans="6:7">
      <c r="F285" s="36" t="s">
        <v>3683</v>
      </c>
      <c r="G285" s="36" t="s">
        <v>3693</v>
      </c>
    </row>
    <row r="286" ht="15.75" customHeight="1" spans="6:7">
      <c r="F286" s="36" t="s">
        <v>3683</v>
      </c>
      <c r="G286" s="36" t="s">
        <v>3694</v>
      </c>
    </row>
    <row r="287" ht="15.75" customHeight="1" spans="6:7">
      <c r="F287" s="36" t="s">
        <v>3683</v>
      </c>
      <c r="G287" s="36" t="s">
        <v>3695</v>
      </c>
    </row>
    <row r="288" ht="15.75" customHeight="1" spans="6:7">
      <c r="F288" s="36" t="s">
        <v>3683</v>
      </c>
      <c r="G288" s="36" t="s">
        <v>3696</v>
      </c>
    </row>
    <row r="289" ht="15.75" customHeight="1" spans="6:7">
      <c r="F289" s="36" t="s">
        <v>3683</v>
      </c>
      <c r="G289" s="36" t="s">
        <v>3697</v>
      </c>
    </row>
    <row r="290" ht="15.75" customHeight="1" spans="6:7">
      <c r="F290" s="36" t="s">
        <v>3683</v>
      </c>
      <c r="G290" s="36" t="s">
        <v>3698</v>
      </c>
    </row>
    <row r="291" ht="15.75" customHeight="1" spans="6:7">
      <c r="F291" s="36" t="s">
        <v>3683</v>
      </c>
      <c r="G291" s="36" t="s">
        <v>3699</v>
      </c>
    </row>
    <row r="292" ht="15.75" customHeight="1" spans="6:7">
      <c r="F292" s="36" t="s">
        <v>3683</v>
      </c>
      <c r="G292" s="36" t="s">
        <v>3700</v>
      </c>
    </row>
    <row r="293" ht="15.75" customHeight="1" spans="6:7">
      <c r="F293" s="36" t="s">
        <v>3683</v>
      </c>
      <c r="G293" s="36" t="s">
        <v>3701</v>
      </c>
    </row>
    <row r="294" ht="15.75" customHeight="1" spans="6:7">
      <c r="F294" s="36" t="s">
        <v>3683</v>
      </c>
      <c r="G294" s="36" t="s">
        <v>3702</v>
      </c>
    </row>
    <row r="295" ht="15.75" customHeight="1" spans="6:7">
      <c r="F295" s="36" t="s">
        <v>3683</v>
      </c>
      <c r="G295" s="36" t="s">
        <v>3703</v>
      </c>
    </row>
    <row r="296" ht="15.75" customHeight="1" spans="6:7">
      <c r="F296" s="36" t="s">
        <v>3683</v>
      </c>
      <c r="G296" s="36" t="s">
        <v>3704</v>
      </c>
    </row>
    <row r="297" ht="15.75" customHeight="1" spans="6:7">
      <c r="F297" s="36" t="s">
        <v>3683</v>
      </c>
      <c r="G297" s="36" t="s">
        <v>3705</v>
      </c>
    </row>
    <row r="298" ht="15.75" customHeight="1" spans="6:7">
      <c r="F298" s="36" t="s">
        <v>3683</v>
      </c>
      <c r="G298" s="36" t="s">
        <v>3706</v>
      </c>
    </row>
    <row r="299" ht="15.75" customHeight="1" spans="6:7">
      <c r="F299" s="36" t="s">
        <v>3683</v>
      </c>
      <c r="G299" s="36" t="s">
        <v>3707</v>
      </c>
    </row>
    <row r="300" ht="15.75" customHeight="1" spans="6:7">
      <c r="F300" s="36" t="s">
        <v>3683</v>
      </c>
      <c r="G300" s="36" t="s">
        <v>3708</v>
      </c>
    </row>
    <row r="301" ht="15.75" customHeight="1" spans="6:7">
      <c r="F301" s="36" t="s">
        <v>3683</v>
      </c>
      <c r="G301" s="36" t="s">
        <v>3709</v>
      </c>
    </row>
    <row r="302" ht="15.75" customHeight="1" spans="6:7">
      <c r="F302" s="36" t="s">
        <v>3683</v>
      </c>
      <c r="G302" s="36" t="s">
        <v>3710</v>
      </c>
    </row>
    <row r="303" ht="15.75" customHeight="1" spans="6:7">
      <c r="F303" s="36" t="s">
        <v>3683</v>
      </c>
      <c r="G303" s="36" t="s">
        <v>3711</v>
      </c>
    </row>
    <row r="304" ht="15.75" customHeight="1" spans="6:7">
      <c r="F304" s="36" t="s">
        <v>3683</v>
      </c>
      <c r="G304" s="36" t="s">
        <v>3712</v>
      </c>
    </row>
    <row r="305" ht="15.75" customHeight="1" spans="6:7">
      <c r="F305" s="36" t="s">
        <v>3683</v>
      </c>
      <c r="G305" s="36" t="s">
        <v>3713</v>
      </c>
    </row>
    <row r="306" ht="15.75" customHeight="1" spans="6:7">
      <c r="F306" s="36" t="s">
        <v>3683</v>
      </c>
      <c r="G306" s="36" t="s">
        <v>3714</v>
      </c>
    </row>
    <row r="307" ht="15.75" customHeight="1" spans="6:7">
      <c r="F307" s="36" t="s">
        <v>3683</v>
      </c>
      <c r="G307" s="36" t="s">
        <v>3715</v>
      </c>
    </row>
    <row r="308" ht="15.75" customHeight="1" spans="6:7">
      <c r="F308" s="36" t="s">
        <v>3683</v>
      </c>
      <c r="G308" s="36" t="s">
        <v>3716</v>
      </c>
    </row>
    <row r="309" ht="15.75" customHeight="1" spans="6:7">
      <c r="F309" s="36" t="s">
        <v>3683</v>
      </c>
      <c r="G309" s="36" t="s">
        <v>3717</v>
      </c>
    </row>
    <row r="310" ht="15.75" customHeight="1" spans="6:7">
      <c r="F310" s="36" t="s">
        <v>3683</v>
      </c>
      <c r="G310" s="36" t="s">
        <v>3718</v>
      </c>
    </row>
    <row r="311" ht="15.75" customHeight="1" spans="6:7">
      <c r="F311" s="36" t="s">
        <v>3683</v>
      </c>
      <c r="G311" s="36" t="s">
        <v>3719</v>
      </c>
    </row>
    <row r="312" ht="15.75" customHeight="1" spans="6:7">
      <c r="F312" s="36" t="s">
        <v>3683</v>
      </c>
      <c r="G312" s="36" t="s">
        <v>3720</v>
      </c>
    </row>
    <row r="313" ht="15.75" customHeight="1" spans="6:7">
      <c r="F313" s="36" t="s">
        <v>3683</v>
      </c>
      <c r="G313" s="36" t="s">
        <v>3721</v>
      </c>
    </row>
    <row r="314" ht="15.75" customHeight="1" spans="6:7">
      <c r="F314" s="36" t="s">
        <v>3683</v>
      </c>
      <c r="G314" s="36" t="s">
        <v>3722</v>
      </c>
    </row>
    <row r="315" ht="15.75" customHeight="1" spans="6:7">
      <c r="F315" s="36" t="s">
        <v>3683</v>
      </c>
      <c r="G315" s="36" t="s">
        <v>3723</v>
      </c>
    </row>
    <row r="316" ht="15.75" customHeight="1" spans="6:7">
      <c r="F316" s="36" t="s">
        <v>3683</v>
      </c>
      <c r="G316" s="36" t="s">
        <v>3724</v>
      </c>
    </row>
    <row r="317" ht="15.75" customHeight="1" spans="6:7">
      <c r="F317" s="36" t="s">
        <v>3683</v>
      </c>
      <c r="G317" s="36" t="s">
        <v>3725</v>
      </c>
    </row>
    <row r="318" ht="15.75" customHeight="1" spans="6:7">
      <c r="F318" s="36" t="s">
        <v>3683</v>
      </c>
      <c r="G318" s="36" t="s">
        <v>3726</v>
      </c>
    </row>
    <row r="319" ht="15.75" customHeight="1" spans="6:7">
      <c r="F319" s="36" t="s">
        <v>3683</v>
      </c>
      <c r="G319" s="36" t="s">
        <v>3727</v>
      </c>
    </row>
    <row r="320" ht="15.75" customHeight="1" spans="6:7">
      <c r="F320" s="36" t="s">
        <v>3683</v>
      </c>
      <c r="G320" s="36" t="s">
        <v>3728</v>
      </c>
    </row>
    <row r="321" ht="15.75" customHeight="1" spans="6:7">
      <c r="F321" s="36" t="s">
        <v>3729</v>
      </c>
      <c r="G321" s="36" t="s">
        <v>21</v>
      </c>
    </row>
    <row r="322" ht="15.75" customHeight="1" spans="6:7">
      <c r="F322" s="36" t="s">
        <v>3729</v>
      </c>
      <c r="G322" s="36" t="s">
        <v>92</v>
      </c>
    </row>
    <row r="323" ht="15.75" customHeight="1" spans="6:7">
      <c r="F323" s="36" t="s">
        <v>3729</v>
      </c>
      <c r="G323" s="36" t="s">
        <v>3730</v>
      </c>
    </row>
    <row r="324" ht="15.75" customHeight="1" spans="6:7">
      <c r="F324" s="36" t="s">
        <v>3729</v>
      </c>
      <c r="G324" s="36" t="s">
        <v>3729</v>
      </c>
    </row>
    <row r="325" ht="15.75" customHeight="1" spans="6:7">
      <c r="F325" s="36" t="s">
        <v>3729</v>
      </c>
      <c r="G325" s="36" t="s">
        <v>3731</v>
      </c>
    </row>
    <row r="326" ht="15.75" customHeight="1" spans="6:7">
      <c r="F326" s="36" t="s">
        <v>3729</v>
      </c>
      <c r="G326" s="36" t="s">
        <v>3732</v>
      </c>
    </row>
    <row r="327" ht="15.75" customHeight="1" spans="6:7">
      <c r="F327" s="36" t="s">
        <v>3729</v>
      </c>
      <c r="G327" s="36" t="s">
        <v>3733</v>
      </c>
    </row>
    <row r="328" ht="15.75" customHeight="1" spans="6:7">
      <c r="F328" s="36" t="s">
        <v>3729</v>
      </c>
      <c r="G328" s="36" t="s">
        <v>3734</v>
      </c>
    </row>
    <row r="329" ht="15.75" customHeight="1" spans="6:7">
      <c r="F329" s="36" t="s">
        <v>3729</v>
      </c>
      <c r="G329" s="36" t="s">
        <v>3735</v>
      </c>
    </row>
    <row r="330" ht="15.75" customHeight="1" spans="6:7">
      <c r="F330" s="36" t="s">
        <v>3729</v>
      </c>
      <c r="G330" s="36" t="s">
        <v>3736</v>
      </c>
    </row>
    <row r="331" ht="15.75" customHeight="1" spans="6:7">
      <c r="F331" s="36" t="s">
        <v>3729</v>
      </c>
      <c r="G331" s="36" t="s">
        <v>3737</v>
      </c>
    </row>
    <row r="332" ht="15.75" customHeight="1" spans="6:7">
      <c r="F332" s="36" t="s">
        <v>3729</v>
      </c>
      <c r="G332" s="36" t="s">
        <v>3738</v>
      </c>
    </row>
    <row r="333" ht="15.75" customHeight="1" spans="6:7">
      <c r="F333" s="36" t="s">
        <v>3729</v>
      </c>
      <c r="G333" s="36" t="s">
        <v>3739</v>
      </c>
    </row>
    <row r="334" ht="15.75" customHeight="1" spans="6:7">
      <c r="F334" s="36" t="s">
        <v>3729</v>
      </c>
      <c r="G334" s="36" t="s">
        <v>3740</v>
      </c>
    </row>
    <row r="335" ht="15.75" customHeight="1" spans="6:7">
      <c r="F335" s="36" t="s">
        <v>3729</v>
      </c>
      <c r="G335" s="36" t="s">
        <v>3741</v>
      </c>
    </row>
    <row r="336" ht="15.75" customHeight="1" spans="6:7">
      <c r="F336" s="36" t="s">
        <v>3729</v>
      </c>
      <c r="G336" s="36" t="s">
        <v>3742</v>
      </c>
    </row>
    <row r="337" ht="15.75" customHeight="1" spans="6:7">
      <c r="F337" s="36" t="s">
        <v>3729</v>
      </c>
      <c r="G337" s="36" t="s">
        <v>3743</v>
      </c>
    </row>
    <row r="338" ht="15.75" customHeight="1" spans="6:7">
      <c r="F338" s="36" t="s">
        <v>3729</v>
      </c>
      <c r="G338" s="36" t="s">
        <v>3744</v>
      </c>
    </row>
    <row r="339" ht="15.75" customHeight="1" spans="6:7">
      <c r="F339" s="36" t="s">
        <v>3729</v>
      </c>
      <c r="G339" s="36" t="s">
        <v>3745</v>
      </c>
    </row>
    <row r="340" ht="15.75" customHeight="1" spans="6:7">
      <c r="F340" s="36" t="s">
        <v>3729</v>
      </c>
      <c r="G340" s="36" t="s">
        <v>3746</v>
      </c>
    </row>
    <row r="341" ht="15.75" customHeight="1" spans="6:7">
      <c r="F341" s="36" t="s">
        <v>3729</v>
      </c>
      <c r="G341" s="36" t="s">
        <v>3747</v>
      </c>
    </row>
    <row r="342" ht="15.75" customHeight="1" spans="6:7">
      <c r="F342" s="36" t="s">
        <v>3729</v>
      </c>
      <c r="G342" s="36" t="s">
        <v>3748</v>
      </c>
    </row>
    <row r="343" ht="15.75" customHeight="1" spans="6:7">
      <c r="F343" s="36" t="s">
        <v>3729</v>
      </c>
      <c r="G343" s="36" t="s">
        <v>3749</v>
      </c>
    </row>
    <row r="344" ht="15.75" customHeight="1" spans="6:7">
      <c r="F344" s="36" t="s">
        <v>3729</v>
      </c>
      <c r="G344" s="36" t="s">
        <v>3750</v>
      </c>
    </row>
    <row r="345" ht="15.75" customHeight="1" spans="6:7">
      <c r="F345" s="36" t="s">
        <v>3729</v>
      </c>
      <c r="G345" s="36" t="s">
        <v>3751</v>
      </c>
    </row>
    <row r="346" ht="15.75" customHeight="1" spans="6:7">
      <c r="F346" s="36" t="s">
        <v>3729</v>
      </c>
      <c r="G346" s="36" t="s">
        <v>3752</v>
      </c>
    </row>
    <row r="347" ht="15.75" customHeight="1" spans="6:7">
      <c r="F347" s="36" t="s">
        <v>3729</v>
      </c>
      <c r="G347" s="36" t="s">
        <v>3753</v>
      </c>
    </row>
    <row r="348" ht="15.75" customHeight="1" spans="6:7">
      <c r="F348" s="36" t="s">
        <v>3729</v>
      </c>
      <c r="G348" s="36" t="s">
        <v>3754</v>
      </c>
    </row>
    <row r="349" ht="15.75" customHeight="1" spans="6:7">
      <c r="F349" s="36" t="s">
        <v>3729</v>
      </c>
      <c r="G349" s="36" t="s">
        <v>3755</v>
      </c>
    </row>
    <row r="350" ht="15.75" customHeight="1" spans="6:7">
      <c r="F350" s="36" t="s">
        <v>3729</v>
      </c>
      <c r="G350" s="36" t="s">
        <v>3756</v>
      </c>
    </row>
    <row r="351" ht="15.75" customHeight="1" spans="6:7">
      <c r="F351" s="36" t="s">
        <v>3729</v>
      </c>
      <c r="G351" s="36" t="s">
        <v>3757</v>
      </c>
    </row>
    <row r="352" ht="15.75" customHeight="1" spans="6:7">
      <c r="F352" s="36" t="s">
        <v>3729</v>
      </c>
      <c r="G352" s="36" t="s">
        <v>3758</v>
      </c>
    </row>
    <row r="353" ht="15.75" customHeight="1" spans="6:7">
      <c r="F353" s="36" t="s">
        <v>3729</v>
      </c>
      <c r="G353" s="36" t="s">
        <v>3759</v>
      </c>
    </row>
    <row r="354" ht="15.75" customHeight="1" spans="6:7">
      <c r="F354" s="36" t="s">
        <v>3729</v>
      </c>
      <c r="G354" s="36" t="s">
        <v>3760</v>
      </c>
    </row>
    <row r="355" ht="15.75" customHeight="1" spans="6:7">
      <c r="F355" s="36" t="s">
        <v>3729</v>
      </c>
      <c r="G355" s="36" t="s">
        <v>3761</v>
      </c>
    </row>
    <row r="356" ht="15.75" customHeight="1" spans="6:7">
      <c r="F356" s="36" t="s">
        <v>3729</v>
      </c>
      <c r="G356" s="36" t="s">
        <v>3762</v>
      </c>
    </row>
    <row r="357" ht="15.75" customHeight="1" spans="6:7">
      <c r="F357" s="36" t="s">
        <v>3729</v>
      </c>
      <c r="G357" s="36" t="s">
        <v>3763</v>
      </c>
    </row>
    <row r="358" ht="15.75" customHeight="1" spans="6:7">
      <c r="F358" s="36" t="s">
        <v>3729</v>
      </c>
      <c r="G358" s="36" t="s">
        <v>3764</v>
      </c>
    </row>
    <row r="359" ht="15.75" customHeight="1" spans="6:7">
      <c r="F359" s="36" t="s">
        <v>3729</v>
      </c>
      <c r="G359" s="36" t="s">
        <v>3765</v>
      </c>
    </row>
    <row r="360" ht="15.75" customHeight="1" spans="6:7">
      <c r="F360" s="36" t="s">
        <v>3729</v>
      </c>
      <c r="G360" s="36" t="s">
        <v>3766</v>
      </c>
    </row>
    <row r="361" ht="15.75" customHeight="1" spans="6:7">
      <c r="F361" s="36" t="s">
        <v>3729</v>
      </c>
      <c r="G361" s="36" t="s">
        <v>3767</v>
      </c>
    </row>
    <row r="362" ht="15.75" customHeight="1" spans="6:7">
      <c r="F362" s="36" t="s">
        <v>3729</v>
      </c>
      <c r="G362" s="36" t="s">
        <v>3768</v>
      </c>
    </row>
    <row r="363" ht="15.75" customHeight="1" spans="6:7">
      <c r="F363" s="36" t="s">
        <v>3729</v>
      </c>
      <c r="G363" s="36" t="s">
        <v>3769</v>
      </c>
    </row>
    <row r="364" ht="15.75" customHeight="1" spans="6:7">
      <c r="F364" s="36" t="s">
        <v>3729</v>
      </c>
      <c r="G364" s="36" t="s">
        <v>3770</v>
      </c>
    </row>
    <row r="365" ht="15.75" customHeight="1" spans="6:7">
      <c r="F365" s="36" t="s">
        <v>3729</v>
      </c>
      <c r="G365" s="36" t="s">
        <v>3771</v>
      </c>
    </row>
    <row r="366" ht="15.75" customHeight="1" spans="6:7">
      <c r="F366" s="36" t="s">
        <v>3729</v>
      </c>
      <c r="G366" s="36" t="s">
        <v>3772</v>
      </c>
    </row>
    <row r="367" ht="15.75" customHeight="1" spans="6:7">
      <c r="F367" s="36" t="s">
        <v>3729</v>
      </c>
      <c r="G367" s="36" t="s">
        <v>3773</v>
      </c>
    </row>
    <row r="368" ht="15.75" customHeight="1" spans="6:7">
      <c r="F368" s="36" t="s">
        <v>3729</v>
      </c>
      <c r="G368" s="36" t="s">
        <v>3774</v>
      </c>
    </row>
    <row r="369" ht="15.75" customHeight="1" spans="6:7">
      <c r="F369" s="36" t="s">
        <v>3729</v>
      </c>
      <c r="G369" s="36" t="s">
        <v>3775</v>
      </c>
    </row>
    <row r="370" ht="15.75" customHeight="1" spans="6:7">
      <c r="F370" s="36" t="s">
        <v>3729</v>
      </c>
      <c r="G370" s="36" t="s">
        <v>3776</v>
      </c>
    </row>
    <row r="371" ht="15.75" customHeight="1" spans="6:7">
      <c r="F371" s="36" t="s">
        <v>3729</v>
      </c>
      <c r="G371" s="36" t="s">
        <v>3777</v>
      </c>
    </row>
    <row r="372" ht="15.75" customHeight="1" spans="6:7">
      <c r="F372" s="36" t="s">
        <v>3729</v>
      </c>
      <c r="G372" s="36" t="s">
        <v>3778</v>
      </c>
    </row>
    <row r="373" ht="15.75" customHeight="1" spans="6:7">
      <c r="F373" s="36" t="s">
        <v>3729</v>
      </c>
      <c r="G373" s="36" t="s">
        <v>3779</v>
      </c>
    </row>
    <row r="374" ht="15.75" customHeight="1" spans="6:7">
      <c r="F374" s="36" t="s">
        <v>3729</v>
      </c>
      <c r="G374" s="36" t="s">
        <v>3780</v>
      </c>
    </row>
    <row r="375" ht="15.75" customHeight="1" spans="6:7">
      <c r="F375" s="36" t="s">
        <v>3729</v>
      </c>
      <c r="G375" s="36" t="s">
        <v>3781</v>
      </c>
    </row>
    <row r="376" ht="15.75" customHeight="1" spans="6:7">
      <c r="F376" s="36" t="s">
        <v>3729</v>
      </c>
      <c r="G376" s="36" t="s">
        <v>3782</v>
      </c>
    </row>
    <row r="377" ht="15.75" customHeight="1" spans="6:7">
      <c r="F377" s="36" t="s">
        <v>3729</v>
      </c>
      <c r="G377" s="36" t="s">
        <v>3783</v>
      </c>
    </row>
    <row r="378" ht="15.75" customHeight="1" spans="6:7">
      <c r="F378" s="36" t="s">
        <v>3729</v>
      </c>
      <c r="G378" s="36" t="s">
        <v>3784</v>
      </c>
    </row>
    <row r="379" ht="15.75" customHeight="1" spans="6:7">
      <c r="F379" s="36" t="s">
        <v>3729</v>
      </c>
      <c r="G379" s="36" t="s">
        <v>3785</v>
      </c>
    </row>
    <row r="380" ht="15.75" customHeight="1" spans="6:7">
      <c r="F380" s="36" t="s">
        <v>3729</v>
      </c>
      <c r="G380" s="36" t="s">
        <v>3786</v>
      </c>
    </row>
    <row r="381" ht="15.75" customHeight="1" spans="6:7">
      <c r="F381" s="36" t="s">
        <v>3729</v>
      </c>
      <c r="G381" s="36" t="s">
        <v>3787</v>
      </c>
    </row>
    <row r="382" ht="15.75" customHeight="1" spans="6:7">
      <c r="F382" s="36" t="s">
        <v>3729</v>
      </c>
      <c r="G382" s="36" t="s">
        <v>3788</v>
      </c>
    </row>
    <row r="383" ht="15.75" customHeight="1" spans="6:7">
      <c r="F383" s="36" t="s">
        <v>3729</v>
      </c>
      <c r="G383" s="36" t="s">
        <v>3789</v>
      </c>
    </row>
    <row r="384" ht="15.75" customHeight="1" spans="6:7">
      <c r="F384" s="36" t="s">
        <v>3729</v>
      </c>
      <c r="G384" s="36" t="s">
        <v>3790</v>
      </c>
    </row>
    <row r="385" ht="15.75" customHeight="1" spans="6:7">
      <c r="F385" s="36" t="s">
        <v>3729</v>
      </c>
      <c r="G385" s="36" t="s">
        <v>3791</v>
      </c>
    </row>
    <row r="386" ht="15.75" customHeight="1" spans="6:7">
      <c r="F386" s="36" t="s">
        <v>3729</v>
      </c>
      <c r="G386" s="36" t="s">
        <v>3792</v>
      </c>
    </row>
    <row r="387" ht="15.75" customHeight="1" spans="6:7">
      <c r="F387" s="36" t="s">
        <v>3729</v>
      </c>
      <c r="G387" s="36" t="s">
        <v>3793</v>
      </c>
    </row>
    <row r="388" ht="15.75" customHeight="1" spans="6:7">
      <c r="F388" s="36" t="s">
        <v>3729</v>
      </c>
      <c r="G388" s="36" t="s">
        <v>3794</v>
      </c>
    </row>
    <row r="389" ht="15.75" customHeight="1" spans="6:7">
      <c r="F389" s="36" t="s">
        <v>3729</v>
      </c>
      <c r="G389" s="36" t="s">
        <v>3795</v>
      </c>
    </row>
    <row r="390" ht="15.75" customHeight="1" spans="6:7">
      <c r="F390" s="36" t="s">
        <v>3729</v>
      </c>
      <c r="G390" s="36" t="s">
        <v>3796</v>
      </c>
    </row>
    <row r="391" ht="15.75" customHeight="1" spans="6:7">
      <c r="F391" s="36" t="s">
        <v>3729</v>
      </c>
      <c r="G391" s="36" t="s">
        <v>3797</v>
      </c>
    </row>
    <row r="392" ht="15.75" customHeight="1" spans="6:7">
      <c r="F392" s="36" t="s">
        <v>3729</v>
      </c>
      <c r="G392" s="36" t="s">
        <v>3798</v>
      </c>
    </row>
    <row r="393" ht="15.75" customHeight="1" spans="6:7">
      <c r="F393" s="36" t="s">
        <v>3729</v>
      </c>
      <c r="G393" s="36" t="s">
        <v>3799</v>
      </c>
    </row>
    <row r="394" ht="15.75" customHeight="1" spans="6:7">
      <c r="F394" s="36" t="s">
        <v>3729</v>
      </c>
      <c r="G394" s="36" t="s">
        <v>3800</v>
      </c>
    </row>
    <row r="395" ht="15.75" customHeight="1" spans="6:7">
      <c r="F395" s="36" t="s">
        <v>3729</v>
      </c>
      <c r="G395" s="36" t="s">
        <v>3801</v>
      </c>
    </row>
    <row r="396" ht="15.75" customHeight="1" spans="6:7">
      <c r="F396" s="36" t="s">
        <v>3729</v>
      </c>
      <c r="G396" s="36" t="s">
        <v>3802</v>
      </c>
    </row>
    <row r="397" ht="15.75" customHeight="1" spans="6:7">
      <c r="F397" s="36" t="s">
        <v>3729</v>
      </c>
      <c r="G397" s="36" t="s">
        <v>3803</v>
      </c>
    </row>
    <row r="398" ht="15.75" customHeight="1" spans="6:7">
      <c r="F398" s="36" t="s">
        <v>3729</v>
      </c>
      <c r="G398" s="36" t="s">
        <v>3804</v>
      </c>
    </row>
    <row r="399" ht="15.75" customHeight="1" spans="6:7">
      <c r="F399" s="36" t="s">
        <v>3729</v>
      </c>
      <c r="G399" s="36" t="s">
        <v>3805</v>
      </c>
    </row>
    <row r="400" ht="15.75" customHeight="1" spans="6:7">
      <c r="F400" s="36" t="s">
        <v>3729</v>
      </c>
      <c r="G400" s="36" t="s">
        <v>3806</v>
      </c>
    </row>
    <row r="401" ht="15.75" customHeight="1" spans="6:7">
      <c r="F401" s="36" t="s">
        <v>3729</v>
      </c>
      <c r="G401" s="36" t="s">
        <v>3807</v>
      </c>
    </row>
    <row r="402" ht="15.75" customHeight="1" spans="6:7">
      <c r="F402" s="36" t="s">
        <v>3729</v>
      </c>
      <c r="G402" s="36" t="s">
        <v>3808</v>
      </c>
    </row>
    <row r="403" ht="15.75" customHeight="1" spans="6:7">
      <c r="F403" s="36" t="s">
        <v>3729</v>
      </c>
      <c r="G403" s="36" t="s">
        <v>3809</v>
      </c>
    </row>
    <row r="404" ht="15.75" customHeight="1" spans="6:7">
      <c r="F404" s="36" t="s">
        <v>3729</v>
      </c>
      <c r="G404" s="36" t="s">
        <v>3810</v>
      </c>
    </row>
    <row r="405" ht="15.75" customHeight="1" spans="6:7">
      <c r="F405" s="36" t="s">
        <v>3729</v>
      </c>
      <c r="G405" s="36" t="s">
        <v>3811</v>
      </c>
    </row>
    <row r="406" ht="15.75" customHeight="1" spans="6:7">
      <c r="F406" s="36" t="s">
        <v>3729</v>
      </c>
      <c r="G406" s="36" t="s">
        <v>3812</v>
      </c>
    </row>
    <row r="407" ht="15.75" customHeight="1" spans="6:7">
      <c r="F407" s="36" t="s">
        <v>3729</v>
      </c>
      <c r="G407" s="36" t="s">
        <v>3813</v>
      </c>
    </row>
    <row r="408" ht="15.75" customHeight="1" spans="6:7">
      <c r="F408" s="36" t="s">
        <v>3729</v>
      </c>
      <c r="G408" s="36" t="s">
        <v>3814</v>
      </c>
    </row>
    <row r="409" ht="15.75" customHeight="1" spans="6:7">
      <c r="F409" s="36" t="s">
        <v>3729</v>
      </c>
      <c r="G409" s="36" t="s">
        <v>3815</v>
      </c>
    </row>
    <row r="410" ht="15.75" customHeight="1" spans="6:7">
      <c r="F410" s="36" t="s">
        <v>3729</v>
      </c>
      <c r="G410" s="36" t="s">
        <v>3816</v>
      </c>
    </row>
    <row r="411" ht="15.75" customHeight="1" spans="6:7">
      <c r="F411" s="36" t="s">
        <v>3729</v>
      </c>
      <c r="G411" s="36" t="s">
        <v>3817</v>
      </c>
    </row>
    <row r="412" ht="15.75" customHeight="1" spans="6:7">
      <c r="F412" s="36" t="s">
        <v>3729</v>
      </c>
      <c r="G412" s="36" t="s">
        <v>3818</v>
      </c>
    </row>
    <row r="413" ht="15.75" customHeight="1" spans="6:7">
      <c r="F413" s="36" t="s">
        <v>3729</v>
      </c>
      <c r="G413" s="36" t="s">
        <v>3819</v>
      </c>
    </row>
    <row r="414" ht="15.75" customHeight="1" spans="6:7">
      <c r="F414" s="36" t="s">
        <v>3729</v>
      </c>
      <c r="G414" s="36" t="s">
        <v>3820</v>
      </c>
    </row>
    <row r="415" ht="15.75" customHeight="1" spans="6:7">
      <c r="F415" s="36" t="s">
        <v>3729</v>
      </c>
      <c r="G415" s="36" t="s">
        <v>3821</v>
      </c>
    </row>
    <row r="416" ht="15.75" customHeight="1" spans="6:7">
      <c r="F416" s="36" t="s">
        <v>3729</v>
      </c>
      <c r="G416" s="36" t="s">
        <v>3822</v>
      </c>
    </row>
    <row r="417" ht="15.75" customHeight="1" spans="6:7">
      <c r="F417" s="36" t="s">
        <v>3729</v>
      </c>
      <c r="G417" s="36" t="s">
        <v>3823</v>
      </c>
    </row>
    <row r="418" ht="15.75" customHeight="1" spans="6:7">
      <c r="F418" s="36" t="s">
        <v>3729</v>
      </c>
      <c r="G418" s="36" t="s">
        <v>3824</v>
      </c>
    </row>
    <row r="419" ht="15.75" customHeight="1" spans="6:7">
      <c r="F419" s="36" t="s">
        <v>3729</v>
      </c>
      <c r="G419" s="36" t="s">
        <v>3825</v>
      </c>
    </row>
    <row r="420" ht="15.75" customHeight="1" spans="6:7">
      <c r="F420" s="36" t="s">
        <v>3729</v>
      </c>
      <c r="G420" s="36" t="s">
        <v>3826</v>
      </c>
    </row>
    <row r="421" ht="15.75" customHeight="1" spans="6:7">
      <c r="F421" s="36" t="s">
        <v>3729</v>
      </c>
      <c r="G421" s="36" t="s">
        <v>3827</v>
      </c>
    </row>
    <row r="422" ht="15.75" customHeight="1" spans="6:7">
      <c r="F422" s="36" t="s">
        <v>3729</v>
      </c>
      <c r="G422" s="36" t="s">
        <v>3828</v>
      </c>
    </row>
    <row r="423" ht="15.75" customHeight="1" spans="6:7">
      <c r="F423" s="36" t="s">
        <v>3729</v>
      </c>
      <c r="G423" s="36" t="s">
        <v>3829</v>
      </c>
    </row>
    <row r="424" ht="15.75" customHeight="1" spans="6:7">
      <c r="F424" s="36" t="s">
        <v>3729</v>
      </c>
      <c r="G424" s="36" t="s">
        <v>3830</v>
      </c>
    </row>
    <row r="425" ht="15.75" customHeight="1" spans="6:7">
      <c r="F425" s="36" t="s">
        <v>3729</v>
      </c>
      <c r="G425" s="36" t="s">
        <v>3831</v>
      </c>
    </row>
    <row r="426" ht="15.75" customHeight="1" spans="6:7">
      <c r="F426" s="36" t="s">
        <v>3729</v>
      </c>
      <c r="G426" s="36" t="s">
        <v>3832</v>
      </c>
    </row>
    <row r="427" ht="15.75" customHeight="1" spans="6:7">
      <c r="F427" s="36" t="s">
        <v>3729</v>
      </c>
      <c r="G427" s="36" t="s">
        <v>3833</v>
      </c>
    </row>
    <row r="428" ht="15.75" customHeight="1" spans="6:7">
      <c r="F428" s="36" t="s">
        <v>3729</v>
      </c>
      <c r="G428" s="36" t="s">
        <v>3834</v>
      </c>
    </row>
    <row r="429" ht="15.75" customHeight="1" spans="6:7">
      <c r="F429" s="36" t="s">
        <v>3729</v>
      </c>
      <c r="G429" s="36" t="s">
        <v>3835</v>
      </c>
    </row>
    <row r="430" ht="15.75" customHeight="1" spans="6:7">
      <c r="F430" s="36" t="s">
        <v>3729</v>
      </c>
      <c r="G430" s="36" t="s">
        <v>3836</v>
      </c>
    </row>
    <row r="431" ht="15.75" customHeight="1" spans="6:7">
      <c r="F431" s="36" t="s">
        <v>3729</v>
      </c>
      <c r="G431" s="36" t="s">
        <v>3837</v>
      </c>
    </row>
    <row r="432" ht="15.75" customHeight="1" spans="6:7">
      <c r="F432" s="36" t="s">
        <v>3729</v>
      </c>
      <c r="G432" s="36" t="s">
        <v>3838</v>
      </c>
    </row>
    <row r="433" ht="15.75" customHeight="1" spans="6:7">
      <c r="F433" s="36" t="s">
        <v>3729</v>
      </c>
      <c r="G433" s="36" t="s">
        <v>3839</v>
      </c>
    </row>
    <row r="434" ht="15.75" customHeight="1" spans="6:7">
      <c r="F434" s="36" t="s">
        <v>3729</v>
      </c>
      <c r="G434" s="36" t="s">
        <v>3840</v>
      </c>
    </row>
    <row r="435" ht="15.75" customHeight="1" spans="6:7">
      <c r="F435" s="36" t="s">
        <v>3729</v>
      </c>
      <c r="G435" s="36" t="s">
        <v>3841</v>
      </c>
    </row>
    <row r="436" ht="15.75" customHeight="1" spans="6:7">
      <c r="F436" s="36" t="s">
        <v>3729</v>
      </c>
      <c r="G436" s="36" t="s">
        <v>3842</v>
      </c>
    </row>
    <row r="437" ht="15.75" customHeight="1" spans="6:7">
      <c r="F437" s="36" t="s">
        <v>3729</v>
      </c>
      <c r="G437" s="36" t="s">
        <v>3843</v>
      </c>
    </row>
    <row r="438" ht="15.75" customHeight="1" spans="6:7">
      <c r="F438" s="36" t="s">
        <v>3729</v>
      </c>
      <c r="G438" s="36" t="s">
        <v>3844</v>
      </c>
    </row>
    <row r="439" ht="15.75" customHeight="1" spans="6:7">
      <c r="F439" s="36" t="s">
        <v>3729</v>
      </c>
      <c r="G439" s="36" t="s">
        <v>3845</v>
      </c>
    </row>
    <row r="440" ht="15.75" customHeight="1" spans="6:7">
      <c r="F440" s="36" t="s">
        <v>3729</v>
      </c>
      <c r="G440" s="36" t="s">
        <v>3846</v>
      </c>
    </row>
    <row r="441" ht="15.75" customHeight="1" spans="6:7">
      <c r="F441" s="36" t="s">
        <v>3729</v>
      </c>
      <c r="G441" s="36" t="s">
        <v>3847</v>
      </c>
    </row>
    <row r="442" ht="15.75" customHeight="1" spans="6:7">
      <c r="F442" s="36" t="s">
        <v>3729</v>
      </c>
      <c r="G442" s="36" t="s">
        <v>3848</v>
      </c>
    </row>
    <row r="443" ht="15.75" customHeight="1" spans="6:7">
      <c r="F443" s="36" t="s">
        <v>3729</v>
      </c>
      <c r="G443" s="36" t="s">
        <v>3849</v>
      </c>
    </row>
    <row r="444" ht="15.75" customHeight="1" spans="6:7">
      <c r="F444" s="36" t="s">
        <v>3729</v>
      </c>
      <c r="G444" s="36" t="s">
        <v>3850</v>
      </c>
    </row>
    <row r="445" ht="15.75" customHeight="1" spans="6:7">
      <c r="F445" s="36" t="s">
        <v>3729</v>
      </c>
      <c r="G445" s="36" t="s">
        <v>3851</v>
      </c>
    </row>
    <row r="446" ht="15.75" customHeight="1" spans="6:7">
      <c r="F446" s="36" t="s">
        <v>3729</v>
      </c>
      <c r="G446" s="36" t="s">
        <v>3852</v>
      </c>
    </row>
    <row r="447" ht="15.75" customHeight="1" spans="6:7">
      <c r="F447" s="36" t="s">
        <v>3729</v>
      </c>
      <c r="G447" s="36" t="s">
        <v>3853</v>
      </c>
    </row>
    <row r="448" ht="15.75" customHeight="1" spans="6:7">
      <c r="F448" s="36" t="s">
        <v>3729</v>
      </c>
      <c r="G448" s="36" t="s">
        <v>3854</v>
      </c>
    </row>
    <row r="449" ht="15.75" customHeight="1" spans="6:7">
      <c r="F449" s="36" t="s">
        <v>3729</v>
      </c>
      <c r="G449" s="36" t="s">
        <v>3855</v>
      </c>
    </row>
    <row r="450" ht="15.75" customHeight="1" spans="6:7">
      <c r="F450" s="36" t="s">
        <v>3729</v>
      </c>
      <c r="G450" s="36" t="s">
        <v>3856</v>
      </c>
    </row>
    <row r="451" ht="15.75" customHeight="1" spans="6:7">
      <c r="F451" s="36" t="s">
        <v>3729</v>
      </c>
      <c r="G451" s="36" t="s">
        <v>3857</v>
      </c>
    </row>
    <row r="452" ht="15.75" customHeight="1" spans="6:7">
      <c r="F452" s="36" t="s">
        <v>3729</v>
      </c>
      <c r="G452" s="36" t="s">
        <v>3858</v>
      </c>
    </row>
    <row r="453" ht="15.75" customHeight="1" spans="6:7">
      <c r="F453" s="36" t="s">
        <v>3729</v>
      </c>
      <c r="G453" s="36" t="s">
        <v>3859</v>
      </c>
    </row>
    <row r="454" ht="15.75" customHeight="1" spans="6:7">
      <c r="F454" s="36" t="s">
        <v>3729</v>
      </c>
      <c r="G454" s="36" t="s">
        <v>3860</v>
      </c>
    </row>
    <row r="455" ht="15.75" customHeight="1" spans="6:7">
      <c r="F455" s="36" t="s">
        <v>3729</v>
      </c>
      <c r="G455" s="36" t="s">
        <v>3861</v>
      </c>
    </row>
    <row r="456" ht="15.75" customHeight="1" spans="6:7">
      <c r="F456" s="36" t="s">
        <v>3729</v>
      </c>
      <c r="G456" s="36" t="s">
        <v>3862</v>
      </c>
    </row>
    <row r="457" ht="15.75" customHeight="1" spans="6:7">
      <c r="F457" s="36" t="s">
        <v>3729</v>
      </c>
      <c r="G457" s="36" t="s">
        <v>3863</v>
      </c>
    </row>
    <row r="458" ht="15.75" customHeight="1" spans="6:7">
      <c r="F458" s="36" t="s">
        <v>3729</v>
      </c>
      <c r="G458" s="36" t="s">
        <v>3864</v>
      </c>
    </row>
    <row r="459" ht="15.75" customHeight="1" spans="6:7">
      <c r="F459" s="36" t="s">
        <v>3865</v>
      </c>
      <c r="G459" s="36" t="s">
        <v>3866</v>
      </c>
    </row>
    <row r="460" ht="15.75" customHeight="1" spans="6:7">
      <c r="F460" s="36" t="s">
        <v>3865</v>
      </c>
      <c r="G460" s="36" t="s">
        <v>22</v>
      </c>
    </row>
    <row r="461" ht="15.75" customHeight="1" spans="6:7">
      <c r="F461" s="36" t="s">
        <v>3865</v>
      </c>
      <c r="G461" s="36" t="s">
        <v>3867</v>
      </c>
    </row>
    <row r="462" ht="15.75" customHeight="1" spans="6:7">
      <c r="F462" s="36" t="s">
        <v>3865</v>
      </c>
      <c r="G462" s="36" t="s">
        <v>3868</v>
      </c>
    </row>
    <row r="463" ht="15.75" customHeight="1" spans="6:7">
      <c r="F463" s="36" t="s">
        <v>3865</v>
      </c>
      <c r="G463" s="36" t="s">
        <v>3869</v>
      </c>
    </row>
    <row r="464" ht="15.75" customHeight="1" spans="6:7">
      <c r="F464" s="36" t="s">
        <v>3865</v>
      </c>
      <c r="G464" s="36" t="s">
        <v>3870</v>
      </c>
    </row>
    <row r="465" ht="15.75" customHeight="1" spans="6:7">
      <c r="F465" s="36" t="s">
        <v>3865</v>
      </c>
      <c r="G465" s="36" t="s">
        <v>3871</v>
      </c>
    </row>
    <row r="466" ht="15.75" customHeight="1" spans="6:7">
      <c r="F466" s="36" t="s">
        <v>3865</v>
      </c>
      <c r="G466" s="36" t="s">
        <v>3865</v>
      </c>
    </row>
    <row r="467" ht="15.75" customHeight="1" spans="6:7">
      <c r="F467" s="36" t="s">
        <v>3865</v>
      </c>
      <c r="G467" s="36" t="s">
        <v>3872</v>
      </c>
    </row>
    <row r="468" ht="15.75" customHeight="1" spans="6:7">
      <c r="F468" s="36" t="s">
        <v>3865</v>
      </c>
      <c r="G468" s="36" t="s">
        <v>3873</v>
      </c>
    </row>
    <row r="469" ht="15.75" customHeight="1" spans="6:7">
      <c r="F469" s="36" t="s">
        <v>3865</v>
      </c>
      <c r="G469" s="36" t="s">
        <v>3874</v>
      </c>
    </row>
    <row r="470" ht="15.75" customHeight="1" spans="6:7">
      <c r="F470" s="36" t="s">
        <v>3865</v>
      </c>
      <c r="G470" s="36" t="s">
        <v>3875</v>
      </c>
    </row>
    <row r="471" ht="15.75" customHeight="1" spans="6:7">
      <c r="F471" s="36" t="s">
        <v>3865</v>
      </c>
      <c r="G471" s="36" t="s">
        <v>3876</v>
      </c>
    </row>
    <row r="472" ht="15.75" customHeight="1" spans="6:7">
      <c r="F472" s="36" t="s">
        <v>3865</v>
      </c>
      <c r="G472" s="36" t="s">
        <v>3877</v>
      </c>
    </row>
    <row r="473" ht="15.75" customHeight="1" spans="6:7">
      <c r="F473" s="36" t="s">
        <v>3865</v>
      </c>
      <c r="G473" s="36" t="s">
        <v>3878</v>
      </c>
    </row>
    <row r="474" ht="15.75" customHeight="1" spans="6:7">
      <c r="F474" s="36" t="s">
        <v>3865</v>
      </c>
      <c r="G474" s="36" t="s">
        <v>3879</v>
      </c>
    </row>
    <row r="475" ht="15.75" customHeight="1" spans="6:7">
      <c r="F475" s="36" t="s">
        <v>3865</v>
      </c>
      <c r="G475" s="36" t="s">
        <v>3880</v>
      </c>
    </row>
    <row r="476" ht="15.75" customHeight="1" spans="6:7">
      <c r="F476" s="36" t="s">
        <v>3865</v>
      </c>
      <c r="G476" s="36" t="s">
        <v>3881</v>
      </c>
    </row>
    <row r="477" ht="15.75" customHeight="1" spans="6:7">
      <c r="F477" s="36" t="s">
        <v>3865</v>
      </c>
      <c r="G477" s="36" t="s">
        <v>3882</v>
      </c>
    </row>
    <row r="478" ht="15.75" customHeight="1" spans="6:7">
      <c r="F478" s="36" t="s">
        <v>3865</v>
      </c>
      <c r="G478" s="36" t="s">
        <v>3883</v>
      </c>
    </row>
    <row r="479" ht="15.75" customHeight="1" spans="6:7">
      <c r="F479" s="36" t="s">
        <v>3865</v>
      </c>
      <c r="G479" s="36" t="s">
        <v>3884</v>
      </c>
    </row>
    <row r="480" ht="15.75" customHeight="1" spans="6:7">
      <c r="F480" s="36" t="s">
        <v>3865</v>
      </c>
      <c r="G480" s="36" t="s">
        <v>3885</v>
      </c>
    </row>
    <row r="481" ht="15.75" customHeight="1" spans="6:7">
      <c r="F481" s="36" t="s">
        <v>3865</v>
      </c>
      <c r="G481" s="36" t="s">
        <v>3886</v>
      </c>
    </row>
    <row r="482" ht="15.75" customHeight="1" spans="6:7">
      <c r="F482" s="36" t="s">
        <v>3865</v>
      </c>
      <c r="G482" s="36" t="s">
        <v>3887</v>
      </c>
    </row>
    <row r="483" ht="15.75" customHeight="1" spans="6:7">
      <c r="F483" s="36" t="s">
        <v>3865</v>
      </c>
      <c r="G483" s="36" t="s">
        <v>3888</v>
      </c>
    </row>
    <row r="484" ht="15.75" customHeight="1" spans="6:7">
      <c r="F484" s="36" t="s">
        <v>3865</v>
      </c>
      <c r="G484" s="36" t="s">
        <v>3889</v>
      </c>
    </row>
    <row r="485" ht="15.75" customHeight="1" spans="6:7">
      <c r="F485" s="36" t="s">
        <v>3865</v>
      </c>
      <c r="G485" s="36" t="s">
        <v>3890</v>
      </c>
    </row>
    <row r="486" ht="15.75" customHeight="1" spans="6:7">
      <c r="F486" s="36" t="s">
        <v>3865</v>
      </c>
      <c r="G486" s="36" t="s">
        <v>3891</v>
      </c>
    </row>
    <row r="487" ht="15.75" customHeight="1" spans="6:7">
      <c r="F487" s="36" t="s">
        <v>3865</v>
      </c>
      <c r="G487" s="36" t="s">
        <v>3892</v>
      </c>
    </row>
    <row r="488" ht="15.75" customHeight="1" spans="6:7">
      <c r="F488" s="36" t="s">
        <v>3865</v>
      </c>
      <c r="G488" s="36" t="s">
        <v>3893</v>
      </c>
    </row>
    <row r="489" ht="15.75" customHeight="1" spans="6:7">
      <c r="F489" s="36" t="s">
        <v>3865</v>
      </c>
      <c r="G489" s="36" t="s">
        <v>3894</v>
      </c>
    </row>
    <row r="490" ht="15.75" customHeight="1" spans="6:7">
      <c r="F490" s="36" t="s">
        <v>3865</v>
      </c>
      <c r="G490" s="36" t="s">
        <v>3895</v>
      </c>
    </row>
    <row r="491" ht="15.75" customHeight="1" spans="6:7">
      <c r="F491" s="36" t="s">
        <v>3865</v>
      </c>
      <c r="G491" s="36" t="s">
        <v>3896</v>
      </c>
    </row>
    <row r="492" ht="15.75" customHeight="1" spans="6:7">
      <c r="F492" s="36" t="s">
        <v>3865</v>
      </c>
      <c r="G492" s="36" t="s">
        <v>3897</v>
      </c>
    </row>
    <row r="493" ht="15.75" customHeight="1" spans="6:7">
      <c r="F493" s="36" t="s">
        <v>3865</v>
      </c>
      <c r="G493" s="36" t="s">
        <v>3898</v>
      </c>
    </row>
    <row r="494" ht="15.75" customHeight="1" spans="6:7">
      <c r="F494" s="36" t="s">
        <v>3865</v>
      </c>
      <c r="G494" s="36" t="s">
        <v>3899</v>
      </c>
    </row>
    <row r="495" ht="15.75" customHeight="1" spans="6:7">
      <c r="F495" s="36" t="s">
        <v>3865</v>
      </c>
      <c r="G495" s="36" t="s">
        <v>3900</v>
      </c>
    </row>
    <row r="496" ht="15.75" customHeight="1" spans="6:7">
      <c r="F496" s="36" t="s">
        <v>3865</v>
      </c>
      <c r="G496" s="36" t="s">
        <v>3871</v>
      </c>
    </row>
    <row r="497" ht="15.75" customHeight="1" spans="6:7">
      <c r="F497" s="36" t="s">
        <v>3865</v>
      </c>
      <c r="G497" s="36" t="s">
        <v>3901</v>
      </c>
    </row>
    <row r="498" ht="15.75" customHeight="1" spans="6:7">
      <c r="F498" s="36" t="s">
        <v>3865</v>
      </c>
      <c r="G498" s="36" t="s">
        <v>3869</v>
      </c>
    </row>
    <row r="499" ht="15.75" customHeight="1" spans="6:7">
      <c r="F499" s="36" t="s">
        <v>3865</v>
      </c>
      <c r="G499" s="36" t="s">
        <v>22</v>
      </c>
    </row>
    <row r="500" ht="15.75" customHeight="1" spans="6:7">
      <c r="F500" s="36" t="s">
        <v>3865</v>
      </c>
      <c r="G500" s="36" t="s">
        <v>3876</v>
      </c>
    </row>
    <row r="501" ht="15.75" customHeight="1" spans="6:7">
      <c r="F501" s="36" t="s">
        <v>3865</v>
      </c>
      <c r="G501" s="36" t="s">
        <v>3902</v>
      </c>
    </row>
    <row r="502" ht="15.75" customHeight="1" spans="6:7">
      <c r="F502" s="36" t="s">
        <v>3865</v>
      </c>
      <c r="G502" s="36" t="s">
        <v>3872</v>
      </c>
    </row>
    <row r="503" ht="15.75" customHeight="1" spans="6:7">
      <c r="F503" s="36" t="s">
        <v>3865</v>
      </c>
      <c r="G503" s="36" t="s">
        <v>3903</v>
      </c>
    </row>
    <row r="504" ht="15.75" customHeight="1" spans="6:7">
      <c r="F504" s="36" t="s">
        <v>3865</v>
      </c>
      <c r="G504" s="36" t="s">
        <v>3904</v>
      </c>
    </row>
    <row r="505" ht="15.75" customHeight="1" spans="6:7">
      <c r="F505" s="36" t="s">
        <v>3865</v>
      </c>
      <c r="G505" s="36" t="s">
        <v>3889</v>
      </c>
    </row>
    <row r="506" ht="15.75" customHeight="1" spans="6:7">
      <c r="F506" s="36" t="s">
        <v>3865</v>
      </c>
      <c r="G506" s="36" t="s">
        <v>3905</v>
      </c>
    </row>
    <row r="507" ht="15.75" customHeight="1" spans="6:7">
      <c r="F507" s="36" t="s">
        <v>3865</v>
      </c>
      <c r="G507" s="36" t="s">
        <v>3906</v>
      </c>
    </row>
    <row r="508" ht="15.75" customHeight="1" spans="6:7">
      <c r="F508" s="36" t="s">
        <v>3865</v>
      </c>
      <c r="G508" s="36" t="s">
        <v>3907</v>
      </c>
    </row>
    <row r="509" ht="15.75" customHeight="1" spans="6:7">
      <c r="F509" s="36" t="s">
        <v>3865</v>
      </c>
      <c r="G509" s="36" t="s">
        <v>3908</v>
      </c>
    </row>
    <row r="510" ht="15.75" customHeight="1" spans="6:7">
      <c r="F510" s="36" t="s">
        <v>3865</v>
      </c>
      <c r="G510" s="36" t="s">
        <v>3870</v>
      </c>
    </row>
    <row r="511" ht="15.75" customHeight="1" spans="6:7">
      <c r="F511" s="36" t="s">
        <v>3865</v>
      </c>
      <c r="G511" s="36" t="s">
        <v>3874</v>
      </c>
    </row>
    <row r="512" ht="15.75" customHeight="1" spans="6:7">
      <c r="F512" s="36" t="s">
        <v>3865</v>
      </c>
      <c r="G512" s="36" t="s">
        <v>3909</v>
      </c>
    </row>
    <row r="513" ht="15.75" customHeight="1" spans="6:7">
      <c r="F513" s="36" t="s">
        <v>3865</v>
      </c>
      <c r="G513" s="36" t="s">
        <v>3910</v>
      </c>
    </row>
    <row r="514" ht="15.75" customHeight="1" spans="6:7">
      <c r="F514" s="36" t="s">
        <v>3865</v>
      </c>
      <c r="G514" s="36" t="s">
        <v>3911</v>
      </c>
    </row>
    <row r="515" ht="15.75" customHeight="1" spans="6:7">
      <c r="F515" s="36" t="s">
        <v>3865</v>
      </c>
      <c r="G515" s="36" t="s">
        <v>3912</v>
      </c>
    </row>
    <row r="516" ht="15.75" customHeight="1" spans="6:7">
      <c r="F516" s="36" t="s">
        <v>3865</v>
      </c>
      <c r="G516" s="36" t="s">
        <v>3913</v>
      </c>
    </row>
    <row r="517" ht="15.75" customHeight="1" spans="6:7">
      <c r="F517" s="36" t="s">
        <v>3865</v>
      </c>
      <c r="G517" s="36" t="s">
        <v>3914</v>
      </c>
    </row>
    <row r="518" ht="15.75" customHeight="1" spans="6:7">
      <c r="F518" s="36" t="s">
        <v>3865</v>
      </c>
      <c r="G518" s="36" t="s">
        <v>3915</v>
      </c>
    </row>
    <row r="519" ht="15.75" customHeight="1" spans="6:7">
      <c r="F519" s="36" t="s">
        <v>3865</v>
      </c>
      <c r="G519" s="36" t="s">
        <v>3916</v>
      </c>
    </row>
    <row r="520" ht="15.75" customHeight="1" spans="6:7">
      <c r="F520" s="36" t="s">
        <v>3865</v>
      </c>
      <c r="G520" s="36" t="s">
        <v>3917</v>
      </c>
    </row>
    <row r="521" ht="15.75" customHeight="1" spans="6:7">
      <c r="F521" s="36" t="s">
        <v>3865</v>
      </c>
      <c r="G521" s="36" t="s">
        <v>3918</v>
      </c>
    </row>
    <row r="522" ht="15.75" customHeight="1" spans="6:7">
      <c r="F522" s="36" t="s">
        <v>3865</v>
      </c>
      <c r="G522" s="36" t="s">
        <v>3919</v>
      </c>
    </row>
    <row r="523" ht="15.75" customHeight="1" spans="6:7">
      <c r="F523" s="36" t="s">
        <v>3865</v>
      </c>
      <c r="G523" s="36" t="s">
        <v>3920</v>
      </c>
    </row>
    <row r="524" ht="15.75" customHeight="1" spans="6:7">
      <c r="F524" s="36" t="s">
        <v>3865</v>
      </c>
      <c r="G524" s="36" t="s">
        <v>3921</v>
      </c>
    </row>
    <row r="525" ht="15.75" customHeight="1" spans="6:7">
      <c r="F525" s="36" t="s">
        <v>3865</v>
      </c>
      <c r="G525" s="36" t="s">
        <v>3922</v>
      </c>
    </row>
    <row r="526" ht="15.75" customHeight="1" spans="6:7">
      <c r="F526" s="36" t="s">
        <v>3865</v>
      </c>
      <c r="G526" s="36" t="s">
        <v>3923</v>
      </c>
    </row>
    <row r="527" ht="15.75" customHeight="1" spans="6:7">
      <c r="F527" s="36" t="s">
        <v>3865</v>
      </c>
      <c r="G527" s="36" t="s">
        <v>3924</v>
      </c>
    </row>
    <row r="528" ht="15.75" customHeight="1" spans="6:7">
      <c r="F528" s="36" t="s">
        <v>3865</v>
      </c>
      <c r="G528" s="36" t="s">
        <v>3925</v>
      </c>
    </row>
    <row r="529" ht="15.75" customHeight="1" spans="6:7">
      <c r="F529" s="36" t="s">
        <v>3865</v>
      </c>
      <c r="G529" s="36" t="s">
        <v>3926</v>
      </c>
    </row>
    <row r="530" ht="15.75" customHeight="1" spans="6:7">
      <c r="F530" s="36" t="s">
        <v>3865</v>
      </c>
      <c r="G530" s="36" t="s">
        <v>3927</v>
      </c>
    </row>
    <row r="531" ht="15.75" customHeight="1" spans="6:7">
      <c r="F531" s="36" t="s">
        <v>3865</v>
      </c>
      <c r="G531" s="36" t="s">
        <v>3928</v>
      </c>
    </row>
    <row r="532" ht="15.75" customHeight="1" spans="6:7">
      <c r="F532" s="36" t="s">
        <v>3865</v>
      </c>
      <c r="G532" s="36" t="s">
        <v>3929</v>
      </c>
    </row>
    <row r="533" ht="15.75" customHeight="1" spans="6:7">
      <c r="F533" s="36" t="s">
        <v>3865</v>
      </c>
      <c r="G533" s="36" t="s">
        <v>3930</v>
      </c>
    </row>
    <row r="534" ht="15.75" customHeight="1" spans="6:7">
      <c r="F534" s="36" t="s">
        <v>3865</v>
      </c>
      <c r="G534" s="36" t="s">
        <v>3931</v>
      </c>
    </row>
    <row r="535" ht="15.75" customHeight="1" spans="6:7">
      <c r="F535" s="36" t="s">
        <v>3865</v>
      </c>
      <c r="G535" s="36" t="s">
        <v>3932</v>
      </c>
    </row>
    <row r="536" ht="15.75" customHeight="1" spans="6:7">
      <c r="F536" s="36" t="s">
        <v>3865</v>
      </c>
      <c r="G536" s="36" t="s">
        <v>3933</v>
      </c>
    </row>
    <row r="537" ht="15.75" customHeight="1" spans="6:7">
      <c r="F537" s="36" t="s">
        <v>3865</v>
      </c>
      <c r="G537" s="36" t="s">
        <v>3934</v>
      </c>
    </row>
    <row r="538" ht="15.75" customHeight="1" spans="6:7">
      <c r="F538" s="36" t="s">
        <v>3865</v>
      </c>
      <c r="G538" s="36" t="s">
        <v>3935</v>
      </c>
    </row>
    <row r="539" ht="15.75" customHeight="1" spans="6:7">
      <c r="F539" s="36" t="s">
        <v>3865</v>
      </c>
      <c r="G539" s="36" t="s">
        <v>3936</v>
      </c>
    </row>
    <row r="540" ht="15.75" customHeight="1" spans="6:7">
      <c r="F540" s="36" t="s">
        <v>3865</v>
      </c>
      <c r="G540" s="36" t="s">
        <v>3937</v>
      </c>
    </row>
    <row r="541" ht="15.75" customHeight="1" spans="6:7">
      <c r="F541" s="36" t="s">
        <v>3865</v>
      </c>
      <c r="G541" s="36" t="s">
        <v>3938</v>
      </c>
    </row>
    <row r="542" ht="15.75" customHeight="1" spans="6:7">
      <c r="F542" s="36" t="s">
        <v>3865</v>
      </c>
      <c r="G542" s="36" t="s">
        <v>3939</v>
      </c>
    </row>
    <row r="543" ht="15.75" customHeight="1" spans="6:7">
      <c r="F543" s="36" t="s">
        <v>3865</v>
      </c>
      <c r="G543" s="36" t="s">
        <v>3940</v>
      </c>
    </row>
    <row r="544" ht="15.75" customHeight="1" spans="6:7">
      <c r="F544" s="36" t="s">
        <v>3865</v>
      </c>
      <c r="G544" s="36" t="s">
        <v>3941</v>
      </c>
    </row>
    <row r="545" ht="15.75" customHeight="1" spans="6:7">
      <c r="F545" s="36" t="s">
        <v>3865</v>
      </c>
      <c r="G545" s="36" t="s">
        <v>3942</v>
      </c>
    </row>
    <row r="546" ht="15.75" customHeight="1" spans="6:7">
      <c r="F546" s="36" t="s">
        <v>3865</v>
      </c>
      <c r="G546" s="36" t="s">
        <v>3943</v>
      </c>
    </row>
    <row r="547" ht="15.75" customHeight="1" spans="6:7">
      <c r="F547" s="36" t="s">
        <v>3865</v>
      </c>
      <c r="G547" s="36" t="s">
        <v>3944</v>
      </c>
    </row>
    <row r="548" ht="15.75" customHeight="1" spans="6:7">
      <c r="F548" s="36" t="s">
        <v>23</v>
      </c>
      <c r="G548" s="36" t="s">
        <v>23</v>
      </c>
    </row>
    <row r="549" ht="15.75" customHeight="1" spans="6:7">
      <c r="F549" s="36" t="s">
        <v>23</v>
      </c>
      <c r="G549" s="36" t="s">
        <v>3945</v>
      </c>
    </row>
    <row r="550" ht="15.75" customHeight="1" spans="6:7">
      <c r="F550" s="36" t="s">
        <v>23</v>
      </c>
      <c r="G550" s="36" t="s">
        <v>3946</v>
      </c>
    </row>
    <row r="551" ht="15.75" customHeight="1" spans="6:7">
      <c r="F551" s="36" t="s">
        <v>23</v>
      </c>
      <c r="G551" s="36" t="s">
        <v>3947</v>
      </c>
    </row>
    <row r="552" ht="15.75" customHeight="1" spans="6:7">
      <c r="F552" s="36" t="s">
        <v>23</v>
      </c>
      <c r="G552" s="36" t="s">
        <v>3948</v>
      </c>
    </row>
    <row r="553" ht="15.75" customHeight="1" spans="6:7">
      <c r="F553" s="36" t="s">
        <v>23</v>
      </c>
      <c r="G553" s="36" t="s">
        <v>3949</v>
      </c>
    </row>
    <row r="554" ht="15.75" customHeight="1" spans="6:7">
      <c r="F554" s="36" t="s">
        <v>23</v>
      </c>
      <c r="G554" s="36" t="s">
        <v>3950</v>
      </c>
    </row>
    <row r="555" ht="15.75" customHeight="1" spans="6:7">
      <c r="F555" s="36" t="s">
        <v>23</v>
      </c>
      <c r="G555" s="36" t="s">
        <v>3951</v>
      </c>
    </row>
    <row r="556" ht="15.75" customHeight="1" spans="6:7">
      <c r="F556" s="36" t="s">
        <v>23</v>
      </c>
      <c r="G556" s="36" t="s">
        <v>3952</v>
      </c>
    </row>
    <row r="557" ht="15.75" customHeight="1" spans="6:7">
      <c r="F557" s="36" t="s">
        <v>23</v>
      </c>
      <c r="G557" s="36" t="s">
        <v>3953</v>
      </c>
    </row>
    <row r="558" ht="15.75" customHeight="1" spans="6:7">
      <c r="F558" s="36" t="s">
        <v>23</v>
      </c>
      <c r="G558" s="36" t="s">
        <v>3954</v>
      </c>
    </row>
    <row r="559" ht="15.75" customHeight="1" spans="6:7">
      <c r="F559" s="36" t="s">
        <v>23</v>
      </c>
      <c r="G559" s="36" t="s">
        <v>3955</v>
      </c>
    </row>
    <row r="560" ht="15.75" customHeight="1" spans="6:7">
      <c r="F560" s="36" t="s">
        <v>23</v>
      </c>
      <c r="G560" s="36" t="s">
        <v>3956</v>
      </c>
    </row>
    <row r="561" ht="15.75" customHeight="1" spans="6:7">
      <c r="F561" s="36" t="s">
        <v>23</v>
      </c>
      <c r="G561" s="36" t="s">
        <v>3957</v>
      </c>
    </row>
    <row r="562" ht="15.75" customHeight="1" spans="6:7">
      <c r="F562" s="36" t="s">
        <v>23</v>
      </c>
      <c r="G562" s="36" t="s">
        <v>3958</v>
      </c>
    </row>
    <row r="563" ht="15.75" customHeight="1" spans="6:7">
      <c r="F563" s="36" t="s">
        <v>23</v>
      </c>
      <c r="G563" s="36" t="s">
        <v>3959</v>
      </c>
    </row>
    <row r="564" ht="15.75" customHeight="1" spans="6:7">
      <c r="F564" s="36" t="s">
        <v>23</v>
      </c>
      <c r="G564" s="36" t="s">
        <v>3960</v>
      </c>
    </row>
    <row r="565" ht="15.75" customHeight="1" spans="6:7">
      <c r="F565" s="36" t="s">
        <v>23</v>
      </c>
      <c r="G565" s="36" t="s">
        <v>3961</v>
      </c>
    </row>
    <row r="566" ht="15.75" customHeight="1" spans="6:7">
      <c r="F566" s="36" t="s">
        <v>23</v>
      </c>
      <c r="G566" s="36" t="s">
        <v>3962</v>
      </c>
    </row>
    <row r="567" ht="15.75" customHeight="1" spans="6:7">
      <c r="F567" s="36" t="s">
        <v>23</v>
      </c>
      <c r="G567" s="36" t="s">
        <v>3963</v>
      </c>
    </row>
    <row r="568" ht="15.75" customHeight="1" spans="6:7">
      <c r="F568" s="36" t="s">
        <v>23</v>
      </c>
      <c r="G568" s="36" t="s">
        <v>3964</v>
      </c>
    </row>
    <row r="569" ht="15.75" customHeight="1" spans="6:7">
      <c r="F569" s="36" t="s">
        <v>23</v>
      </c>
      <c r="G569" s="36" t="s">
        <v>3965</v>
      </c>
    </row>
    <row r="570" ht="15.75" customHeight="1" spans="6:7">
      <c r="F570" s="36" t="s">
        <v>23</v>
      </c>
      <c r="G570" s="36" t="s">
        <v>3966</v>
      </c>
    </row>
    <row r="571" ht="15.75" customHeight="1" spans="6:7">
      <c r="F571" s="36" t="s">
        <v>23</v>
      </c>
      <c r="G571" s="36" t="s">
        <v>3967</v>
      </c>
    </row>
    <row r="572" ht="15.75" customHeight="1" spans="6:7">
      <c r="F572" s="36" t="s">
        <v>23</v>
      </c>
      <c r="G572" s="36" t="s">
        <v>3968</v>
      </c>
    </row>
    <row r="573" ht="15.75" customHeight="1" spans="6:7">
      <c r="F573" s="36" t="s">
        <v>23</v>
      </c>
      <c r="G573" s="36" t="s">
        <v>3969</v>
      </c>
    </row>
    <row r="574" ht="15.75" customHeight="1" spans="6:7">
      <c r="F574" s="36" t="s">
        <v>23</v>
      </c>
      <c r="G574" s="36" t="s">
        <v>3970</v>
      </c>
    </row>
    <row r="575" ht="15.75" customHeight="1" spans="6:7">
      <c r="F575" s="36" t="s">
        <v>23</v>
      </c>
      <c r="G575" s="36" t="s">
        <v>3971</v>
      </c>
    </row>
    <row r="576" ht="15.75" customHeight="1" spans="6:7">
      <c r="F576" s="36" t="s">
        <v>23</v>
      </c>
      <c r="G576" s="36" t="s">
        <v>3972</v>
      </c>
    </row>
    <row r="577" ht="15.75" customHeight="1" spans="6:7">
      <c r="F577" s="36" t="s">
        <v>23</v>
      </c>
      <c r="G577" s="36" t="s">
        <v>3973</v>
      </c>
    </row>
    <row r="578" ht="15.75" customHeight="1" spans="6:7">
      <c r="F578" s="36" t="s">
        <v>23</v>
      </c>
      <c r="G578" s="36" t="s">
        <v>3974</v>
      </c>
    </row>
    <row r="579" ht="15.75" customHeight="1" spans="6:7">
      <c r="F579" s="36" t="s">
        <v>23</v>
      </c>
      <c r="G579" s="36" t="s">
        <v>3975</v>
      </c>
    </row>
    <row r="580" ht="15.75" customHeight="1" spans="6:7">
      <c r="F580" s="36" t="s">
        <v>23</v>
      </c>
      <c r="G580" s="36" t="s">
        <v>3976</v>
      </c>
    </row>
    <row r="581" ht="15.75" customHeight="1" spans="6:7">
      <c r="F581" s="36" t="s">
        <v>23</v>
      </c>
      <c r="G581" s="36" t="s">
        <v>3977</v>
      </c>
    </row>
    <row r="582" ht="15.75" customHeight="1" spans="6:7">
      <c r="F582" s="36" t="s">
        <v>23</v>
      </c>
      <c r="G582" s="36" t="s">
        <v>3978</v>
      </c>
    </row>
    <row r="583" ht="15.75" customHeight="1" spans="6:7">
      <c r="F583" s="36" t="s">
        <v>23</v>
      </c>
      <c r="G583" s="36" t="s">
        <v>3979</v>
      </c>
    </row>
    <row r="584" ht="15.75" customHeight="1" spans="6:7">
      <c r="F584" s="36" t="s">
        <v>23</v>
      </c>
      <c r="G584" s="36" t="s">
        <v>3980</v>
      </c>
    </row>
    <row r="585" ht="15.75" customHeight="1" spans="6:7">
      <c r="F585" s="36" t="s">
        <v>23</v>
      </c>
      <c r="G585" s="36" t="s">
        <v>3981</v>
      </c>
    </row>
    <row r="586" ht="15.75" customHeight="1" spans="6:7">
      <c r="F586" s="36" t="s">
        <v>23</v>
      </c>
      <c r="G586" s="36" t="s">
        <v>3982</v>
      </c>
    </row>
    <row r="587" ht="15.75" customHeight="1" spans="6:7">
      <c r="F587" s="36" t="s">
        <v>23</v>
      </c>
      <c r="G587" s="36" t="s">
        <v>3983</v>
      </c>
    </row>
    <row r="588" ht="15.75" customHeight="1" spans="6:7">
      <c r="F588" s="36" t="s">
        <v>23</v>
      </c>
      <c r="G588" s="36" t="s">
        <v>3984</v>
      </c>
    </row>
    <row r="589" ht="15.75" customHeight="1" spans="6:7">
      <c r="F589" s="36" t="s">
        <v>23</v>
      </c>
      <c r="G589" s="36" t="s">
        <v>3985</v>
      </c>
    </row>
    <row r="590" ht="15.75" customHeight="1" spans="6:7">
      <c r="F590" s="36" t="s">
        <v>23</v>
      </c>
      <c r="G590" s="36" t="s">
        <v>3986</v>
      </c>
    </row>
    <row r="591" ht="15.75" customHeight="1" spans="6:7">
      <c r="F591" s="36" t="s">
        <v>23</v>
      </c>
      <c r="G591" s="36" t="s">
        <v>3987</v>
      </c>
    </row>
    <row r="592" ht="15.75" customHeight="1" spans="6:7">
      <c r="F592" s="36" t="s">
        <v>23</v>
      </c>
      <c r="G592" s="36" t="s">
        <v>3988</v>
      </c>
    </row>
    <row r="593" ht="15.75" customHeight="1" spans="6:7">
      <c r="F593" s="36" t="s">
        <v>23</v>
      </c>
      <c r="G593" s="36" t="s">
        <v>3989</v>
      </c>
    </row>
    <row r="594" ht="15.75" customHeight="1" spans="6:7">
      <c r="F594" s="36" t="s">
        <v>23</v>
      </c>
      <c r="G594" s="36" t="s">
        <v>3990</v>
      </c>
    </row>
    <row r="595" ht="15.75" customHeight="1" spans="6:7">
      <c r="F595" s="36" t="s">
        <v>23</v>
      </c>
      <c r="G595" s="36" t="s">
        <v>3991</v>
      </c>
    </row>
    <row r="596" ht="15.75" customHeight="1" spans="6:7">
      <c r="F596" s="36" t="s">
        <v>23</v>
      </c>
      <c r="G596" s="36" t="s">
        <v>3992</v>
      </c>
    </row>
    <row r="597" ht="15.75" customHeight="1" spans="6:7">
      <c r="F597" s="36" t="s">
        <v>23</v>
      </c>
      <c r="G597" s="36" t="s">
        <v>3993</v>
      </c>
    </row>
    <row r="598" ht="15.75" customHeight="1" spans="6:7">
      <c r="F598" s="36" t="s">
        <v>23</v>
      </c>
      <c r="G598" s="36" t="s">
        <v>3994</v>
      </c>
    </row>
    <row r="599" ht="15.75" customHeight="1" spans="6:7">
      <c r="F599" s="36" t="s">
        <v>23</v>
      </c>
      <c r="G599" s="36" t="s">
        <v>3995</v>
      </c>
    </row>
    <row r="600" ht="15.75" customHeight="1" spans="6:7">
      <c r="F600" s="36" t="s">
        <v>23</v>
      </c>
      <c r="G600" s="36" t="s">
        <v>3996</v>
      </c>
    </row>
    <row r="601" ht="15.75" customHeight="1" spans="6:7">
      <c r="F601" s="36" t="s">
        <v>23</v>
      </c>
      <c r="G601" s="36" t="s">
        <v>3997</v>
      </c>
    </row>
    <row r="602" ht="15.75" customHeight="1" spans="6:7">
      <c r="F602" s="36" t="s">
        <v>23</v>
      </c>
      <c r="G602" s="36" t="s">
        <v>3998</v>
      </c>
    </row>
    <row r="603" ht="15.75" customHeight="1" spans="6:7">
      <c r="F603" s="36" t="s">
        <v>23</v>
      </c>
      <c r="G603" s="36" t="s">
        <v>3999</v>
      </c>
    </row>
    <row r="604" ht="15.75" customHeight="1" spans="6:7">
      <c r="F604" s="36" t="s">
        <v>23</v>
      </c>
      <c r="G604" s="36" t="s">
        <v>4000</v>
      </c>
    </row>
    <row r="605" ht="15.75" customHeight="1" spans="6:7">
      <c r="F605" s="36" t="s">
        <v>23</v>
      </c>
      <c r="G605" s="36" t="s">
        <v>4001</v>
      </c>
    </row>
    <row r="606" ht="15.75" customHeight="1" spans="6:7">
      <c r="F606" s="36" t="s">
        <v>23</v>
      </c>
      <c r="G606" s="36" t="s">
        <v>4002</v>
      </c>
    </row>
    <row r="607" ht="15.75" customHeight="1" spans="6:7">
      <c r="F607" s="36" t="s">
        <v>23</v>
      </c>
      <c r="G607" s="36" t="s">
        <v>4003</v>
      </c>
    </row>
    <row r="608" ht="15.75" customHeight="1" spans="6:7">
      <c r="F608" s="36" t="s">
        <v>23</v>
      </c>
      <c r="G608" s="36" t="s">
        <v>4004</v>
      </c>
    </row>
    <row r="609" ht="15.75" customHeight="1" spans="6:7">
      <c r="F609" s="36" t="s">
        <v>23</v>
      </c>
      <c r="G609" s="36" t="s">
        <v>4005</v>
      </c>
    </row>
    <row r="610" ht="15.75" customHeight="1" spans="6:7">
      <c r="F610" s="36" t="s">
        <v>23</v>
      </c>
      <c r="G610" s="36" t="s">
        <v>4006</v>
      </c>
    </row>
    <row r="611" ht="15.75" customHeight="1" spans="6:7">
      <c r="F611" s="36" t="s">
        <v>23</v>
      </c>
      <c r="G611" s="36" t="s">
        <v>4007</v>
      </c>
    </row>
    <row r="612" ht="15.75" customHeight="1" spans="6:7">
      <c r="F612" s="36" t="s">
        <v>23</v>
      </c>
      <c r="G612" s="36" t="s">
        <v>4008</v>
      </c>
    </row>
    <row r="613" ht="15.75" customHeight="1" spans="6:7">
      <c r="F613" s="36" t="s">
        <v>4009</v>
      </c>
      <c r="G613" s="36" t="s">
        <v>136</v>
      </c>
    </row>
    <row r="614" ht="15.75" customHeight="1" spans="6:7">
      <c r="F614" s="36" t="s">
        <v>4009</v>
      </c>
      <c r="G614" s="36" t="s">
        <v>4010</v>
      </c>
    </row>
    <row r="615" ht="15.75" customHeight="1" spans="6:7">
      <c r="F615" s="36" t="s">
        <v>4009</v>
      </c>
      <c r="G615" s="36" t="s">
        <v>4011</v>
      </c>
    </row>
    <row r="616" ht="15.75" customHeight="1" spans="6:7">
      <c r="F616" s="36" t="s">
        <v>4009</v>
      </c>
      <c r="G616" s="36" t="s">
        <v>4012</v>
      </c>
    </row>
    <row r="617" ht="15.75" customHeight="1" spans="6:7">
      <c r="F617" s="36" t="s">
        <v>4009</v>
      </c>
      <c r="G617" s="36" t="s">
        <v>4013</v>
      </c>
    </row>
    <row r="618" ht="15.75" customHeight="1" spans="6:7">
      <c r="F618" s="36" t="s">
        <v>4009</v>
      </c>
      <c r="G618" s="36" t="s">
        <v>24</v>
      </c>
    </row>
    <row r="619" ht="15.75" customHeight="1" spans="6:7">
      <c r="F619" s="36" t="s">
        <v>4009</v>
      </c>
      <c r="G619" s="36" t="s">
        <v>4014</v>
      </c>
    </row>
    <row r="620" ht="15.75" customHeight="1" spans="6:7">
      <c r="F620" s="36" t="s">
        <v>4009</v>
      </c>
      <c r="G620" s="36" t="s">
        <v>4009</v>
      </c>
    </row>
    <row r="621" ht="15.75" customHeight="1" spans="6:7">
      <c r="F621" s="36" t="s">
        <v>4009</v>
      </c>
      <c r="G621" s="36" t="s">
        <v>4015</v>
      </c>
    </row>
    <row r="622" ht="15.75" customHeight="1" spans="6:7">
      <c r="F622" s="36" t="s">
        <v>4009</v>
      </c>
      <c r="G622" s="36" t="s">
        <v>4016</v>
      </c>
    </row>
    <row r="623" ht="15.75" customHeight="1" spans="6:7">
      <c r="F623" s="36" t="s">
        <v>4009</v>
      </c>
      <c r="G623" s="36" t="s">
        <v>4017</v>
      </c>
    </row>
    <row r="624" ht="15.75" customHeight="1" spans="6:7">
      <c r="F624" s="36" t="s">
        <v>4009</v>
      </c>
      <c r="G624" s="36" t="s">
        <v>4018</v>
      </c>
    </row>
    <row r="625" ht="15.75" customHeight="1" spans="6:7">
      <c r="F625" s="36" t="s">
        <v>4009</v>
      </c>
      <c r="G625" s="36" t="s">
        <v>4019</v>
      </c>
    </row>
    <row r="626" ht="15.75" customHeight="1" spans="6:7">
      <c r="F626" s="36" t="s">
        <v>4009</v>
      </c>
      <c r="G626" s="36" t="s">
        <v>4020</v>
      </c>
    </row>
    <row r="627" ht="15.75" customHeight="1" spans="6:7">
      <c r="F627" s="36" t="s">
        <v>4009</v>
      </c>
      <c r="G627" s="36" t="s">
        <v>4021</v>
      </c>
    </row>
    <row r="628" ht="15.75" customHeight="1" spans="6:7">
      <c r="F628" s="36" t="s">
        <v>4009</v>
      </c>
      <c r="G628" s="36" t="s">
        <v>4022</v>
      </c>
    </row>
    <row r="629" ht="15.75" customHeight="1" spans="6:7">
      <c r="F629" s="36" t="s">
        <v>4009</v>
      </c>
      <c r="G629" s="36" t="s">
        <v>4023</v>
      </c>
    </row>
    <row r="630" ht="15.75" customHeight="1" spans="6:7">
      <c r="F630" s="36" t="s">
        <v>4009</v>
      </c>
      <c r="G630" s="36" t="s">
        <v>4024</v>
      </c>
    </row>
    <row r="631" ht="15.75" customHeight="1" spans="6:7">
      <c r="F631" s="36" t="s">
        <v>4009</v>
      </c>
      <c r="G631" s="36" t="s">
        <v>4025</v>
      </c>
    </row>
    <row r="632" ht="15.75" customHeight="1" spans="6:7">
      <c r="F632" s="36" t="s">
        <v>4009</v>
      </c>
      <c r="G632" s="36" t="s">
        <v>4026</v>
      </c>
    </row>
    <row r="633" ht="15.75" customHeight="1" spans="6:7">
      <c r="F633" s="36" t="s">
        <v>4009</v>
      </c>
      <c r="G633" s="36" t="s">
        <v>4027</v>
      </c>
    </row>
    <row r="634" ht="15.75" customHeight="1" spans="6:7">
      <c r="F634" s="36" t="s">
        <v>4009</v>
      </c>
      <c r="G634" s="36" t="s">
        <v>4028</v>
      </c>
    </row>
    <row r="635" ht="15.75" customHeight="1" spans="6:7">
      <c r="F635" s="36" t="s">
        <v>4009</v>
      </c>
      <c r="G635" s="36" t="s">
        <v>4029</v>
      </c>
    </row>
    <row r="636" ht="15.75" customHeight="1" spans="6:7">
      <c r="F636" s="36" t="s">
        <v>4009</v>
      </c>
      <c r="G636" s="36" t="s">
        <v>4030</v>
      </c>
    </row>
    <row r="637" ht="15.75" customHeight="1" spans="6:7">
      <c r="F637" s="36" t="s">
        <v>4009</v>
      </c>
      <c r="G637" s="36" t="s">
        <v>4031</v>
      </c>
    </row>
    <row r="638" ht="15.75" customHeight="1" spans="6:7">
      <c r="F638" s="36" t="s">
        <v>4009</v>
      </c>
      <c r="G638" s="36" t="s">
        <v>4032</v>
      </c>
    </row>
    <row r="639" ht="15.75" customHeight="1" spans="6:7">
      <c r="F639" s="36" t="s">
        <v>4009</v>
      </c>
      <c r="G639" s="36" t="s">
        <v>4033</v>
      </c>
    </row>
    <row r="640" ht="15.75" customHeight="1" spans="6:7">
      <c r="F640" s="36" t="s">
        <v>4009</v>
      </c>
      <c r="G640" s="36" t="s">
        <v>4034</v>
      </c>
    </row>
    <row r="641" ht="15.75" customHeight="1" spans="6:7">
      <c r="F641" s="36" t="s">
        <v>4009</v>
      </c>
      <c r="G641" s="36" t="s">
        <v>4035</v>
      </c>
    </row>
    <row r="642" ht="15.75" customHeight="1" spans="6:7">
      <c r="F642" s="36" t="s">
        <v>4009</v>
      </c>
      <c r="G642" s="36" t="s">
        <v>4036</v>
      </c>
    </row>
    <row r="643" ht="15.75" customHeight="1" spans="6:7">
      <c r="F643" s="36" t="s">
        <v>4009</v>
      </c>
      <c r="G643" s="36" t="s">
        <v>4037</v>
      </c>
    </row>
    <row r="644" ht="15.75" customHeight="1" spans="6:7">
      <c r="F644" s="36" t="s">
        <v>4009</v>
      </c>
      <c r="G644" s="36" t="s">
        <v>4038</v>
      </c>
    </row>
    <row r="645" ht="15.75" customHeight="1" spans="6:7">
      <c r="F645" s="36" t="s">
        <v>4009</v>
      </c>
      <c r="G645" s="36" t="s">
        <v>4039</v>
      </c>
    </row>
    <row r="646" ht="15.75" customHeight="1" spans="6:7">
      <c r="F646" s="36" t="s">
        <v>4009</v>
      </c>
      <c r="G646" s="36" t="s">
        <v>4040</v>
      </c>
    </row>
    <row r="647" ht="15.75" customHeight="1" spans="6:7">
      <c r="F647" s="36" t="s">
        <v>4009</v>
      </c>
      <c r="G647" s="36" t="s">
        <v>4010</v>
      </c>
    </row>
    <row r="648" ht="15.75" customHeight="1" spans="6:7">
      <c r="F648" s="36" t="s">
        <v>4009</v>
      </c>
      <c r="G648" s="36" t="s">
        <v>4041</v>
      </c>
    </row>
    <row r="649" ht="15.75" customHeight="1" spans="6:7">
      <c r="F649" s="36" t="s">
        <v>4009</v>
      </c>
      <c r="G649" s="36" t="s">
        <v>4011</v>
      </c>
    </row>
    <row r="650" ht="15.75" customHeight="1" spans="6:7">
      <c r="F650" s="36" t="s">
        <v>4009</v>
      </c>
      <c r="G650" s="36" t="s">
        <v>4013</v>
      </c>
    </row>
    <row r="651" ht="15.75" customHeight="1" spans="6:7">
      <c r="F651" s="36" t="s">
        <v>4009</v>
      </c>
      <c r="G651" s="36" t="s">
        <v>136</v>
      </c>
    </row>
    <row r="652" ht="15.75" customHeight="1" spans="6:7">
      <c r="F652" s="36" t="s">
        <v>4009</v>
      </c>
      <c r="G652" s="36" t="s">
        <v>4042</v>
      </c>
    </row>
    <row r="653" ht="15.75" customHeight="1" spans="6:7">
      <c r="F653" s="36" t="s">
        <v>4009</v>
      </c>
      <c r="G653" s="36" t="s">
        <v>4036</v>
      </c>
    </row>
    <row r="654" ht="15.75" customHeight="1" spans="6:7">
      <c r="F654" s="36" t="s">
        <v>4009</v>
      </c>
      <c r="G654" s="36" t="s">
        <v>4043</v>
      </c>
    </row>
    <row r="655" ht="15.75" customHeight="1" spans="6:7">
      <c r="F655" s="36" t="s">
        <v>4009</v>
      </c>
      <c r="G655" s="36" t="s">
        <v>4044</v>
      </c>
    </row>
    <row r="656" ht="15.75" customHeight="1" spans="6:7">
      <c r="F656" s="36" t="s">
        <v>4009</v>
      </c>
      <c r="G656" s="36" t="s">
        <v>4045</v>
      </c>
    </row>
    <row r="657" ht="15.75" customHeight="1" spans="6:7">
      <c r="F657" s="36" t="s">
        <v>4009</v>
      </c>
      <c r="G657" s="36" t="s">
        <v>4046</v>
      </c>
    </row>
    <row r="658" ht="15.75" customHeight="1" spans="6:7">
      <c r="F658" s="36" t="s">
        <v>4009</v>
      </c>
      <c r="G658" s="36" t="s">
        <v>4047</v>
      </c>
    </row>
    <row r="659" ht="15.75" customHeight="1" spans="6:7">
      <c r="F659" s="36" t="s">
        <v>4009</v>
      </c>
      <c r="G659" s="36" t="s">
        <v>4048</v>
      </c>
    </row>
    <row r="660" ht="15.75" customHeight="1" spans="6:7">
      <c r="F660" s="36" t="s">
        <v>4009</v>
      </c>
      <c r="G660" s="36" t="s">
        <v>4049</v>
      </c>
    </row>
    <row r="661" ht="15.75" customHeight="1" spans="6:7">
      <c r="F661" s="36" t="s">
        <v>4009</v>
      </c>
      <c r="G661" s="36" t="s">
        <v>4050</v>
      </c>
    </row>
    <row r="662" ht="15.75" customHeight="1" spans="6:7">
      <c r="F662" s="36" t="s">
        <v>4009</v>
      </c>
      <c r="G662" s="36" t="s">
        <v>4051</v>
      </c>
    </row>
    <row r="663" ht="15.75" customHeight="1" spans="6:7">
      <c r="F663" s="36" t="s">
        <v>4009</v>
      </c>
      <c r="G663" s="36" t="s">
        <v>4052</v>
      </c>
    </row>
    <row r="664" ht="15.75" customHeight="1" spans="6:7">
      <c r="F664" s="36" t="s">
        <v>4009</v>
      </c>
      <c r="G664" s="36" t="s">
        <v>4053</v>
      </c>
    </row>
    <row r="665" ht="15.75" customHeight="1" spans="6:7">
      <c r="F665" s="36" t="s">
        <v>4009</v>
      </c>
      <c r="G665" s="36" t="s">
        <v>4054</v>
      </c>
    </row>
    <row r="666" ht="15.75" customHeight="1" spans="6:7">
      <c r="F666" s="36" t="s">
        <v>4009</v>
      </c>
      <c r="G666" s="36" t="s">
        <v>4055</v>
      </c>
    </row>
    <row r="667" ht="15.75" customHeight="1" spans="6:7">
      <c r="F667" s="36" t="s">
        <v>4009</v>
      </c>
      <c r="G667" s="36" t="s">
        <v>4056</v>
      </c>
    </row>
    <row r="668" ht="15.75" customHeight="1" spans="6:7">
      <c r="F668" s="36" t="s">
        <v>4057</v>
      </c>
      <c r="G668" s="36" t="s">
        <v>4058</v>
      </c>
    </row>
    <row r="669" ht="15.75" customHeight="1" spans="6:7">
      <c r="F669" s="36" t="s">
        <v>4057</v>
      </c>
      <c r="G669" s="36" t="s">
        <v>4059</v>
      </c>
    </row>
    <row r="670" ht="15.75" customHeight="1" spans="6:7">
      <c r="F670" s="36" t="s">
        <v>4057</v>
      </c>
      <c r="G670" s="36" t="s">
        <v>25</v>
      </c>
    </row>
    <row r="671" ht="15.75" customHeight="1" spans="6:7">
      <c r="F671" s="36" t="s">
        <v>4057</v>
      </c>
      <c r="G671" s="36" t="s">
        <v>4060</v>
      </c>
    </row>
    <row r="672" ht="15.75" customHeight="1" spans="6:7">
      <c r="F672" s="36" t="s">
        <v>4057</v>
      </c>
      <c r="G672" s="36" t="s">
        <v>4061</v>
      </c>
    </row>
    <row r="673" ht="15.75" customHeight="1" spans="6:7">
      <c r="F673" s="36" t="s">
        <v>4057</v>
      </c>
      <c r="G673" s="36" t="s">
        <v>4062</v>
      </c>
    </row>
    <row r="674" ht="15.75" customHeight="1" spans="6:7">
      <c r="F674" s="36" t="s">
        <v>4057</v>
      </c>
      <c r="G674" s="36" t="s">
        <v>4063</v>
      </c>
    </row>
    <row r="675" ht="15.75" customHeight="1" spans="6:7">
      <c r="F675" s="36" t="s">
        <v>4057</v>
      </c>
      <c r="G675" s="36" t="s">
        <v>141</v>
      </c>
    </row>
    <row r="676" ht="15.75" customHeight="1" spans="6:7">
      <c r="F676" s="36" t="s">
        <v>4057</v>
      </c>
      <c r="G676" s="36" t="s">
        <v>28</v>
      </c>
    </row>
    <row r="677" ht="15.75" customHeight="1" spans="6:7">
      <c r="F677" s="36" t="s">
        <v>4057</v>
      </c>
      <c r="G677" s="36" t="s">
        <v>4064</v>
      </c>
    </row>
    <row r="678" ht="15.75" customHeight="1" spans="6:7">
      <c r="F678" s="36" t="s">
        <v>4057</v>
      </c>
      <c r="G678" s="36" t="s">
        <v>4065</v>
      </c>
    </row>
    <row r="679" ht="15.75" customHeight="1" spans="6:7">
      <c r="F679" s="36" t="s">
        <v>4057</v>
      </c>
      <c r="G679" s="36" t="s">
        <v>4066</v>
      </c>
    </row>
    <row r="680" ht="15.75" customHeight="1" spans="6:7">
      <c r="F680" s="36" t="s">
        <v>4057</v>
      </c>
      <c r="G680" s="36" t="s">
        <v>4057</v>
      </c>
    </row>
    <row r="681" ht="15.75" customHeight="1" spans="6:7">
      <c r="F681" s="36" t="s">
        <v>4057</v>
      </c>
      <c r="G681" s="36" t="s">
        <v>4067</v>
      </c>
    </row>
    <row r="682" ht="15.75" customHeight="1" spans="6:7">
      <c r="F682" s="36" t="s">
        <v>4057</v>
      </c>
      <c r="G682" s="36" t="s">
        <v>4068</v>
      </c>
    </row>
    <row r="683" ht="15.75" customHeight="1" spans="6:7">
      <c r="F683" s="36" t="s">
        <v>4057</v>
      </c>
      <c r="G683" s="36" t="s">
        <v>4069</v>
      </c>
    </row>
    <row r="684" ht="15.75" customHeight="1" spans="6:7">
      <c r="F684" s="36" t="s">
        <v>4057</v>
      </c>
      <c r="G684" s="36" t="s">
        <v>4070</v>
      </c>
    </row>
    <row r="685" ht="15.75" customHeight="1" spans="6:7">
      <c r="F685" s="36" t="s">
        <v>4057</v>
      </c>
      <c r="G685" s="36" t="s">
        <v>4071</v>
      </c>
    </row>
    <row r="686" ht="15.75" customHeight="1" spans="6:7">
      <c r="F686" s="36" t="s">
        <v>4057</v>
      </c>
      <c r="G686" s="36" t="s">
        <v>4072</v>
      </c>
    </row>
    <row r="687" ht="15.75" customHeight="1" spans="6:7">
      <c r="F687" s="36" t="s">
        <v>4057</v>
      </c>
      <c r="G687" s="36" t="s">
        <v>4073</v>
      </c>
    </row>
    <row r="688" ht="15.75" customHeight="1" spans="6:7">
      <c r="F688" s="36" t="s">
        <v>4057</v>
      </c>
      <c r="G688" s="36" t="s">
        <v>4074</v>
      </c>
    </row>
    <row r="689" ht="15.75" customHeight="1" spans="6:7">
      <c r="F689" s="36" t="s">
        <v>4057</v>
      </c>
      <c r="G689" s="36" t="s">
        <v>4075</v>
      </c>
    </row>
    <row r="690" ht="15.75" customHeight="1" spans="6:7">
      <c r="F690" s="36" t="s">
        <v>4057</v>
      </c>
      <c r="G690" s="36" t="s">
        <v>4076</v>
      </c>
    </row>
    <row r="691" ht="15.75" customHeight="1" spans="6:7">
      <c r="F691" s="36" t="s">
        <v>4057</v>
      </c>
      <c r="G691" s="36" t="s">
        <v>4077</v>
      </c>
    </row>
    <row r="692" ht="15.75" customHeight="1" spans="6:7">
      <c r="F692" s="36" t="s">
        <v>4057</v>
      </c>
      <c r="G692" s="36" t="s">
        <v>4078</v>
      </c>
    </row>
    <row r="693" ht="15.75" customHeight="1" spans="6:7">
      <c r="F693" s="36" t="s">
        <v>4057</v>
      </c>
      <c r="G693" s="36" t="s">
        <v>4079</v>
      </c>
    </row>
    <row r="694" ht="15.75" customHeight="1" spans="6:7">
      <c r="F694" s="36" t="s">
        <v>4057</v>
      </c>
      <c r="G694" s="36" t="s">
        <v>4080</v>
      </c>
    </row>
    <row r="695" ht="15.75" customHeight="1" spans="6:7">
      <c r="F695" s="36" t="s">
        <v>4057</v>
      </c>
      <c r="G695" s="36" t="s">
        <v>4081</v>
      </c>
    </row>
    <row r="696" ht="15.75" customHeight="1" spans="6:7">
      <c r="F696" s="36" t="s">
        <v>4057</v>
      </c>
      <c r="G696" s="36" t="s">
        <v>4082</v>
      </c>
    </row>
    <row r="697" ht="15.75" customHeight="1" spans="6:7">
      <c r="F697" s="36" t="s">
        <v>4057</v>
      </c>
      <c r="G697" s="36" t="s">
        <v>4083</v>
      </c>
    </row>
    <row r="698" ht="15.75" customHeight="1" spans="6:7">
      <c r="F698" s="36" t="s">
        <v>4057</v>
      </c>
      <c r="G698" s="36" t="s">
        <v>4084</v>
      </c>
    </row>
    <row r="699" ht="15.75" customHeight="1" spans="6:7">
      <c r="F699" s="36" t="s">
        <v>4057</v>
      </c>
      <c r="G699" s="36" t="s">
        <v>4085</v>
      </c>
    </row>
    <row r="700" ht="15.75" customHeight="1" spans="6:7">
      <c r="F700" s="36" t="s">
        <v>4057</v>
      </c>
      <c r="G700" s="36" t="s">
        <v>4086</v>
      </c>
    </row>
    <row r="701" ht="15.75" customHeight="1" spans="6:7">
      <c r="F701" s="36" t="s">
        <v>4057</v>
      </c>
      <c r="G701" s="36" t="s">
        <v>4087</v>
      </c>
    </row>
    <row r="702" ht="15.75" customHeight="1" spans="6:7">
      <c r="F702" s="36" t="s">
        <v>4057</v>
      </c>
      <c r="G702" s="36" t="s">
        <v>4088</v>
      </c>
    </row>
    <row r="703" ht="15.75" customHeight="1" spans="6:7">
      <c r="F703" s="36" t="s">
        <v>4057</v>
      </c>
      <c r="G703" s="36" t="s">
        <v>4089</v>
      </c>
    </row>
    <row r="704" ht="15.75" customHeight="1" spans="6:7">
      <c r="F704" s="36" t="s">
        <v>4057</v>
      </c>
      <c r="G704" s="36" t="s">
        <v>4090</v>
      </c>
    </row>
    <row r="705" ht="15.75" customHeight="1" spans="6:7">
      <c r="F705" s="36" t="s">
        <v>4057</v>
      </c>
      <c r="G705" s="36" t="s">
        <v>4091</v>
      </c>
    </row>
    <row r="706" ht="15.75" customHeight="1" spans="6:7">
      <c r="F706" s="36" t="s">
        <v>4057</v>
      </c>
      <c r="G706" s="36" t="s">
        <v>4092</v>
      </c>
    </row>
    <row r="707" ht="15.75" customHeight="1" spans="6:7">
      <c r="F707" s="36" t="s">
        <v>4057</v>
      </c>
      <c r="G707" s="36" t="s">
        <v>4093</v>
      </c>
    </row>
    <row r="708" ht="15.75" customHeight="1" spans="6:7">
      <c r="F708" s="36" t="s">
        <v>4057</v>
      </c>
      <c r="G708" s="36" t="s">
        <v>4094</v>
      </c>
    </row>
    <row r="709" ht="15.75" customHeight="1" spans="6:7">
      <c r="F709" s="36" t="s">
        <v>4057</v>
      </c>
      <c r="G709" s="36" t="s">
        <v>4095</v>
      </c>
    </row>
    <row r="710" ht="15.75" customHeight="1" spans="6:7">
      <c r="F710" s="36" t="s">
        <v>4057</v>
      </c>
      <c r="G710" s="36" t="s">
        <v>4096</v>
      </c>
    </row>
    <row r="711" ht="15.75" customHeight="1" spans="6:7">
      <c r="F711" s="36" t="s">
        <v>4057</v>
      </c>
      <c r="G711" s="36" t="s">
        <v>4097</v>
      </c>
    </row>
    <row r="712" ht="15.75" customHeight="1" spans="6:7">
      <c r="F712" s="36" t="s">
        <v>4057</v>
      </c>
      <c r="G712" s="36" t="s">
        <v>4098</v>
      </c>
    </row>
    <row r="713" ht="15.75" customHeight="1" spans="6:7">
      <c r="F713" s="36" t="s">
        <v>4057</v>
      </c>
      <c r="G713" s="36" t="s">
        <v>4099</v>
      </c>
    </row>
    <row r="714" ht="15.75" customHeight="1" spans="6:7">
      <c r="F714" s="36" t="s">
        <v>4057</v>
      </c>
      <c r="G714" s="36" t="s">
        <v>4100</v>
      </c>
    </row>
    <row r="715" ht="15.75" customHeight="1" spans="6:7">
      <c r="F715" s="36" t="s">
        <v>4057</v>
      </c>
      <c r="G715" s="36" t="s">
        <v>4101</v>
      </c>
    </row>
    <row r="716" ht="15.75" customHeight="1" spans="6:7">
      <c r="F716" s="36" t="s">
        <v>4057</v>
      </c>
      <c r="G716" s="36" t="s">
        <v>4102</v>
      </c>
    </row>
    <row r="717" ht="15.75" customHeight="1" spans="6:7">
      <c r="F717" s="36" t="s">
        <v>4057</v>
      </c>
      <c r="G717" s="36" t="s">
        <v>4103</v>
      </c>
    </row>
    <row r="718" ht="15.75" customHeight="1" spans="6:7">
      <c r="F718" s="36" t="s">
        <v>4057</v>
      </c>
      <c r="G718" s="36" t="s">
        <v>4104</v>
      </c>
    </row>
    <row r="719" ht="15.75" customHeight="1" spans="6:7">
      <c r="F719" s="36" t="s">
        <v>4057</v>
      </c>
      <c r="G719" s="36" t="s">
        <v>4105</v>
      </c>
    </row>
    <row r="720" ht="15.75" customHeight="1" spans="6:7">
      <c r="F720" s="36" t="s">
        <v>4057</v>
      </c>
      <c r="G720" s="36" t="s">
        <v>4106</v>
      </c>
    </row>
    <row r="721" ht="15.75" customHeight="1" spans="6:7">
      <c r="F721" s="36" t="s">
        <v>4057</v>
      </c>
      <c r="G721" s="36" t="s">
        <v>4107</v>
      </c>
    </row>
    <row r="722" ht="15.75" customHeight="1" spans="6:7">
      <c r="F722" s="36" t="s">
        <v>4057</v>
      </c>
      <c r="G722" s="36" t="s">
        <v>4108</v>
      </c>
    </row>
    <row r="723" ht="15.75" customHeight="1" spans="6:7">
      <c r="F723" s="36" t="s">
        <v>4057</v>
      </c>
      <c r="G723" s="36" t="s">
        <v>4109</v>
      </c>
    </row>
    <row r="724" ht="15.75" customHeight="1" spans="6:7">
      <c r="F724" s="36" t="s">
        <v>4057</v>
      </c>
      <c r="G724" s="36" t="s">
        <v>4110</v>
      </c>
    </row>
    <row r="725" ht="15.75" customHeight="1" spans="6:7">
      <c r="F725" s="36" t="s">
        <v>4057</v>
      </c>
      <c r="G725" s="36" t="s">
        <v>4111</v>
      </c>
    </row>
    <row r="726" ht="15.75" customHeight="1" spans="6:7">
      <c r="F726" s="36" t="s">
        <v>4057</v>
      </c>
      <c r="G726" s="36" t="s">
        <v>4112</v>
      </c>
    </row>
    <row r="727" ht="15.75" customHeight="1" spans="6:7">
      <c r="F727" s="36" t="s">
        <v>4057</v>
      </c>
      <c r="G727" s="36" t="s">
        <v>4113</v>
      </c>
    </row>
    <row r="728" ht="15.75" customHeight="1" spans="6:7">
      <c r="F728" s="36" t="s">
        <v>4057</v>
      </c>
      <c r="G728" s="36" t="s">
        <v>4114</v>
      </c>
    </row>
    <row r="729" ht="15.75" customHeight="1" spans="6:7">
      <c r="F729" s="36" t="s">
        <v>4057</v>
      </c>
      <c r="G729" s="36" t="s">
        <v>4115</v>
      </c>
    </row>
    <row r="730" ht="15.75" customHeight="1" spans="6:7">
      <c r="F730" s="36" t="s">
        <v>4057</v>
      </c>
      <c r="G730" s="36" t="s">
        <v>4116</v>
      </c>
    </row>
    <row r="731" ht="15.75" customHeight="1" spans="6:7">
      <c r="F731" s="36" t="s">
        <v>4057</v>
      </c>
      <c r="G731" s="36" t="s">
        <v>4117</v>
      </c>
    </row>
    <row r="732" ht="15.75" customHeight="1" spans="6:7">
      <c r="F732" s="36" t="s">
        <v>4057</v>
      </c>
      <c r="G732" s="36" t="s">
        <v>4118</v>
      </c>
    </row>
    <row r="733" ht="15.75" customHeight="1" spans="6:7">
      <c r="F733" s="36" t="s">
        <v>4057</v>
      </c>
      <c r="G733" s="36" t="s">
        <v>4119</v>
      </c>
    </row>
    <row r="734" ht="15.75" customHeight="1" spans="6:7">
      <c r="F734" s="36" t="s">
        <v>4057</v>
      </c>
      <c r="G734" s="36" t="s">
        <v>4120</v>
      </c>
    </row>
    <row r="735" ht="15.75" customHeight="1" spans="6:7">
      <c r="F735" s="36" t="s">
        <v>4057</v>
      </c>
      <c r="G735" s="36" t="s">
        <v>4121</v>
      </c>
    </row>
    <row r="736" ht="15.75" customHeight="1" spans="6:7">
      <c r="F736" s="36" t="s">
        <v>4057</v>
      </c>
      <c r="G736" s="36" t="s">
        <v>4122</v>
      </c>
    </row>
    <row r="737" ht="15.75" customHeight="1" spans="6:7">
      <c r="F737" s="36" t="s">
        <v>4057</v>
      </c>
      <c r="G737" s="36" t="s">
        <v>4123</v>
      </c>
    </row>
    <row r="738" ht="15.75" customHeight="1" spans="6:7">
      <c r="F738" s="36" t="s">
        <v>4057</v>
      </c>
      <c r="G738" s="36" t="s">
        <v>4124</v>
      </c>
    </row>
    <row r="739" ht="15.75" customHeight="1" spans="6:7">
      <c r="F739" s="36" t="s">
        <v>4125</v>
      </c>
      <c r="G739" s="36" t="s">
        <v>26</v>
      </c>
    </row>
    <row r="740" ht="15.75" customHeight="1" spans="6:7">
      <c r="F740" s="36" t="s">
        <v>4125</v>
      </c>
      <c r="G740" s="36" t="s">
        <v>4126</v>
      </c>
    </row>
    <row r="741" ht="15.75" customHeight="1" spans="6:7">
      <c r="F741" s="36" t="s">
        <v>4125</v>
      </c>
      <c r="G741" s="36" t="s">
        <v>4127</v>
      </c>
    </row>
    <row r="742" ht="15.75" customHeight="1" spans="6:7">
      <c r="F742" s="36" t="s">
        <v>4125</v>
      </c>
      <c r="G742" s="36" t="s">
        <v>4125</v>
      </c>
    </row>
    <row r="743" ht="15.75" customHeight="1" spans="6:7">
      <c r="F743" s="36" t="s">
        <v>4125</v>
      </c>
      <c r="G743" s="36" t="s">
        <v>4128</v>
      </c>
    </row>
    <row r="744" ht="15.75" customHeight="1" spans="6:7">
      <c r="F744" s="36" t="s">
        <v>4125</v>
      </c>
      <c r="G744" s="36" t="s">
        <v>4129</v>
      </c>
    </row>
    <row r="745" ht="15.75" customHeight="1" spans="6:7">
      <c r="F745" s="36" t="s">
        <v>4125</v>
      </c>
      <c r="G745" s="36" t="s">
        <v>4130</v>
      </c>
    </row>
    <row r="746" ht="15.75" customHeight="1" spans="6:7">
      <c r="F746" s="36" t="s">
        <v>4125</v>
      </c>
      <c r="G746" s="36" t="s">
        <v>4131</v>
      </c>
    </row>
    <row r="747" ht="15.75" customHeight="1" spans="6:7">
      <c r="F747" s="36" t="s">
        <v>4125</v>
      </c>
      <c r="G747" s="36" t="s">
        <v>4132</v>
      </c>
    </row>
    <row r="748" ht="15.75" customHeight="1" spans="6:7">
      <c r="F748" s="36" t="s">
        <v>4125</v>
      </c>
      <c r="G748" s="36" t="s">
        <v>4133</v>
      </c>
    </row>
    <row r="749" ht="15.75" customHeight="1" spans="6:7">
      <c r="F749" s="36" t="s">
        <v>4125</v>
      </c>
      <c r="G749" s="36" t="s">
        <v>4134</v>
      </c>
    </row>
    <row r="750" ht="15.75" customHeight="1" spans="6:7">
      <c r="F750" s="36" t="s">
        <v>4125</v>
      </c>
      <c r="G750" s="36" t="s">
        <v>4135</v>
      </c>
    </row>
    <row r="751" ht="15.75" customHeight="1" spans="6:7">
      <c r="F751" s="36" t="s">
        <v>4125</v>
      </c>
      <c r="G751" s="36" t="s">
        <v>4136</v>
      </c>
    </row>
    <row r="752" ht="15.75" customHeight="1" spans="6:7">
      <c r="F752" s="36" t="s">
        <v>4125</v>
      </c>
      <c r="G752" s="36" t="s">
        <v>4137</v>
      </c>
    </row>
    <row r="753" ht="15.75" customHeight="1" spans="6:7">
      <c r="F753" s="36" t="s">
        <v>4125</v>
      </c>
      <c r="G753" s="36" t="s">
        <v>4138</v>
      </c>
    </row>
    <row r="754" ht="15.75" customHeight="1" spans="6:7">
      <c r="F754" s="36" t="s">
        <v>4125</v>
      </c>
      <c r="G754" s="36" t="s">
        <v>4139</v>
      </c>
    </row>
    <row r="755" ht="15.75" customHeight="1" spans="6:7">
      <c r="F755" s="36" t="s">
        <v>4125</v>
      </c>
      <c r="G755" s="36" t="s">
        <v>4140</v>
      </c>
    </row>
    <row r="756" ht="15.75" customHeight="1" spans="6:7">
      <c r="F756" s="36" t="s">
        <v>4125</v>
      </c>
      <c r="G756" s="36" t="s">
        <v>4141</v>
      </c>
    </row>
    <row r="757" ht="15.75" customHeight="1" spans="6:7">
      <c r="F757" s="36" t="s">
        <v>4125</v>
      </c>
      <c r="G757" s="36" t="s">
        <v>4142</v>
      </c>
    </row>
    <row r="758" ht="15.75" customHeight="1" spans="6:7">
      <c r="F758" s="36" t="s">
        <v>4125</v>
      </c>
      <c r="G758" s="36" t="s">
        <v>3419</v>
      </c>
    </row>
    <row r="759" ht="15.75" customHeight="1" spans="6:7">
      <c r="F759" s="36" t="s">
        <v>4125</v>
      </c>
      <c r="G759" s="36" t="s">
        <v>4143</v>
      </c>
    </row>
    <row r="760" ht="15.75" customHeight="1" spans="6:7">
      <c r="F760" s="36" t="s">
        <v>4125</v>
      </c>
      <c r="G760" s="36" t="s">
        <v>4144</v>
      </c>
    </row>
    <row r="761" ht="15.75" customHeight="1" spans="6:7">
      <c r="F761" s="36" t="s">
        <v>4125</v>
      </c>
      <c r="G761" s="36" t="s">
        <v>4145</v>
      </c>
    </row>
    <row r="762" ht="15.75" customHeight="1" spans="6:7">
      <c r="F762" s="36" t="s">
        <v>4125</v>
      </c>
      <c r="G762" s="36" t="s">
        <v>4129</v>
      </c>
    </row>
    <row r="763" ht="15.75" customHeight="1" spans="6:7">
      <c r="F763" s="36" t="s">
        <v>4125</v>
      </c>
      <c r="G763" s="36" t="s">
        <v>4126</v>
      </c>
    </row>
    <row r="764" ht="15.75" customHeight="1" spans="6:7">
      <c r="F764" s="36" t="s">
        <v>4125</v>
      </c>
      <c r="G764" s="36" t="s">
        <v>4146</v>
      </c>
    </row>
    <row r="765" ht="15.75" customHeight="1" spans="6:7">
      <c r="F765" s="36" t="s">
        <v>4125</v>
      </c>
      <c r="G765" s="36" t="s">
        <v>4147</v>
      </c>
    </row>
    <row r="766" ht="15.75" customHeight="1" spans="6:7">
      <c r="F766" s="36" t="s">
        <v>4125</v>
      </c>
      <c r="G766" s="36" t="s">
        <v>4148</v>
      </c>
    </row>
    <row r="767" ht="15.75" customHeight="1" spans="6:7">
      <c r="F767" s="36" t="s">
        <v>4125</v>
      </c>
      <c r="G767" s="36" t="s">
        <v>4149</v>
      </c>
    </row>
    <row r="768" ht="15.75" customHeight="1" spans="6:7">
      <c r="F768" s="36" t="s">
        <v>4125</v>
      </c>
      <c r="G768" s="36" t="s">
        <v>4150</v>
      </c>
    </row>
    <row r="769" ht="15.75" customHeight="1" spans="6:7">
      <c r="F769" s="36" t="s">
        <v>4125</v>
      </c>
      <c r="G769" s="36" t="s">
        <v>4151</v>
      </c>
    </row>
    <row r="770" ht="15.75" customHeight="1" spans="6:7">
      <c r="F770" s="36" t="s">
        <v>4125</v>
      </c>
      <c r="G770" s="36" t="s">
        <v>4132</v>
      </c>
    </row>
    <row r="771" ht="15.75" customHeight="1" spans="6:7">
      <c r="F771" s="36" t="s">
        <v>4125</v>
      </c>
      <c r="G771" s="36" t="s">
        <v>4152</v>
      </c>
    </row>
    <row r="772" ht="15.75" customHeight="1" spans="6:7">
      <c r="F772" s="36" t="s">
        <v>4125</v>
      </c>
      <c r="G772" s="36" t="s">
        <v>4153</v>
      </c>
    </row>
    <row r="773" ht="15.75" customHeight="1" spans="6:7">
      <c r="F773" s="36" t="s">
        <v>4125</v>
      </c>
      <c r="G773" s="36" t="s">
        <v>4154</v>
      </c>
    </row>
    <row r="774" ht="15.75" customHeight="1" spans="6:7">
      <c r="F774" s="36" t="s">
        <v>4125</v>
      </c>
      <c r="G774" s="36" t="s">
        <v>4155</v>
      </c>
    </row>
    <row r="775" ht="15.75" customHeight="1" spans="6:7">
      <c r="F775" s="36" t="s">
        <v>4125</v>
      </c>
      <c r="G775" s="36" t="s">
        <v>4156</v>
      </c>
    </row>
    <row r="776" ht="15.75" customHeight="1" spans="6:7">
      <c r="F776" s="36" t="s">
        <v>4125</v>
      </c>
      <c r="G776" s="36" t="s">
        <v>4157</v>
      </c>
    </row>
    <row r="777" ht="15.75" customHeight="1" spans="6:7">
      <c r="F777" s="36" t="s">
        <v>4125</v>
      </c>
      <c r="G777" s="36" t="s">
        <v>4158</v>
      </c>
    </row>
    <row r="778" ht="15.75" customHeight="1" spans="6:7">
      <c r="F778" s="36" t="s">
        <v>4125</v>
      </c>
      <c r="G778" s="36" t="s">
        <v>4159</v>
      </c>
    </row>
    <row r="779" ht="15.75" customHeight="1" spans="6:7">
      <c r="F779" s="36" t="s">
        <v>4125</v>
      </c>
      <c r="G779" s="36" t="s">
        <v>4160</v>
      </c>
    </row>
    <row r="780" ht="15.75" customHeight="1" spans="6:7">
      <c r="F780" s="36" t="s">
        <v>4125</v>
      </c>
      <c r="G780" s="36" t="s">
        <v>4161</v>
      </c>
    </row>
    <row r="781" ht="15.75" customHeight="1" spans="6:7">
      <c r="F781" s="36" t="s">
        <v>4125</v>
      </c>
      <c r="G781" s="36" t="s">
        <v>4162</v>
      </c>
    </row>
    <row r="782" ht="15.75" customHeight="1" spans="6:7">
      <c r="F782" s="36" t="s">
        <v>4125</v>
      </c>
      <c r="G782" s="36" t="s">
        <v>4163</v>
      </c>
    </row>
    <row r="783" ht="15.75" customHeight="1" spans="6:7">
      <c r="F783" s="36" t="s">
        <v>4125</v>
      </c>
      <c r="G783" s="36" t="s">
        <v>4164</v>
      </c>
    </row>
    <row r="784" ht="15.75" customHeight="1" spans="6:7">
      <c r="F784" s="36" t="s">
        <v>4165</v>
      </c>
      <c r="G784" s="36" t="s">
        <v>4166</v>
      </c>
    </row>
    <row r="785" ht="15.75" customHeight="1" spans="6:7">
      <c r="F785" s="36" t="s">
        <v>4165</v>
      </c>
      <c r="G785" s="36" t="s">
        <v>4140</v>
      </c>
    </row>
    <row r="786" ht="15.75" customHeight="1" spans="6:7">
      <c r="F786" s="36" t="s">
        <v>4165</v>
      </c>
      <c r="G786" s="36" t="s">
        <v>4167</v>
      </c>
    </row>
    <row r="787" ht="15.75" customHeight="1" spans="6:7">
      <c r="F787" s="36" t="s">
        <v>4165</v>
      </c>
      <c r="G787" s="36" t="s">
        <v>4168</v>
      </c>
    </row>
    <row r="788" ht="15.75" customHeight="1" spans="6:7">
      <c r="F788" s="36" t="s">
        <v>4165</v>
      </c>
      <c r="G788" s="36" t="s">
        <v>4169</v>
      </c>
    </row>
    <row r="789" ht="15.75" customHeight="1" spans="6:7">
      <c r="F789" s="36" t="s">
        <v>4165</v>
      </c>
      <c r="G789" s="36" t="s">
        <v>4170</v>
      </c>
    </row>
    <row r="790" ht="15.75" customHeight="1" spans="6:7">
      <c r="F790" s="36" t="s">
        <v>4165</v>
      </c>
      <c r="G790" s="36" t="s">
        <v>4171</v>
      </c>
    </row>
    <row r="791" ht="15.75" customHeight="1" spans="6:7">
      <c r="F791" s="36" t="s">
        <v>4165</v>
      </c>
      <c r="G791" s="36" t="s">
        <v>4172</v>
      </c>
    </row>
    <row r="792" ht="15.75" customHeight="1" spans="6:7">
      <c r="F792" s="36" t="s">
        <v>4165</v>
      </c>
      <c r="G792" s="36" t="s">
        <v>4165</v>
      </c>
    </row>
    <row r="793" ht="15.75" customHeight="1" spans="6:7">
      <c r="F793" s="36" t="s">
        <v>4165</v>
      </c>
      <c r="G793" s="36" t="s">
        <v>4173</v>
      </c>
    </row>
    <row r="794" ht="15.75" customHeight="1" spans="6:7">
      <c r="F794" s="36" t="s">
        <v>4165</v>
      </c>
      <c r="G794" s="36" t="s">
        <v>4174</v>
      </c>
    </row>
    <row r="795" ht="15.75" customHeight="1" spans="6:7">
      <c r="F795" s="36" t="s">
        <v>4165</v>
      </c>
      <c r="G795" s="36" t="s">
        <v>4175</v>
      </c>
    </row>
    <row r="796" ht="15.75" customHeight="1" spans="6:7">
      <c r="F796" s="36" t="s">
        <v>4165</v>
      </c>
      <c r="G796" s="36" t="s">
        <v>4176</v>
      </c>
    </row>
    <row r="797" ht="15.75" customHeight="1" spans="6:7">
      <c r="F797" s="36" t="s">
        <v>4165</v>
      </c>
      <c r="G797" s="36" t="s">
        <v>4177</v>
      </c>
    </row>
    <row r="798" ht="15.75" customHeight="1" spans="6:7">
      <c r="F798" s="36" t="s">
        <v>4165</v>
      </c>
      <c r="G798" s="36" t="s">
        <v>4178</v>
      </c>
    </row>
    <row r="799" ht="15.75" customHeight="1" spans="6:7">
      <c r="F799" s="36" t="s">
        <v>4165</v>
      </c>
      <c r="G799" s="36" t="s">
        <v>4179</v>
      </c>
    </row>
    <row r="800" ht="15.75" customHeight="1" spans="6:7">
      <c r="F800" s="36" t="s">
        <v>4165</v>
      </c>
      <c r="G800" s="36" t="s">
        <v>4180</v>
      </c>
    </row>
    <row r="801" ht="15.75" customHeight="1" spans="6:7">
      <c r="F801" s="36" t="s">
        <v>4165</v>
      </c>
      <c r="G801" s="36" t="s">
        <v>4181</v>
      </c>
    </row>
    <row r="802" ht="15.75" customHeight="1" spans="6:7">
      <c r="F802" s="36" t="s">
        <v>4165</v>
      </c>
      <c r="G802" s="36" t="s">
        <v>4182</v>
      </c>
    </row>
    <row r="803" ht="15.75" customHeight="1" spans="6:7">
      <c r="F803" s="36" t="s">
        <v>4165</v>
      </c>
      <c r="G803" s="36" t="s">
        <v>4183</v>
      </c>
    </row>
    <row r="804" ht="15.75" customHeight="1" spans="6:7">
      <c r="F804" s="36" t="s">
        <v>4165</v>
      </c>
      <c r="G804" s="36" t="s">
        <v>4184</v>
      </c>
    </row>
    <row r="805" ht="15.75" customHeight="1" spans="6:7">
      <c r="F805" s="36" t="s">
        <v>4165</v>
      </c>
      <c r="G805" s="36" t="s">
        <v>4185</v>
      </c>
    </row>
    <row r="806" ht="15.75" customHeight="1" spans="6:7">
      <c r="F806" s="36" t="s">
        <v>4165</v>
      </c>
      <c r="G806" s="36" t="s">
        <v>4186</v>
      </c>
    </row>
    <row r="807" ht="15.75" customHeight="1" spans="6:7">
      <c r="F807" s="36" t="s">
        <v>4165</v>
      </c>
      <c r="G807" s="36" t="s">
        <v>4093</v>
      </c>
    </row>
    <row r="808" ht="15.75" customHeight="1" spans="6:7">
      <c r="F808" s="36" t="s">
        <v>4165</v>
      </c>
      <c r="G808" s="36" t="s">
        <v>4187</v>
      </c>
    </row>
    <row r="809" ht="15.75" customHeight="1" spans="6:7">
      <c r="F809" s="36" t="s">
        <v>4165</v>
      </c>
      <c r="G809" s="41" t="s">
        <v>4188</v>
      </c>
    </row>
    <row r="810" ht="15.75" customHeight="1" spans="6:7">
      <c r="F810" s="36" t="s">
        <v>4165</v>
      </c>
      <c r="G810" s="36" t="s">
        <v>4189</v>
      </c>
    </row>
    <row r="811" ht="15.75" customHeight="1" spans="6:7">
      <c r="F811" s="36" t="s">
        <v>4165</v>
      </c>
      <c r="G811" s="36" t="s">
        <v>4190</v>
      </c>
    </row>
    <row r="812" ht="15.75" customHeight="1" spans="6:7">
      <c r="F812" s="36" t="s">
        <v>4165</v>
      </c>
      <c r="G812" s="36" t="s">
        <v>4191</v>
      </c>
    </row>
    <row r="813" ht="15.75" customHeight="1" spans="6:7">
      <c r="F813" s="36" t="s">
        <v>4165</v>
      </c>
      <c r="G813" s="36" t="s">
        <v>4192</v>
      </c>
    </row>
    <row r="814" ht="15.75" customHeight="1" spans="6:7">
      <c r="F814" s="36" t="s">
        <v>4165</v>
      </c>
      <c r="G814" s="36" t="s">
        <v>4193</v>
      </c>
    </row>
    <row r="815" ht="15.75" customHeight="1" spans="6:7">
      <c r="F815" s="36" t="s">
        <v>4165</v>
      </c>
      <c r="G815" s="36" t="s">
        <v>4194</v>
      </c>
    </row>
    <row r="816" ht="15.75" customHeight="1" spans="6:7">
      <c r="F816" s="36" t="s">
        <v>4165</v>
      </c>
      <c r="G816" s="36" t="s">
        <v>4195</v>
      </c>
    </row>
    <row r="817" ht="15.75" customHeight="1" spans="6:7">
      <c r="F817" s="36" t="s">
        <v>4165</v>
      </c>
      <c r="G817" s="36" t="s">
        <v>4196</v>
      </c>
    </row>
    <row r="818" ht="15.75" customHeight="1" spans="6:7">
      <c r="F818" s="36" t="s">
        <v>4165</v>
      </c>
      <c r="G818" s="36" t="s">
        <v>4197</v>
      </c>
    </row>
    <row r="819" ht="15.75" customHeight="1" spans="6:7">
      <c r="F819" s="36" t="s">
        <v>4165</v>
      </c>
      <c r="G819" s="36" t="s">
        <v>4198</v>
      </c>
    </row>
    <row r="820" ht="15.75" customHeight="1" spans="6:7">
      <c r="F820" s="36" t="s">
        <v>4165</v>
      </c>
      <c r="G820" s="36" t="s">
        <v>4199</v>
      </c>
    </row>
    <row r="821" ht="15.75" customHeight="1" spans="6:7">
      <c r="F821" s="36" t="s">
        <v>4165</v>
      </c>
      <c r="G821" s="36" t="s">
        <v>4200</v>
      </c>
    </row>
    <row r="822" ht="15.75" customHeight="1" spans="6:7">
      <c r="F822" s="36" t="s">
        <v>4165</v>
      </c>
      <c r="G822" s="36" t="s">
        <v>4201</v>
      </c>
    </row>
    <row r="823" ht="15.75" customHeight="1" spans="6:7">
      <c r="F823" s="36" t="s">
        <v>4165</v>
      </c>
      <c r="G823" s="36" t="s">
        <v>4202</v>
      </c>
    </row>
    <row r="824" ht="15.75" customHeight="1" spans="6:7">
      <c r="F824" s="36" t="s">
        <v>4165</v>
      </c>
      <c r="G824" s="36" t="s">
        <v>4203</v>
      </c>
    </row>
    <row r="825" ht="15.75" customHeight="1" spans="6:7">
      <c r="F825" s="36" t="s">
        <v>4165</v>
      </c>
      <c r="G825" s="36" t="s">
        <v>4204</v>
      </c>
    </row>
    <row r="826" ht="15.75" customHeight="1" spans="6:7">
      <c r="F826" s="36" t="s">
        <v>4165</v>
      </c>
      <c r="G826" s="36" t="s">
        <v>4205</v>
      </c>
    </row>
    <row r="827" ht="15.75" customHeight="1" spans="6:7">
      <c r="F827" s="36" t="s">
        <v>4165</v>
      </c>
      <c r="G827" s="36" t="s">
        <v>4206</v>
      </c>
    </row>
    <row r="828" ht="15.75" customHeight="1" spans="6:7">
      <c r="F828" s="36" t="s">
        <v>4165</v>
      </c>
      <c r="G828" s="36" t="s">
        <v>4207</v>
      </c>
    </row>
    <row r="829" ht="15.75" customHeight="1" spans="6:7">
      <c r="F829" s="36" t="s">
        <v>4165</v>
      </c>
      <c r="G829" s="36" t="s">
        <v>4208</v>
      </c>
    </row>
    <row r="830" ht="15.75" customHeight="1" spans="6:7">
      <c r="F830" s="36" t="s">
        <v>4165</v>
      </c>
      <c r="G830" s="36" t="s">
        <v>4209</v>
      </c>
    </row>
    <row r="831" ht="15.75" customHeight="1" spans="6:7">
      <c r="F831" s="36" t="s">
        <v>4165</v>
      </c>
      <c r="G831" s="36" t="s">
        <v>4210</v>
      </c>
    </row>
    <row r="832" ht="15.75" customHeight="1" spans="6:7">
      <c r="F832" s="36" t="s">
        <v>4165</v>
      </c>
      <c r="G832" s="36" t="s">
        <v>4211</v>
      </c>
    </row>
    <row r="833" ht="15.75" customHeight="1" spans="6:7">
      <c r="F833" s="36" t="s">
        <v>4165</v>
      </c>
      <c r="G833" s="36" t="s">
        <v>4212</v>
      </c>
    </row>
    <row r="834" ht="15.75" customHeight="1" spans="6:7">
      <c r="F834" s="36" t="s">
        <v>4165</v>
      </c>
      <c r="G834" s="36" t="s">
        <v>4213</v>
      </c>
    </row>
    <row r="835" ht="15.75" customHeight="1" spans="6:7">
      <c r="F835" s="36" t="s">
        <v>4165</v>
      </c>
      <c r="G835" s="36" t="s">
        <v>4214</v>
      </c>
    </row>
    <row r="836" ht="15.75" customHeight="1" spans="6:7">
      <c r="F836" s="36" t="s">
        <v>4165</v>
      </c>
      <c r="G836" s="36" t="s">
        <v>4215</v>
      </c>
    </row>
    <row r="837" ht="15.75" customHeight="1" spans="6:7">
      <c r="F837" s="36" t="s">
        <v>4165</v>
      </c>
      <c r="G837" s="36" t="s">
        <v>4216</v>
      </c>
    </row>
    <row r="838" ht="15.75" customHeight="1" spans="6:7">
      <c r="F838" s="36" t="s">
        <v>4165</v>
      </c>
      <c r="G838" s="36" t="s">
        <v>4217</v>
      </c>
    </row>
    <row r="839" ht="15.75" customHeight="1" spans="6:7">
      <c r="F839" s="36" t="s">
        <v>4165</v>
      </c>
      <c r="G839" s="36" t="s">
        <v>4218</v>
      </c>
    </row>
    <row r="840" ht="15.75" customHeight="1" spans="6:7">
      <c r="F840" s="36" t="s">
        <v>4165</v>
      </c>
      <c r="G840" s="36" t="s">
        <v>4219</v>
      </c>
    </row>
    <row r="841" ht="15.75" customHeight="1" spans="6:7">
      <c r="F841" s="36" t="s">
        <v>4165</v>
      </c>
      <c r="G841" s="36" t="s">
        <v>4220</v>
      </c>
    </row>
    <row r="842" ht="15.75" customHeight="1" spans="6:7">
      <c r="F842" s="36" t="s">
        <v>4165</v>
      </c>
      <c r="G842" s="36" t="s">
        <v>4221</v>
      </c>
    </row>
    <row r="843" ht="15.75" customHeight="1" spans="6:7">
      <c r="F843" s="36" t="s">
        <v>4165</v>
      </c>
      <c r="G843" s="36" t="s">
        <v>4222</v>
      </c>
    </row>
    <row r="844" ht="15.75" customHeight="1" spans="6:7">
      <c r="F844" s="36" t="s">
        <v>4165</v>
      </c>
      <c r="G844" s="36" t="s">
        <v>4223</v>
      </c>
    </row>
    <row r="845" ht="15.75" customHeight="1" spans="6:7">
      <c r="F845" s="36" t="s">
        <v>4165</v>
      </c>
      <c r="G845" s="36" t="s">
        <v>4224</v>
      </c>
    </row>
    <row r="846" ht="15.75" customHeight="1" spans="6:7">
      <c r="F846" s="36" t="s">
        <v>4165</v>
      </c>
      <c r="G846" s="36" t="s">
        <v>4225</v>
      </c>
    </row>
    <row r="847" ht="15.75" customHeight="1" spans="6:7">
      <c r="F847" s="36" t="s">
        <v>4165</v>
      </c>
      <c r="G847" s="36" t="s">
        <v>4226</v>
      </c>
    </row>
    <row r="848" ht="15.75" customHeight="1" spans="6:7">
      <c r="F848" s="36" t="s">
        <v>4165</v>
      </c>
      <c r="G848" s="36" t="s">
        <v>4227</v>
      </c>
    </row>
    <row r="849" ht="15.75" customHeight="1" spans="6:7">
      <c r="F849" s="36" t="s">
        <v>4165</v>
      </c>
      <c r="G849" s="36" t="s">
        <v>4228</v>
      </c>
    </row>
    <row r="850" ht="15.75" customHeight="1" spans="6:7">
      <c r="F850" s="36" t="s">
        <v>4165</v>
      </c>
      <c r="G850" s="36" t="s">
        <v>4229</v>
      </c>
    </row>
    <row r="851" ht="15.75" customHeight="1" spans="6:7">
      <c r="F851" s="36" t="s">
        <v>4165</v>
      </c>
      <c r="G851" s="36" t="s">
        <v>4230</v>
      </c>
    </row>
    <row r="852" ht="15.75" customHeight="1" spans="6:7">
      <c r="F852" s="36" t="s">
        <v>4165</v>
      </c>
      <c r="G852" s="36" t="s">
        <v>4231</v>
      </c>
    </row>
    <row r="853" ht="15.75" customHeight="1" spans="6:7">
      <c r="F853" s="36" t="s">
        <v>4165</v>
      </c>
      <c r="G853" s="36" t="s">
        <v>4232</v>
      </c>
    </row>
    <row r="854" ht="15.75" customHeight="1" spans="6:7">
      <c r="F854" s="36" t="s">
        <v>4165</v>
      </c>
      <c r="G854" s="36" t="s">
        <v>4233</v>
      </c>
    </row>
    <row r="855" ht="15.75" customHeight="1" spans="6:7">
      <c r="F855" s="36" t="s">
        <v>4165</v>
      </c>
      <c r="G855" s="36" t="s">
        <v>4234</v>
      </c>
    </row>
    <row r="856" ht="15.75" customHeight="1" spans="6:7">
      <c r="F856" s="36" t="s">
        <v>4165</v>
      </c>
      <c r="G856" s="36" t="s">
        <v>4235</v>
      </c>
    </row>
    <row r="857" ht="15.75" customHeight="1" spans="6:7">
      <c r="F857" s="36" t="s">
        <v>4165</v>
      </c>
      <c r="G857" s="36" t="s">
        <v>4236</v>
      </c>
    </row>
    <row r="858" ht="15.75" customHeight="1" spans="6:7">
      <c r="F858" s="36" t="s">
        <v>4165</v>
      </c>
      <c r="G858" s="36" t="s">
        <v>4237</v>
      </c>
    </row>
    <row r="859" ht="15.75" customHeight="1" spans="6:7">
      <c r="F859" s="36" t="s">
        <v>4165</v>
      </c>
      <c r="G859" s="36" t="s">
        <v>4238</v>
      </c>
    </row>
    <row r="860" ht="15.75" customHeight="1" spans="6:7">
      <c r="F860" s="36" t="s">
        <v>4165</v>
      </c>
      <c r="G860" s="36" t="s">
        <v>4239</v>
      </c>
    </row>
    <row r="861" ht="15.75" customHeight="1" spans="6:7">
      <c r="F861" s="36" t="s">
        <v>4165</v>
      </c>
      <c r="G861" s="36" t="s">
        <v>4240</v>
      </c>
    </row>
    <row r="862" ht="15.75" customHeight="1" spans="6:7">
      <c r="F862" s="36" t="s">
        <v>4165</v>
      </c>
      <c r="G862" s="36" t="s">
        <v>4241</v>
      </c>
    </row>
    <row r="863" ht="15.75" customHeight="1" spans="6:7">
      <c r="F863" s="36" t="s">
        <v>4165</v>
      </c>
      <c r="G863" s="36" t="s">
        <v>4242</v>
      </c>
    </row>
    <row r="864" ht="15.75" customHeight="1" spans="6:7">
      <c r="F864" s="36" t="s">
        <v>4165</v>
      </c>
      <c r="G864" s="36" t="s">
        <v>4243</v>
      </c>
    </row>
    <row r="865" ht="15.75" customHeight="1" spans="6:7">
      <c r="F865" s="36" t="s">
        <v>4165</v>
      </c>
      <c r="G865" s="36" t="s">
        <v>4244</v>
      </c>
    </row>
    <row r="866" ht="15.75" customHeight="1" spans="6:7">
      <c r="F866" s="36" t="s">
        <v>4165</v>
      </c>
      <c r="G866" s="36" t="s">
        <v>4245</v>
      </c>
    </row>
    <row r="867" ht="15.75" customHeight="1" spans="6:7">
      <c r="F867" s="36" t="s">
        <v>4165</v>
      </c>
      <c r="G867" s="36" t="s">
        <v>4246</v>
      </c>
    </row>
    <row r="868" ht="15.75" customHeight="1" spans="6:7">
      <c r="F868" s="36" t="s">
        <v>4165</v>
      </c>
      <c r="G868" s="36" t="s">
        <v>4247</v>
      </c>
    </row>
    <row r="869" ht="15.75" customHeight="1" spans="6:7">
      <c r="F869" s="36" t="s">
        <v>4165</v>
      </c>
      <c r="G869" s="36" t="s">
        <v>4248</v>
      </c>
    </row>
    <row r="870" ht="15.75" customHeight="1" spans="6:7">
      <c r="F870" s="36" t="s">
        <v>4165</v>
      </c>
      <c r="G870" s="36" t="s">
        <v>4249</v>
      </c>
    </row>
    <row r="871" ht="15.75" customHeight="1" spans="6:7">
      <c r="F871" s="36" t="s">
        <v>4165</v>
      </c>
      <c r="G871" s="36" t="s">
        <v>4250</v>
      </c>
    </row>
    <row r="872" ht="15.75" customHeight="1" spans="6:7">
      <c r="F872" s="36" t="s">
        <v>4165</v>
      </c>
      <c r="G872" s="36" t="s">
        <v>4251</v>
      </c>
    </row>
    <row r="873" ht="15.75" customHeight="1" spans="6:7">
      <c r="F873" s="36" t="s">
        <v>4165</v>
      </c>
      <c r="G873" s="36" t="s">
        <v>4252</v>
      </c>
    </row>
    <row r="874" ht="15.75" customHeight="1" spans="6:7">
      <c r="F874" s="36" t="s">
        <v>4165</v>
      </c>
      <c r="G874" s="36" t="s">
        <v>4253</v>
      </c>
    </row>
    <row r="875" ht="15.75" customHeight="1" spans="6:7">
      <c r="F875" s="36" t="s">
        <v>4165</v>
      </c>
      <c r="G875" s="36" t="s">
        <v>4254</v>
      </c>
    </row>
    <row r="876" ht="15.75" customHeight="1" spans="6:7">
      <c r="F876" s="36" t="s">
        <v>4165</v>
      </c>
      <c r="G876" s="36" t="s">
        <v>4255</v>
      </c>
    </row>
    <row r="877" ht="15.75" customHeight="1" spans="6:7">
      <c r="F877" s="36" t="s">
        <v>4165</v>
      </c>
      <c r="G877" s="36" t="s">
        <v>4256</v>
      </c>
    </row>
    <row r="878" ht="15.75" customHeight="1" spans="6:7">
      <c r="F878" s="36" t="s">
        <v>4165</v>
      </c>
      <c r="G878" s="36" t="s">
        <v>4257</v>
      </c>
    </row>
    <row r="879" ht="15.75" customHeight="1" spans="6:7">
      <c r="F879" s="36" t="s">
        <v>4165</v>
      </c>
      <c r="G879" s="36" t="s">
        <v>4258</v>
      </c>
    </row>
    <row r="880" ht="15.75" customHeight="1" spans="6:7">
      <c r="F880" s="36" t="s">
        <v>4165</v>
      </c>
      <c r="G880" s="36" t="s">
        <v>4259</v>
      </c>
    </row>
    <row r="881" ht="15.75" customHeight="1" spans="6:7">
      <c r="F881" s="36" t="s">
        <v>4165</v>
      </c>
      <c r="G881" s="36" t="s">
        <v>4260</v>
      </c>
    </row>
    <row r="882" ht="15.75" customHeight="1" spans="6:7">
      <c r="F882" s="36" t="s">
        <v>4165</v>
      </c>
      <c r="G882" s="36" t="s">
        <v>4261</v>
      </c>
    </row>
    <row r="883" ht="15.75" customHeight="1" spans="6:7">
      <c r="F883" s="36" t="s">
        <v>4165</v>
      </c>
      <c r="G883" s="36" t="s">
        <v>4262</v>
      </c>
    </row>
    <row r="884" ht="15.75" customHeight="1" spans="6:7">
      <c r="F884" s="36" t="s">
        <v>4165</v>
      </c>
      <c r="G884" s="36" t="s">
        <v>4263</v>
      </c>
    </row>
    <row r="885" ht="15.75" customHeight="1" spans="6:7">
      <c r="F885" s="36" t="s">
        <v>4165</v>
      </c>
      <c r="G885" s="36" t="s">
        <v>4264</v>
      </c>
    </row>
    <row r="886" ht="15.75" customHeight="1" spans="6:7">
      <c r="F886" s="36" t="s">
        <v>4165</v>
      </c>
      <c r="G886" s="36" t="s">
        <v>4265</v>
      </c>
    </row>
    <row r="887" ht="15.75" customHeight="1" spans="6:7">
      <c r="F887" s="36" t="s">
        <v>4165</v>
      </c>
      <c r="G887" s="36" t="s">
        <v>4266</v>
      </c>
    </row>
    <row r="888" ht="15.75" customHeight="1" spans="6:7">
      <c r="F888" s="36" t="s">
        <v>4165</v>
      </c>
      <c r="G888" s="36" t="s">
        <v>4267</v>
      </c>
    </row>
    <row r="889" ht="15.75" customHeight="1" spans="6:7">
      <c r="F889" s="36" t="s">
        <v>4165</v>
      </c>
      <c r="G889" s="36" t="s">
        <v>4268</v>
      </c>
    </row>
    <row r="890" ht="15.75" customHeight="1" spans="6:7">
      <c r="F890" s="36" t="s">
        <v>4165</v>
      </c>
      <c r="G890" s="36" t="s">
        <v>4269</v>
      </c>
    </row>
    <row r="891" ht="15.75" customHeight="1" spans="6:7">
      <c r="F891" s="36" t="s">
        <v>4165</v>
      </c>
      <c r="G891" s="36" t="s">
        <v>4270</v>
      </c>
    </row>
    <row r="892" ht="15.75" customHeight="1" spans="6:7">
      <c r="F892" s="36" t="s">
        <v>4165</v>
      </c>
      <c r="G892" s="36" t="s">
        <v>4271</v>
      </c>
    </row>
    <row r="893" ht="15.75" customHeight="1" spans="6:7">
      <c r="F893" s="36" t="s">
        <v>4165</v>
      </c>
      <c r="G893" s="36" t="s">
        <v>4272</v>
      </c>
    </row>
    <row r="894" ht="15.75" customHeight="1" spans="6:7">
      <c r="F894" s="36" t="s">
        <v>4165</v>
      </c>
      <c r="G894" s="36" t="s">
        <v>4273</v>
      </c>
    </row>
    <row r="895" ht="15.75" customHeight="1" spans="6:7">
      <c r="F895" s="36" t="s">
        <v>4165</v>
      </c>
      <c r="G895" s="36" t="s">
        <v>4274</v>
      </c>
    </row>
    <row r="896" ht="15.75" customHeight="1" spans="6:7">
      <c r="F896" s="36" t="s">
        <v>4165</v>
      </c>
      <c r="G896" s="36" t="s">
        <v>4275</v>
      </c>
    </row>
    <row r="897" ht="15.75" customHeight="1" spans="6:7">
      <c r="F897" s="36" t="s">
        <v>4165</v>
      </c>
      <c r="G897" s="36" t="s">
        <v>4276</v>
      </c>
    </row>
    <row r="898" ht="15.75" customHeight="1" spans="6:7">
      <c r="F898" s="36" t="s">
        <v>4165</v>
      </c>
      <c r="G898" s="36" t="s">
        <v>4277</v>
      </c>
    </row>
    <row r="899" ht="15.75" customHeight="1" spans="6:7">
      <c r="F899" s="36" t="s">
        <v>4165</v>
      </c>
      <c r="G899" s="36" t="s">
        <v>4278</v>
      </c>
    </row>
    <row r="900" ht="15.75" customHeight="1" spans="6:7">
      <c r="F900" s="36" t="s">
        <v>4165</v>
      </c>
      <c r="G900" s="36" t="s">
        <v>4279</v>
      </c>
    </row>
    <row r="901" ht="15.75" customHeight="1" spans="6:7">
      <c r="F901" s="36" t="s">
        <v>4165</v>
      </c>
      <c r="G901" s="36" t="s">
        <v>4280</v>
      </c>
    </row>
    <row r="902" ht="15.75" customHeight="1" spans="6:7">
      <c r="F902" s="36" t="s">
        <v>4165</v>
      </c>
      <c r="G902" s="36" t="s">
        <v>4281</v>
      </c>
    </row>
    <row r="903" ht="15.75" customHeight="1" spans="6:7">
      <c r="F903" s="36" t="s">
        <v>4165</v>
      </c>
      <c r="G903" s="36" t="s">
        <v>4282</v>
      </c>
    </row>
    <row r="904" ht="15.75" customHeight="1" spans="6:7">
      <c r="F904" s="36" t="s">
        <v>4165</v>
      </c>
      <c r="G904" s="36" t="s">
        <v>4283</v>
      </c>
    </row>
    <row r="905" ht="15.75" customHeight="1" spans="6:7">
      <c r="F905" s="36" t="s">
        <v>4165</v>
      </c>
      <c r="G905" s="36" t="s">
        <v>4284</v>
      </c>
    </row>
    <row r="906" ht="15.75" customHeight="1" spans="6:7">
      <c r="F906" s="36" t="s">
        <v>4165</v>
      </c>
      <c r="G906" s="36" t="s">
        <v>4285</v>
      </c>
    </row>
    <row r="907" ht="15.75" customHeight="1" spans="6:7">
      <c r="F907" s="36" t="s">
        <v>4165</v>
      </c>
      <c r="G907" s="36" t="s">
        <v>4286</v>
      </c>
    </row>
    <row r="908" ht="15.75" customHeight="1" spans="6:7">
      <c r="F908" s="36" t="s">
        <v>4165</v>
      </c>
      <c r="G908" s="36" t="s">
        <v>4287</v>
      </c>
    </row>
    <row r="909" ht="15.75" customHeight="1" spans="6:7">
      <c r="F909" s="36" t="s">
        <v>4165</v>
      </c>
      <c r="G909" s="36" t="s">
        <v>4288</v>
      </c>
    </row>
    <row r="910" ht="15.75" customHeight="1" spans="6:7">
      <c r="F910" s="36" t="s">
        <v>4165</v>
      </c>
      <c r="G910" s="36" t="s">
        <v>4289</v>
      </c>
    </row>
    <row r="911" ht="15.75" customHeight="1" spans="6:7">
      <c r="F911" s="36" t="s">
        <v>4165</v>
      </c>
      <c r="G911" s="36" t="s">
        <v>4290</v>
      </c>
    </row>
    <row r="912" ht="15.75" customHeight="1" spans="6:7">
      <c r="F912" s="36" t="s">
        <v>4165</v>
      </c>
      <c r="G912" s="36" t="s">
        <v>4291</v>
      </c>
    </row>
    <row r="913" ht="15.75" customHeight="1" spans="6:7">
      <c r="F913" s="36" t="s">
        <v>4165</v>
      </c>
      <c r="G913" s="36" t="s">
        <v>4292</v>
      </c>
    </row>
    <row r="914" ht="15.75" customHeight="1" spans="6:7">
      <c r="F914" s="36" t="s">
        <v>4165</v>
      </c>
      <c r="G914" s="36" t="s">
        <v>4293</v>
      </c>
    </row>
    <row r="915" ht="15.75" customHeight="1" spans="6:7">
      <c r="F915" s="36" t="s">
        <v>4165</v>
      </c>
      <c r="G915" s="36" t="s">
        <v>4294</v>
      </c>
    </row>
    <row r="916" ht="15.75" customHeight="1" spans="6:7">
      <c r="F916" s="36" t="s">
        <v>4165</v>
      </c>
      <c r="G916" s="36" t="s">
        <v>4295</v>
      </c>
    </row>
    <row r="917" ht="15.75" customHeight="1" spans="6:7">
      <c r="F917" s="36" t="s">
        <v>4165</v>
      </c>
      <c r="G917" s="36" t="s">
        <v>4296</v>
      </c>
    </row>
    <row r="918" ht="15.75" customHeight="1" spans="6:7">
      <c r="F918" s="36" t="s">
        <v>4165</v>
      </c>
      <c r="G918" s="36" t="s">
        <v>4297</v>
      </c>
    </row>
    <row r="919" ht="15.75" customHeight="1" spans="6:7">
      <c r="F919" s="36" t="s">
        <v>4165</v>
      </c>
      <c r="G919" s="36" t="s">
        <v>4298</v>
      </c>
    </row>
    <row r="920" ht="15.75" customHeight="1" spans="6:7">
      <c r="F920" s="36" t="s">
        <v>4165</v>
      </c>
      <c r="G920" s="36" t="s">
        <v>4299</v>
      </c>
    </row>
    <row r="921" ht="15.75" customHeight="1" spans="6:7">
      <c r="F921" s="36" t="s">
        <v>4165</v>
      </c>
      <c r="G921" s="36" t="s">
        <v>4300</v>
      </c>
    </row>
    <row r="922" ht="15.75" customHeight="1" spans="6:7">
      <c r="F922" s="36" t="s">
        <v>4165</v>
      </c>
      <c r="G922" s="36" t="s">
        <v>4301</v>
      </c>
    </row>
    <row r="923" ht="15.75" customHeight="1" spans="6:7">
      <c r="F923" s="36" t="s">
        <v>4165</v>
      </c>
      <c r="G923" s="36" t="s">
        <v>4302</v>
      </c>
    </row>
    <row r="924" ht="15.75" customHeight="1" spans="6:7">
      <c r="F924" s="36" t="s">
        <v>4165</v>
      </c>
      <c r="G924" s="36" t="s">
        <v>4303</v>
      </c>
    </row>
    <row r="925" ht="15.75" customHeight="1" spans="6:7">
      <c r="F925" s="36" t="s">
        <v>4165</v>
      </c>
      <c r="G925" s="36" t="s">
        <v>4304</v>
      </c>
    </row>
    <row r="926" ht="15.75" customHeight="1" spans="6:7">
      <c r="F926" s="36" t="s">
        <v>4165</v>
      </c>
      <c r="G926" s="36" t="s">
        <v>4305</v>
      </c>
    </row>
    <row r="927" ht="15.75" customHeight="1" spans="6:7">
      <c r="F927" s="36" t="s">
        <v>4165</v>
      </c>
      <c r="G927" s="36" t="s">
        <v>4306</v>
      </c>
    </row>
    <row r="928" ht="15.75" customHeight="1" spans="6:7">
      <c r="F928" s="36" t="s">
        <v>4165</v>
      </c>
      <c r="G928" s="36" t="s">
        <v>4307</v>
      </c>
    </row>
    <row r="929" ht="15.75" customHeight="1" spans="6:7">
      <c r="F929" s="36" t="s">
        <v>4165</v>
      </c>
      <c r="G929" s="36" t="s">
        <v>4308</v>
      </c>
    </row>
    <row r="930" ht="15.75" customHeight="1" spans="6:7">
      <c r="F930" s="36" t="s">
        <v>4165</v>
      </c>
      <c r="G930" s="36" t="s">
        <v>4309</v>
      </c>
    </row>
    <row r="931" ht="15.75" customHeight="1" spans="6:7">
      <c r="F931" s="36" t="s">
        <v>4165</v>
      </c>
      <c r="G931" s="36" t="s">
        <v>4310</v>
      </c>
    </row>
    <row r="932" ht="15.75" customHeight="1" spans="6:7">
      <c r="F932" s="36" t="s">
        <v>4165</v>
      </c>
      <c r="G932" s="36" t="s">
        <v>4311</v>
      </c>
    </row>
    <row r="933" ht="15.75" customHeight="1" spans="6:7">
      <c r="F933" s="36" t="s">
        <v>4165</v>
      </c>
      <c r="G933" s="36" t="s">
        <v>4312</v>
      </c>
    </row>
    <row r="934" ht="15.75" customHeight="1" spans="6:7">
      <c r="F934" s="36" t="s">
        <v>4165</v>
      </c>
      <c r="G934" s="36" t="s">
        <v>4313</v>
      </c>
    </row>
    <row r="935" ht="15.75" customHeight="1" spans="6:7">
      <c r="F935" s="36" t="s">
        <v>4165</v>
      </c>
      <c r="G935" s="36" t="s">
        <v>4314</v>
      </c>
    </row>
    <row r="936" ht="15.75" customHeight="1" spans="6:7">
      <c r="F936" s="36" t="s">
        <v>4165</v>
      </c>
      <c r="G936" s="36" t="s">
        <v>4315</v>
      </c>
    </row>
    <row r="937" ht="15.75" customHeight="1" spans="6:7">
      <c r="F937" s="36" t="s">
        <v>4165</v>
      </c>
      <c r="G937" s="36" t="s">
        <v>4316</v>
      </c>
    </row>
    <row r="938" ht="15.75" customHeight="1" spans="6:7">
      <c r="F938" s="36" t="s">
        <v>4165</v>
      </c>
      <c r="G938" s="36" t="s">
        <v>4317</v>
      </c>
    </row>
    <row r="939" ht="15.75" customHeight="1" spans="6:7">
      <c r="F939" s="36" t="s">
        <v>4165</v>
      </c>
      <c r="G939" s="36" t="s">
        <v>4318</v>
      </c>
    </row>
    <row r="940" ht="15.75" customHeight="1" spans="6:7">
      <c r="F940" s="36" t="s">
        <v>4165</v>
      </c>
      <c r="G940" s="36" t="s">
        <v>4319</v>
      </c>
    </row>
    <row r="941" ht="15.75" customHeight="1" spans="6:7">
      <c r="F941" s="36" t="s">
        <v>4165</v>
      </c>
      <c r="G941" s="36" t="s">
        <v>4320</v>
      </c>
    </row>
    <row r="942" ht="15.75" customHeight="1" spans="6:7">
      <c r="F942" s="36" t="s">
        <v>4165</v>
      </c>
      <c r="G942" s="36" t="s">
        <v>4321</v>
      </c>
    </row>
    <row r="943" ht="15.75" customHeight="1" spans="6:7">
      <c r="F943" s="36" t="s">
        <v>4165</v>
      </c>
      <c r="G943" s="36" t="s">
        <v>4322</v>
      </c>
    </row>
    <row r="944" ht="15.75" customHeight="1" spans="6:7">
      <c r="F944" s="36" t="s">
        <v>4165</v>
      </c>
      <c r="G944" s="36" t="s">
        <v>4323</v>
      </c>
    </row>
    <row r="945" ht="15.75" customHeight="1" spans="6:7">
      <c r="F945" s="36" t="s">
        <v>4165</v>
      </c>
      <c r="G945" s="36" t="s">
        <v>4324</v>
      </c>
    </row>
    <row r="946" ht="15.75" customHeight="1" spans="6:7">
      <c r="F946" s="36" t="s">
        <v>4165</v>
      </c>
      <c r="G946" s="36" t="s">
        <v>4325</v>
      </c>
    </row>
    <row r="947" ht="15.75" customHeight="1" spans="6:7">
      <c r="F947" s="36" t="s">
        <v>4165</v>
      </c>
      <c r="G947" s="36" t="s">
        <v>4326</v>
      </c>
    </row>
    <row r="948" ht="15.75" customHeight="1" spans="6:7">
      <c r="F948" s="36" t="s">
        <v>4165</v>
      </c>
      <c r="G948" s="36" t="s">
        <v>4327</v>
      </c>
    </row>
    <row r="949" ht="15.75" customHeight="1" spans="6:7">
      <c r="F949" s="36" t="s">
        <v>4165</v>
      </c>
      <c r="G949" s="36" t="s">
        <v>4328</v>
      </c>
    </row>
    <row r="950" ht="15.75" customHeight="1" spans="6:7">
      <c r="F950" s="36" t="s">
        <v>4165</v>
      </c>
      <c r="G950" s="36" t="s">
        <v>4329</v>
      </c>
    </row>
    <row r="951" ht="15.75" customHeight="1" spans="6:7">
      <c r="F951" s="36" t="s">
        <v>4165</v>
      </c>
      <c r="G951" s="36" t="s">
        <v>4330</v>
      </c>
    </row>
    <row r="952" ht="15.75" customHeight="1" spans="6:7">
      <c r="F952" s="36" t="s">
        <v>4165</v>
      </c>
      <c r="G952" s="36" t="s">
        <v>4331</v>
      </c>
    </row>
    <row r="953" ht="15.75" customHeight="1" spans="6:7">
      <c r="F953" s="36" t="s">
        <v>4165</v>
      </c>
      <c r="G953" s="36" t="s">
        <v>4332</v>
      </c>
    </row>
    <row r="954" ht="15.75" customHeight="1" spans="6:7">
      <c r="F954" s="36" t="s">
        <v>4165</v>
      </c>
      <c r="G954" s="36" t="s">
        <v>4333</v>
      </c>
    </row>
    <row r="955" ht="15.75" customHeight="1" spans="6:7">
      <c r="F955" s="36" t="s">
        <v>4165</v>
      </c>
      <c r="G955" s="36" t="s">
        <v>4334</v>
      </c>
    </row>
    <row r="956" ht="15.75" customHeight="1" spans="6:7">
      <c r="F956" s="36" t="s">
        <v>4165</v>
      </c>
      <c r="G956" s="36" t="s">
        <v>4335</v>
      </c>
    </row>
    <row r="957" ht="15.75" customHeight="1" spans="6:7">
      <c r="F957" s="36" t="s">
        <v>4165</v>
      </c>
      <c r="G957" s="36" t="s">
        <v>4336</v>
      </c>
    </row>
    <row r="958" ht="15.75" customHeight="1" spans="6:7">
      <c r="F958" s="36" t="s">
        <v>4165</v>
      </c>
      <c r="G958" s="36" t="s">
        <v>4337</v>
      </c>
    </row>
    <row r="959" ht="15.75" customHeight="1" spans="6:7">
      <c r="F959" s="36" t="s">
        <v>4165</v>
      </c>
      <c r="G959" s="36" t="s">
        <v>4338</v>
      </c>
    </row>
    <row r="960" ht="15.75" customHeight="1" spans="6:7">
      <c r="F960" s="36" t="s">
        <v>4165</v>
      </c>
      <c r="G960" s="36" t="s">
        <v>4339</v>
      </c>
    </row>
    <row r="961" ht="15.75" customHeight="1" spans="6:7">
      <c r="F961" s="36" t="s">
        <v>4165</v>
      </c>
      <c r="G961" s="36" t="s">
        <v>4340</v>
      </c>
    </row>
    <row r="962" ht="15.75" customHeight="1" spans="6:7">
      <c r="F962" s="36" t="s">
        <v>4165</v>
      </c>
      <c r="G962" s="36" t="s">
        <v>4341</v>
      </c>
    </row>
    <row r="963" ht="15.75" customHeight="1" spans="6:7">
      <c r="F963" s="36" t="s">
        <v>4165</v>
      </c>
      <c r="G963" s="36" t="s">
        <v>4342</v>
      </c>
    </row>
    <row r="964" ht="15.75" customHeight="1" spans="6:7">
      <c r="F964" s="36" t="s">
        <v>4165</v>
      </c>
      <c r="G964" s="36" t="s">
        <v>4343</v>
      </c>
    </row>
    <row r="965" ht="15.75" customHeight="1" spans="6:7">
      <c r="F965" s="36" t="s">
        <v>4165</v>
      </c>
      <c r="G965" s="36" t="s">
        <v>4344</v>
      </c>
    </row>
    <row r="966" ht="15.75" customHeight="1" spans="6:7">
      <c r="F966" s="36" t="s">
        <v>4165</v>
      </c>
      <c r="G966" s="36" t="s">
        <v>4345</v>
      </c>
    </row>
    <row r="967" ht="15.75" customHeight="1" spans="6:7">
      <c r="F967" s="36" t="s">
        <v>4165</v>
      </c>
      <c r="G967" s="36" t="s">
        <v>4346</v>
      </c>
    </row>
    <row r="968" ht="15.75" customHeight="1" spans="6:7">
      <c r="F968" s="36" t="s">
        <v>4165</v>
      </c>
      <c r="G968" s="36" t="s">
        <v>4347</v>
      </c>
    </row>
    <row r="969" ht="15.75" customHeight="1" spans="6:7">
      <c r="F969" s="36" t="s">
        <v>4165</v>
      </c>
      <c r="G969" s="36" t="s">
        <v>4348</v>
      </c>
    </row>
    <row r="970" ht="15.75" customHeight="1" spans="6:7">
      <c r="F970" s="36" t="s">
        <v>4165</v>
      </c>
      <c r="G970" s="36" t="s">
        <v>4349</v>
      </c>
    </row>
    <row r="971" ht="15.75" customHeight="1" spans="6:7">
      <c r="F971" s="36" t="s">
        <v>4165</v>
      </c>
      <c r="G971" s="36" t="s">
        <v>4350</v>
      </c>
    </row>
    <row r="972" ht="15.75" customHeight="1" spans="6:7">
      <c r="F972" s="36" t="s">
        <v>4165</v>
      </c>
      <c r="G972" s="36" t="s">
        <v>4351</v>
      </c>
    </row>
    <row r="973" ht="15.75" customHeight="1" spans="6:7">
      <c r="F973" s="36" t="s">
        <v>4165</v>
      </c>
      <c r="G973" s="36" t="s">
        <v>4352</v>
      </c>
    </row>
    <row r="974" ht="15.75" customHeight="1" spans="6:7">
      <c r="F974" s="36" t="s">
        <v>4165</v>
      </c>
      <c r="G974" s="36" t="s">
        <v>4353</v>
      </c>
    </row>
    <row r="975" ht="15.75" customHeight="1" spans="6:7">
      <c r="F975" s="36" t="s">
        <v>4165</v>
      </c>
      <c r="G975" s="36" t="s">
        <v>4354</v>
      </c>
    </row>
    <row r="976" ht="15.75" customHeight="1" spans="6:7">
      <c r="F976" s="36" t="s">
        <v>4165</v>
      </c>
      <c r="G976" s="36" t="s">
        <v>4355</v>
      </c>
    </row>
    <row r="977" ht="15.75" customHeight="1" spans="6:7">
      <c r="F977" s="36" t="s">
        <v>4165</v>
      </c>
      <c r="G977" s="36" t="s">
        <v>4356</v>
      </c>
    </row>
    <row r="978" ht="15.75" customHeight="1" spans="6:7">
      <c r="F978" s="36" t="s">
        <v>4165</v>
      </c>
      <c r="G978" s="36" t="s">
        <v>4357</v>
      </c>
    </row>
    <row r="979" ht="15.75" customHeight="1" spans="6:7">
      <c r="F979" s="36" t="s">
        <v>4165</v>
      </c>
      <c r="G979" s="36" t="s">
        <v>4358</v>
      </c>
    </row>
    <row r="980" ht="15.75" customHeight="1" spans="6:7">
      <c r="F980" s="36" t="s">
        <v>4165</v>
      </c>
      <c r="G980" s="36" t="s">
        <v>4359</v>
      </c>
    </row>
    <row r="981" ht="15.75" customHeight="1" spans="6:7">
      <c r="F981" s="36" t="s">
        <v>4165</v>
      </c>
      <c r="G981" s="36" t="s">
        <v>4360</v>
      </c>
    </row>
    <row r="982" ht="15.75" customHeight="1" spans="6:7">
      <c r="F982" s="36" t="s">
        <v>4165</v>
      </c>
      <c r="G982" s="36" t="s">
        <v>4361</v>
      </c>
    </row>
    <row r="983" ht="15.75" customHeight="1" spans="6:7">
      <c r="F983" s="36" t="s">
        <v>4165</v>
      </c>
      <c r="G983" s="36" t="s">
        <v>4362</v>
      </c>
    </row>
    <row r="984" ht="15.75" customHeight="1" spans="6:7">
      <c r="F984" s="36" t="s">
        <v>4165</v>
      </c>
      <c r="G984" s="36" t="s">
        <v>4363</v>
      </c>
    </row>
    <row r="985" ht="15.75" customHeight="1" spans="6:7">
      <c r="F985" s="36" t="s">
        <v>4165</v>
      </c>
      <c r="G985" s="36" t="s">
        <v>4364</v>
      </c>
    </row>
    <row r="986" ht="15.75" customHeight="1" spans="6:7">
      <c r="F986" s="36" t="s">
        <v>4165</v>
      </c>
      <c r="G986" s="36" t="s">
        <v>4365</v>
      </c>
    </row>
    <row r="987" ht="15.75" customHeight="1" spans="6:7">
      <c r="F987" s="36" t="s">
        <v>4165</v>
      </c>
      <c r="G987" s="36" t="s">
        <v>4366</v>
      </c>
    </row>
    <row r="988" ht="15.75" customHeight="1" spans="6:7">
      <c r="F988" s="36" t="s">
        <v>4165</v>
      </c>
      <c r="G988" s="36" t="s">
        <v>4367</v>
      </c>
    </row>
    <row r="989" ht="15.75" customHeight="1" spans="6:7">
      <c r="F989" s="36" t="s">
        <v>4165</v>
      </c>
      <c r="G989" s="36" t="s">
        <v>4368</v>
      </c>
    </row>
    <row r="990" ht="15.75" customHeight="1" spans="6:7">
      <c r="F990" s="36" t="s">
        <v>4369</v>
      </c>
      <c r="G990" s="36" t="s">
        <v>4370</v>
      </c>
    </row>
    <row r="991" ht="15.75" customHeight="1" spans="6:7">
      <c r="F991" s="36" t="s">
        <v>4369</v>
      </c>
      <c r="G991" s="36" t="s">
        <v>28</v>
      </c>
    </row>
    <row r="992" ht="15.75" customHeight="1" spans="6:7">
      <c r="F992" s="36" t="s">
        <v>4369</v>
      </c>
      <c r="G992" s="36" t="s">
        <v>4371</v>
      </c>
    </row>
    <row r="993" ht="15.75" customHeight="1" spans="6:7">
      <c r="F993" s="36" t="s">
        <v>4369</v>
      </c>
      <c r="G993" s="36" t="s">
        <v>4372</v>
      </c>
    </row>
    <row r="994" ht="15.75" customHeight="1" spans="6:7">
      <c r="F994" s="36" t="s">
        <v>4369</v>
      </c>
      <c r="G994" s="36" t="s">
        <v>4373</v>
      </c>
    </row>
    <row r="995" ht="15.75" customHeight="1" spans="6:7">
      <c r="F995" s="36" t="s">
        <v>4369</v>
      </c>
      <c r="G995" s="36" t="s">
        <v>4374</v>
      </c>
    </row>
    <row r="996" ht="15.75" customHeight="1" spans="6:7">
      <c r="F996" s="36" t="s">
        <v>4369</v>
      </c>
      <c r="G996" s="36" t="s">
        <v>4375</v>
      </c>
    </row>
    <row r="997" ht="15.75" customHeight="1" spans="6:7">
      <c r="F997" s="36" t="s">
        <v>4369</v>
      </c>
      <c r="G997" s="36" t="s">
        <v>4376</v>
      </c>
    </row>
    <row r="998" ht="15.75" customHeight="1" spans="6:7">
      <c r="F998" s="36" t="s">
        <v>4369</v>
      </c>
      <c r="G998" s="36" t="s">
        <v>4377</v>
      </c>
    </row>
    <row r="999" ht="15.75" customHeight="1" spans="6:7">
      <c r="F999" s="36" t="s">
        <v>4369</v>
      </c>
      <c r="G999" s="36" t="s">
        <v>4378</v>
      </c>
    </row>
    <row r="1000" ht="15.75" customHeight="1" spans="6:7">
      <c r="F1000" s="36" t="s">
        <v>4369</v>
      </c>
      <c r="G1000" s="36" t="s">
        <v>4379</v>
      </c>
    </row>
    <row r="1001" ht="15.75" customHeight="1" spans="6:7">
      <c r="F1001" s="36" t="s">
        <v>4369</v>
      </c>
      <c r="G1001" s="36" t="s">
        <v>4380</v>
      </c>
    </row>
    <row r="1002" ht="15.75" customHeight="1" spans="6:7">
      <c r="F1002" s="36" t="s">
        <v>4369</v>
      </c>
      <c r="G1002" s="36" t="s">
        <v>4381</v>
      </c>
    </row>
    <row r="1003" ht="15.75" customHeight="1" spans="6:7">
      <c r="F1003" s="36" t="s">
        <v>4369</v>
      </c>
      <c r="G1003" s="36" t="s">
        <v>4382</v>
      </c>
    </row>
    <row r="1004" ht="15.75" customHeight="1" spans="6:7">
      <c r="F1004" s="36" t="s">
        <v>4369</v>
      </c>
      <c r="G1004" s="36" t="s">
        <v>33</v>
      </c>
    </row>
    <row r="1005" ht="15.75" customHeight="1" spans="6:7">
      <c r="F1005" s="36" t="s">
        <v>4369</v>
      </c>
      <c r="G1005" s="36" t="s">
        <v>4383</v>
      </c>
    </row>
    <row r="1006" ht="15.75" customHeight="1" spans="6:7">
      <c r="F1006" s="36" t="s">
        <v>4369</v>
      </c>
      <c r="G1006" s="36" t="s">
        <v>4384</v>
      </c>
    </row>
    <row r="1007" ht="15.75" customHeight="1" spans="6:7">
      <c r="F1007" s="36" t="s">
        <v>4369</v>
      </c>
      <c r="G1007" s="36" t="s">
        <v>4385</v>
      </c>
    </row>
    <row r="1008" ht="15.75" customHeight="1" spans="6:7">
      <c r="F1008" s="36" t="s">
        <v>4369</v>
      </c>
      <c r="G1008" s="36" t="s">
        <v>4386</v>
      </c>
    </row>
    <row r="1009" ht="15.75" customHeight="1" spans="6:7">
      <c r="F1009" s="36" t="s">
        <v>4369</v>
      </c>
      <c r="G1009" s="36" t="s">
        <v>4387</v>
      </c>
    </row>
    <row r="1010" ht="15.75" customHeight="1" spans="6:7">
      <c r="F1010" s="36" t="s">
        <v>4369</v>
      </c>
      <c r="G1010" s="36" t="s">
        <v>4388</v>
      </c>
    </row>
    <row r="1011" ht="15.75" customHeight="1" spans="6:7">
      <c r="F1011" s="36" t="s">
        <v>4369</v>
      </c>
      <c r="G1011" s="36" t="s">
        <v>4389</v>
      </c>
    </row>
    <row r="1012" ht="15.75" customHeight="1" spans="6:7">
      <c r="F1012" s="36" t="s">
        <v>4369</v>
      </c>
      <c r="G1012" s="36" t="s">
        <v>4390</v>
      </c>
    </row>
    <row r="1013" ht="15.75" customHeight="1" spans="6:7">
      <c r="F1013" s="36" t="s">
        <v>4369</v>
      </c>
      <c r="G1013" s="36" t="s">
        <v>4391</v>
      </c>
    </row>
    <row r="1014" ht="15.75" customHeight="1" spans="6:7">
      <c r="F1014" s="36" t="s">
        <v>4369</v>
      </c>
      <c r="G1014" s="36" t="s">
        <v>4392</v>
      </c>
    </row>
    <row r="1015" ht="15.75" customHeight="1" spans="6:7">
      <c r="F1015" s="36" t="s">
        <v>4369</v>
      </c>
      <c r="G1015" s="36" t="s">
        <v>4393</v>
      </c>
    </row>
    <row r="1016" ht="15.75" customHeight="1" spans="6:7">
      <c r="F1016" s="36" t="s">
        <v>4369</v>
      </c>
      <c r="G1016" s="36" t="s">
        <v>4394</v>
      </c>
    </row>
    <row r="1017" ht="15.75" customHeight="1" spans="6:7">
      <c r="F1017" s="36" t="s">
        <v>4369</v>
      </c>
      <c r="G1017" s="36" t="s">
        <v>4395</v>
      </c>
    </row>
    <row r="1018" ht="15.75" customHeight="1" spans="6:7">
      <c r="F1018" s="36" t="s">
        <v>4369</v>
      </c>
      <c r="G1018" s="36" t="s">
        <v>4396</v>
      </c>
    </row>
    <row r="1019" ht="15.75" customHeight="1" spans="6:7">
      <c r="F1019" s="36" t="s">
        <v>4369</v>
      </c>
      <c r="G1019" s="36" t="s">
        <v>4397</v>
      </c>
    </row>
    <row r="1020" ht="15.75" customHeight="1" spans="6:7">
      <c r="F1020" s="36" t="s">
        <v>4369</v>
      </c>
      <c r="G1020" s="36" t="s">
        <v>4398</v>
      </c>
    </row>
    <row r="1021" ht="15.75" customHeight="1" spans="6:7">
      <c r="F1021" s="36" t="s">
        <v>4369</v>
      </c>
      <c r="G1021" s="36" t="s">
        <v>4399</v>
      </c>
    </row>
    <row r="1022" ht="15.75" customHeight="1" spans="6:7">
      <c r="F1022" s="36" t="s">
        <v>4369</v>
      </c>
      <c r="G1022" s="36" t="s">
        <v>4400</v>
      </c>
    </row>
    <row r="1023" ht="15.75" customHeight="1" spans="6:7">
      <c r="F1023" s="36" t="s">
        <v>4369</v>
      </c>
      <c r="G1023" s="36" t="s">
        <v>4401</v>
      </c>
    </row>
    <row r="1024" ht="15.75" customHeight="1" spans="6:7">
      <c r="F1024" s="36" t="s">
        <v>4369</v>
      </c>
      <c r="G1024" s="36" t="s">
        <v>4402</v>
      </c>
    </row>
    <row r="1025" ht="15.75" customHeight="1" spans="6:7">
      <c r="F1025" s="36" t="s">
        <v>4369</v>
      </c>
      <c r="G1025" s="36" t="s">
        <v>29</v>
      </c>
    </row>
    <row r="1026" ht="15.75" customHeight="1" spans="6:7">
      <c r="F1026" s="36" t="s">
        <v>4403</v>
      </c>
      <c r="G1026" s="36" t="s">
        <v>4404</v>
      </c>
    </row>
    <row r="1027" ht="15.75" customHeight="1" spans="6:7">
      <c r="F1027" s="36" t="s">
        <v>4403</v>
      </c>
      <c r="G1027" s="36" t="s">
        <v>30</v>
      </c>
    </row>
    <row r="1028" ht="15.75" customHeight="1" spans="6:7">
      <c r="F1028" s="36" t="s">
        <v>4403</v>
      </c>
      <c r="G1028" s="36" t="s">
        <v>4405</v>
      </c>
    </row>
    <row r="1029" ht="15.75" customHeight="1" spans="6:7">
      <c r="F1029" s="36" t="s">
        <v>4403</v>
      </c>
      <c r="G1029" s="36" t="s">
        <v>4406</v>
      </c>
    </row>
    <row r="1030" ht="15.75" customHeight="1" spans="6:7">
      <c r="F1030" s="36" t="s">
        <v>4403</v>
      </c>
      <c r="G1030" s="36" t="s">
        <v>4407</v>
      </c>
    </row>
    <row r="1031" ht="15.75" customHeight="1" spans="6:7">
      <c r="F1031" s="36" t="s">
        <v>4403</v>
      </c>
      <c r="G1031" s="36" t="s">
        <v>4408</v>
      </c>
    </row>
    <row r="1032" ht="15.75" customHeight="1" spans="6:7">
      <c r="F1032" s="36" t="s">
        <v>4403</v>
      </c>
      <c r="G1032" s="36" t="s">
        <v>4409</v>
      </c>
    </row>
    <row r="1033" ht="15.75" customHeight="1" spans="6:7">
      <c r="F1033" s="36" t="s">
        <v>4403</v>
      </c>
      <c r="G1033" s="36" t="s">
        <v>4410</v>
      </c>
    </row>
    <row r="1034" ht="15.75" customHeight="1" spans="6:7">
      <c r="F1034" s="36" t="s">
        <v>4403</v>
      </c>
      <c r="G1034" s="36" t="s">
        <v>4403</v>
      </c>
    </row>
    <row r="1035" ht="15.75" customHeight="1" spans="6:7">
      <c r="F1035" s="36" t="s">
        <v>4403</v>
      </c>
      <c r="G1035" s="36" t="s">
        <v>4411</v>
      </c>
    </row>
    <row r="1036" ht="15.75" customHeight="1" spans="6:7">
      <c r="F1036" s="36" t="s">
        <v>4403</v>
      </c>
      <c r="G1036" s="36" t="s">
        <v>4412</v>
      </c>
    </row>
    <row r="1037" ht="15.75" customHeight="1" spans="6:7">
      <c r="F1037" s="36" t="s">
        <v>4403</v>
      </c>
      <c r="G1037" s="36" t="s">
        <v>4413</v>
      </c>
    </row>
    <row r="1038" ht="15.75" customHeight="1" spans="6:7">
      <c r="F1038" s="36" t="s">
        <v>4403</v>
      </c>
      <c r="G1038" s="36" t="s">
        <v>4414</v>
      </c>
    </row>
    <row r="1039" ht="15.75" customHeight="1" spans="6:7">
      <c r="F1039" s="36" t="s">
        <v>4403</v>
      </c>
      <c r="G1039" s="36" t="s">
        <v>4415</v>
      </c>
    </row>
    <row r="1040" ht="15.75" customHeight="1" spans="6:7">
      <c r="F1040" s="36" t="s">
        <v>4403</v>
      </c>
      <c r="G1040" s="36" t="s">
        <v>4416</v>
      </c>
    </row>
    <row r="1041" ht="15.75" customHeight="1" spans="6:7">
      <c r="F1041" s="36" t="s">
        <v>4403</v>
      </c>
      <c r="G1041" s="36" t="s">
        <v>4417</v>
      </c>
    </row>
    <row r="1042" ht="15.75" customHeight="1" spans="6:7">
      <c r="F1042" s="36" t="s">
        <v>4403</v>
      </c>
      <c r="G1042" s="36" t="s">
        <v>4418</v>
      </c>
    </row>
    <row r="1043" ht="15.75" customHeight="1" spans="6:7">
      <c r="F1043" s="36" t="s">
        <v>4403</v>
      </c>
      <c r="G1043" s="36" t="s">
        <v>4419</v>
      </c>
    </row>
    <row r="1044" ht="15.75" customHeight="1" spans="6:7">
      <c r="F1044" s="36" t="s">
        <v>4403</v>
      </c>
      <c r="G1044" s="36" t="s">
        <v>4420</v>
      </c>
    </row>
    <row r="1045" ht="15.75" customHeight="1" spans="6:7">
      <c r="F1045" s="36" t="s">
        <v>4403</v>
      </c>
      <c r="G1045" s="36" t="s">
        <v>4421</v>
      </c>
    </row>
    <row r="1046" ht="15.75" customHeight="1" spans="6:7">
      <c r="F1046" s="36" t="s">
        <v>4403</v>
      </c>
      <c r="G1046" s="36" t="s">
        <v>4422</v>
      </c>
    </row>
    <row r="1047" ht="15.75" customHeight="1" spans="6:7">
      <c r="F1047" s="36" t="s">
        <v>4403</v>
      </c>
      <c r="G1047" s="36" t="s">
        <v>4423</v>
      </c>
    </row>
    <row r="1048" ht="15.75" customHeight="1" spans="6:7">
      <c r="F1048" s="36" t="s">
        <v>4403</v>
      </c>
      <c r="G1048" s="36" t="s">
        <v>4424</v>
      </c>
    </row>
    <row r="1049" ht="15.75" customHeight="1" spans="6:7">
      <c r="F1049" s="36" t="s">
        <v>4403</v>
      </c>
      <c r="G1049" s="36" t="s">
        <v>4425</v>
      </c>
    </row>
    <row r="1050" ht="15.75" customHeight="1" spans="6:7">
      <c r="F1050" s="36" t="s">
        <v>4403</v>
      </c>
      <c r="G1050" s="36" t="s">
        <v>4426</v>
      </c>
    </row>
    <row r="1051" ht="15.75" customHeight="1" spans="6:7">
      <c r="F1051" s="36" t="s">
        <v>4403</v>
      </c>
      <c r="G1051" s="36" t="s">
        <v>4427</v>
      </c>
    </row>
    <row r="1052" ht="15.75" customHeight="1" spans="6:7">
      <c r="F1052" s="36" t="s">
        <v>4403</v>
      </c>
      <c r="G1052" s="36" t="s">
        <v>4428</v>
      </c>
    </row>
    <row r="1053" ht="15.75" customHeight="1" spans="6:7">
      <c r="F1053" s="36" t="s">
        <v>4403</v>
      </c>
      <c r="G1053" s="36" t="s">
        <v>4429</v>
      </c>
    </row>
    <row r="1054" ht="15.75" customHeight="1" spans="6:7">
      <c r="F1054" s="36" t="s">
        <v>4403</v>
      </c>
      <c r="G1054" s="36" t="s">
        <v>4430</v>
      </c>
    </row>
    <row r="1055" ht="15.75" customHeight="1" spans="6:7">
      <c r="F1055" s="36" t="s">
        <v>4403</v>
      </c>
      <c r="G1055" s="36" t="s">
        <v>4431</v>
      </c>
    </row>
    <row r="1056" ht="15.75" customHeight="1" spans="6:7">
      <c r="F1056" s="36" t="s">
        <v>4403</v>
      </c>
      <c r="G1056" s="36" t="s">
        <v>4432</v>
      </c>
    </row>
    <row r="1057" ht="15.75" customHeight="1" spans="6:7">
      <c r="F1057" s="36" t="s">
        <v>4403</v>
      </c>
      <c r="G1057" s="36" t="s">
        <v>4433</v>
      </c>
    </row>
    <row r="1058" ht="15.75" customHeight="1" spans="6:7">
      <c r="F1058" s="36" t="s">
        <v>4403</v>
      </c>
      <c r="G1058" s="36" t="s">
        <v>4434</v>
      </c>
    </row>
    <row r="1059" ht="15.75" customHeight="1" spans="6:7">
      <c r="F1059" s="36" t="s">
        <v>4403</v>
      </c>
      <c r="G1059" s="36" t="s">
        <v>4435</v>
      </c>
    </row>
    <row r="1060" ht="15.75" customHeight="1" spans="6:7">
      <c r="F1060" s="36" t="s">
        <v>4403</v>
      </c>
      <c r="G1060" s="36" t="s">
        <v>4436</v>
      </c>
    </row>
    <row r="1061" ht="15.75" customHeight="1" spans="6:7">
      <c r="F1061" s="36" t="s">
        <v>4403</v>
      </c>
      <c r="G1061" s="36" t="s">
        <v>4437</v>
      </c>
    </row>
    <row r="1062" ht="15.75" customHeight="1" spans="6:7">
      <c r="F1062" s="36" t="s">
        <v>4403</v>
      </c>
      <c r="G1062" s="36" t="s">
        <v>4438</v>
      </c>
    </row>
    <row r="1063" ht="15.75" customHeight="1" spans="6:7">
      <c r="F1063" s="36" t="s">
        <v>4403</v>
      </c>
      <c r="G1063" s="36" t="s">
        <v>4439</v>
      </c>
    </row>
    <row r="1064" ht="15.75" customHeight="1" spans="6:7">
      <c r="F1064" s="36" t="s">
        <v>4403</v>
      </c>
      <c r="G1064" s="36" t="s">
        <v>4440</v>
      </c>
    </row>
    <row r="1065" ht="15.75" customHeight="1" spans="6:7">
      <c r="F1065" s="36" t="s">
        <v>4403</v>
      </c>
      <c r="G1065" s="36" t="s">
        <v>4441</v>
      </c>
    </row>
    <row r="1066" ht="15.75" customHeight="1" spans="6:7">
      <c r="F1066" s="36" t="s">
        <v>4403</v>
      </c>
      <c r="G1066" s="36" t="s">
        <v>4442</v>
      </c>
    </row>
    <row r="1067" ht="15.75" customHeight="1" spans="6:7">
      <c r="F1067" s="36" t="s">
        <v>4403</v>
      </c>
      <c r="G1067" s="36" t="s">
        <v>4443</v>
      </c>
    </row>
    <row r="1068" ht="15.75" customHeight="1" spans="6:7">
      <c r="F1068" s="36" t="s">
        <v>4403</v>
      </c>
      <c r="G1068" s="36" t="s">
        <v>4444</v>
      </c>
    </row>
    <row r="1069" ht="15.75" customHeight="1" spans="6:7">
      <c r="F1069" s="36" t="s">
        <v>4403</v>
      </c>
      <c r="G1069" s="36" t="s">
        <v>4445</v>
      </c>
    </row>
    <row r="1070" ht="15.75" customHeight="1" spans="6:7">
      <c r="F1070" s="36" t="s">
        <v>4403</v>
      </c>
      <c r="G1070" s="36" t="s">
        <v>4446</v>
      </c>
    </row>
    <row r="1071" ht="15.75" customHeight="1" spans="6:7">
      <c r="F1071" s="36" t="s">
        <v>4403</v>
      </c>
      <c r="G1071" s="36" t="s">
        <v>4447</v>
      </c>
    </row>
    <row r="1072" ht="15.75" customHeight="1" spans="6:7">
      <c r="F1072" s="36" t="s">
        <v>4403</v>
      </c>
      <c r="G1072" s="36" t="s">
        <v>4448</v>
      </c>
    </row>
    <row r="1073" ht="15.75" customHeight="1" spans="6:7">
      <c r="F1073" s="36" t="s">
        <v>4403</v>
      </c>
      <c r="G1073" s="36" t="s">
        <v>4449</v>
      </c>
    </row>
    <row r="1074" ht="15.75" customHeight="1" spans="6:7">
      <c r="F1074" s="36" t="s">
        <v>4403</v>
      </c>
      <c r="G1074" s="36" t="s">
        <v>4450</v>
      </c>
    </row>
    <row r="1075" ht="15.75" customHeight="1" spans="6:7">
      <c r="F1075" s="36" t="s">
        <v>4403</v>
      </c>
      <c r="G1075" s="36" t="s">
        <v>4451</v>
      </c>
    </row>
    <row r="1076" ht="15.75" customHeight="1" spans="6:7">
      <c r="F1076" s="36" t="s">
        <v>4403</v>
      </c>
      <c r="G1076" s="36" t="s">
        <v>4452</v>
      </c>
    </row>
    <row r="1077" ht="15.75" customHeight="1" spans="6:7">
      <c r="F1077" s="36" t="s">
        <v>4403</v>
      </c>
      <c r="G1077" s="36" t="s">
        <v>4453</v>
      </c>
    </row>
    <row r="1078" ht="15.75" customHeight="1" spans="6:7">
      <c r="F1078" s="36" t="s">
        <v>4403</v>
      </c>
      <c r="G1078" s="36" t="s">
        <v>4454</v>
      </c>
    </row>
    <row r="1079" ht="15.75" customHeight="1" spans="6:7">
      <c r="F1079" s="36" t="s">
        <v>4403</v>
      </c>
      <c r="G1079" s="36" t="s">
        <v>4455</v>
      </c>
    </row>
    <row r="1080" ht="15.75" customHeight="1" spans="6:7">
      <c r="F1080" s="36" t="s">
        <v>4403</v>
      </c>
      <c r="G1080" s="36" t="s">
        <v>4456</v>
      </c>
    </row>
    <row r="1081" ht="15.75" customHeight="1" spans="6:7">
      <c r="F1081" s="36" t="s">
        <v>4403</v>
      </c>
      <c r="G1081" s="36" t="s">
        <v>4457</v>
      </c>
    </row>
    <row r="1082" ht="15.75" customHeight="1" spans="6:7">
      <c r="F1082" s="36" t="s">
        <v>4403</v>
      </c>
      <c r="G1082" s="36" t="s">
        <v>4458</v>
      </c>
    </row>
    <row r="1083" ht="15.75" customHeight="1" spans="6:7">
      <c r="F1083" s="36" t="s">
        <v>4403</v>
      </c>
      <c r="G1083" s="36" t="s">
        <v>4459</v>
      </c>
    </row>
    <row r="1084" ht="15.75" customHeight="1" spans="6:7">
      <c r="F1084" s="36" t="s">
        <v>4403</v>
      </c>
      <c r="G1084" s="36" t="s">
        <v>4460</v>
      </c>
    </row>
    <row r="1085" ht="15.75" customHeight="1" spans="6:7">
      <c r="F1085" s="36" t="s">
        <v>4403</v>
      </c>
      <c r="G1085" s="36" t="s">
        <v>4461</v>
      </c>
    </row>
    <row r="1086" ht="15.75" customHeight="1" spans="6:7">
      <c r="F1086" s="36" t="s">
        <v>4403</v>
      </c>
      <c r="G1086" s="36" t="s">
        <v>4462</v>
      </c>
    </row>
    <row r="1087" ht="15.75" customHeight="1" spans="6:7">
      <c r="F1087" s="36" t="s">
        <v>4403</v>
      </c>
      <c r="G1087" s="36" t="s">
        <v>4463</v>
      </c>
    </row>
    <row r="1088" ht="15.75" customHeight="1" spans="6:7">
      <c r="F1088" s="36" t="s">
        <v>4403</v>
      </c>
      <c r="G1088" s="36" t="s">
        <v>4464</v>
      </c>
    </row>
    <row r="1089" ht="15.75" customHeight="1" spans="6:7">
      <c r="F1089" s="36" t="s">
        <v>4403</v>
      </c>
      <c r="G1089" s="36" t="s">
        <v>4465</v>
      </c>
    </row>
    <row r="1090" ht="15.75" customHeight="1" spans="6:7">
      <c r="F1090" s="36" t="s">
        <v>4403</v>
      </c>
      <c r="G1090" s="36" t="s">
        <v>4466</v>
      </c>
    </row>
    <row r="1091" ht="15.75" customHeight="1" spans="6:7">
      <c r="F1091" s="36" t="s">
        <v>4403</v>
      </c>
      <c r="G1091" s="36" t="s">
        <v>4467</v>
      </c>
    </row>
    <row r="1092" ht="15.75" customHeight="1" spans="6:7">
      <c r="F1092" s="36" t="s">
        <v>4403</v>
      </c>
      <c r="G1092" s="36" t="s">
        <v>4468</v>
      </c>
    </row>
    <row r="1093" ht="15.75" customHeight="1" spans="6:7">
      <c r="F1093" s="36" t="s">
        <v>4403</v>
      </c>
      <c r="G1093" s="36" t="s">
        <v>4469</v>
      </c>
    </row>
    <row r="1094" ht="15.75" customHeight="1" spans="6:7">
      <c r="F1094" s="36" t="s">
        <v>4403</v>
      </c>
      <c r="G1094" s="36" t="s">
        <v>4470</v>
      </c>
    </row>
    <row r="1095" ht="15.75" customHeight="1" spans="6:7">
      <c r="F1095" s="36" t="s">
        <v>4403</v>
      </c>
      <c r="G1095" s="36" t="s">
        <v>4471</v>
      </c>
    </row>
    <row r="1096" ht="15.75" customHeight="1" spans="6:7">
      <c r="F1096" s="36" t="s">
        <v>4403</v>
      </c>
      <c r="G1096" s="36" t="s">
        <v>4472</v>
      </c>
    </row>
    <row r="1097" ht="15.75" customHeight="1" spans="6:7">
      <c r="F1097" s="36" t="s">
        <v>4403</v>
      </c>
      <c r="G1097" s="36" t="s">
        <v>4473</v>
      </c>
    </row>
    <row r="1098" ht="15.75" customHeight="1" spans="6:7">
      <c r="F1098" s="36" t="s">
        <v>4403</v>
      </c>
      <c r="G1098" s="36" t="s">
        <v>4474</v>
      </c>
    </row>
    <row r="1099" ht="15.75" customHeight="1" spans="6:7">
      <c r="F1099" s="36" t="s">
        <v>4403</v>
      </c>
      <c r="G1099" s="36" t="s">
        <v>4475</v>
      </c>
    </row>
    <row r="1100" ht="15.75" customHeight="1" spans="6:7">
      <c r="F1100" s="36" t="s">
        <v>4403</v>
      </c>
      <c r="G1100" s="36" t="s">
        <v>4476</v>
      </c>
    </row>
    <row r="1101" ht="15.75" customHeight="1" spans="6:7">
      <c r="F1101" s="36" t="s">
        <v>4403</v>
      </c>
      <c r="G1101" s="36" t="s">
        <v>4477</v>
      </c>
    </row>
    <row r="1102" ht="15.75" customHeight="1" spans="6:7">
      <c r="F1102" s="36" t="s">
        <v>4403</v>
      </c>
      <c r="G1102" s="36" t="s">
        <v>4478</v>
      </c>
    </row>
    <row r="1103" ht="15.75" customHeight="1" spans="6:7">
      <c r="F1103" s="36" t="s">
        <v>4403</v>
      </c>
      <c r="G1103" s="36" t="s">
        <v>4479</v>
      </c>
    </row>
    <row r="1104" ht="15.75" customHeight="1" spans="6:7">
      <c r="F1104" s="36" t="s">
        <v>4403</v>
      </c>
      <c r="G1104" s="36" t="s">
        <v>4480</v>
      </c>
    </row>
    <row r="1105" ht="15.75" customHeight="1" spans="6:7">
      <c r="F1105" s="36" t="s">
        <v>4403</v>
      </c>
      <c r="G1105" s="36" t="s">
        <v>4481</v>
      </c>
    </row>
    <row r="1106" ht="15.75" customHeight="1" spans="6:7">
      <c r="F1106" s="36" t="s">
        <v>4403</v>
      </c>
      <c r="G1106" s="36" t="s">
        <v>4482</v>
      </c>
    </row>
    <row r="1107" ht="15.75" customHeight="1" spans="6:7">
      <c r="F1107" s="36" t="s">
        <v>4403</v>
      </c>
      <c r="G1107" s="36" t="s">
        <v>4483</v>
      </c>
    </row>
    <row r="1108" ht="15.75" customHeight="1" spans="6:7">
      <c r="F1108" s="36" t="s">
        <v>4403</v>
      </c>
      <c r="G1108" s="36" t="s">
        <v>4484</v>
      </c>
    </row>
    <row r="1109" ht="15.75" customHeight="1" spans="6:7">
      <c r="F1109" s="36" t="s">
        <v>4403</v>
      </c>
      <c r="G1109" s="36" t="s">
        <v>4485</v>
      </c>
    </row>
    <row r="1110" ht="15.75" customHeight="1" spans="6:7">
      <c r="F1110" s="36" t="s">
        <v>4403</v>
      </c>
      <c r="G1110" s="36" t="s">
        <v>4486</v>
      </c>
    </row>
    <row r="1111" ht="15.75" customHeight="1" spans="6:7">
      <c r="F1111" s="36" t="s">
        <v>4403</v>
      </c>
      <c r="G1111" s="36" t="s">
        <v>4487</v>
      </c>
    </row>
    <row r="1112" ht="15.75" customHeight="1" spans="6:7">
      <c r="F1112" s="36" t="s">
        <v>4403</v>
      </c>
      <c r="G1112" s="36" t="s">
        <v>4488</v>
      </c>
    </row>
    <row r="1113" ht="15.75" customHeight="1" spans="6:7">
      <c r="F1113" s="36" t="s">
        <v>4403</v>
      </c>
      <c r="G1113" s="36" t="s">
        <v>4489</v>
      </c>
    </row>
    <row r="1114" ht="15.75" customHeight="1" spans="6:7">
      <c r="F1114" s="36" t="s">
        <v>4403</v>
      </c>
      <c r="G1114" s="36" t="s">
        <v>4490</v>
      </c>
    </row>
    <row r="1115" ht="15.75" customHeight="1" spans="6:7">
      <c r="F1115" s="36" t="s">
        <v>4403</v>
      </c>
      <c r="G1115" s="36" t="s">
        <v>4491</v>
      </c>
    </row>
    <row r="1116" ht="15.75" customHeight="1" spans="6:7">
      <c r="F1116" s="36" t="s">
        <v>4403</v>
      </c>
      <c r="G1116" s="36" t="s">
        <v>4492</v>
      </c>
    </row>
    <row r="1117" ht="15.75" customHeight="1" spans="6:7">
      <c r="F1117" s="36" t="s">
        <v>4493</v>
      </c>
      <c r="G1117" s="36" t="s">
        <v>4494</v>
      </c>
    </row>
    <row r="1118" ht="15.75" customHeight="1" spans="6:7">
      <c r="F1118" s="36" t="s">
        <v>4493</v>
      </c>
      <c r="G1118" s="36" t="s">
        <v>32</v>
      </c>
    </row>
    <row r="1119" ht="15.75" customHeight="1" spans="6:7">
      <c r="F1119" s="36" t="s">
        <v>4493</v>
      </c>
      <c r="G1119" s="36" t="s">
        <v>4495</v>
      </c>
    </row>
    <row r="1120" ht="15.75" customHeight="1" spans="6:7">
      <c r="F1120" s="36" t="s">
        <v>4493</v>
      </c>
      <c r="G1120" s="36" t="s">
        <v>4496</v>
      </c>
    </row>
    <row r="1121" ht="15.75" customHeight="1" spans="6:7">
      <c r="F1121" s="36" t="s">
        <v>4493</v>
      </c>
      <c r="G1121" s="36" t="s">
        <v>4497</v>
      </c>
    </row>
    <row r="1122" ht="15.75" customHeight="1" spans="6:7">
      <c r="F1122" s="36" t="s">
        <v>4493</v>
      </c>
      <c r="G1122" s="36" t="s">
        <v>4498</v>
      </c>
    </row>
    <row r="1123" ht="15.75" customHeight="1" spans="6:7">
      <c r="F1123" s="36" t="s">
        <v>4493</v>
      </c>
      <c r="G1123" s="36" t="s">
        <v>4499</v>
      </c>
    </row>
    <row r="1124" ht="15.75" customHeight="1" spans="6:7">
      <c r="F1124" s="36" t="s">
        <v>4493</v>
      </c>
      <c r="G1124" s="36" t="s">
        <v>4500</v>
      </c>
    </row>
    <row r="1125" ht="15.75" customHeight="1" spans="6:7">
      <c r="F1125" s="36" t="s">
        <v>4493</v>
      </c>
      <c r="G1125" s="36" t="s">
        <v>4501</v>
      </c>
    </row>
    <row r="1126" ht="15.75" customHeight="1" spans="6:7">
      <c r="F1126" s="36" t="s">
        <v>4493</v>
      </c>
      <c r="G1126" s="36" t="s">
        <v>4493</v>
      </c>
    </row>
    <row r="1127" ht="15.75" customHeight="1" spans="6:7">
      <c r="F1127" s="36" t="s">
        <v>4493</v>
      </c>
      <c r="G1127" s="36" t="s">
        <v>4502</v>
      </c>
    </row>
    <row r="1128" ht="15.75" customHeight="1" spans="6:7">
      <c r="F1128" s="36" t="s">
        <v>4493</v>
      </c>
      <c r="G1128" s="36" t="s">
        <v>4503</v>
      </c>
    </row>
    <row r="1129" ht="15.75" customHeight="1" spans="6:7">
      <c r="F1129" s="36" t="s">
        <v>4493</v>
      </c>
      <c r="G1129" s="36" t="s">
        <v>4504</v>
      </c>
    </row>
    <row r="1130" ht="15.75" customHeight="1" spans="6:7">
      <c r="F1130" s="36" t="s">
        <v>4493</v>
      </c>
      <c r="G1130" s="36" t="s">
        <v>4505</v>
      </c>
    </row>
    <row r="1131" ht="15.75" customHeight="1" spans="6:7">
      <c r="F1131" s="36" t="s">
        <v>4493</v>
      </c>
      <c r="G1131" s="36" t="s">
        <v>4506</v>
      </c>
    </row>
    <row r="1132" ht="15.75" customHeight="1" spans="6:7">
      <c r="F1132" s="36" t="s">
        <v>4493</v>
      </c>
      <c r="G1132" s="36" t="s">
        <v>4507</v>
      </c>
    </row>
    <row r="1133" ht="15.75" customHeight="1" spans="6:7">
      <c r="F1133" s="36" t="s">
        <v>4493</v>
      </c>
      <c r="G1133" s="36" t="s">
        <v>4508</v>
      </c>
    </row>
    <row r="1134" ht="15.75" customHeight="1" spans="6:7">
      <c r="F1134" s="36" t="s">
        <v>4493</v>
      </c>
      <c r="G1134" s="36" t="s">
        <v>4509</v>
      </c>
    </row>
    <row r="1135" ht="15.75" customHeight="1" spans="6:7">
      <c r="F1135" s="36" t="s">
        <v>4493</v>
      </c>
      <c r="G1135" s="36" t="s">
        <v>4510</v>
      </c>
    </row>
    <row r="1136" ht="15.75" customHeight="1" spans="6:7">
      <c r="F1136" s="36" t="s">
        <v>4493</v>
      </c>
      <c r="G1136" s="36" t="s">
        <v>4511</v>
      </c>
    </row>
    <row r="1137" ht="15.75" customHeight="1" spans="6:7">
      <c r="F1137" s="36" t="s">
        <v>4493</v>
      </c>
      <c r="G1137" s="36" t="s">
        <v>4512</v>
      </c>
    </row>
    <row r="1138" ht="15.75" customHeight="1" spans="6:7">
      <c r="F1138" s="36" t="s">
        <v>4493</v>
      </c>
      <c r="G1138" s="36" t="s">
        <v>4513</v>
      </c>
    </row>
    <row r="1139" ht="15.75" customHeight="1" spans="6:7">
      <c r="F1139" s="36" t="s">
        <v>4493</v>
      </c>
      <c r="G1139" s="36" t="s">
        <v>4514</v>
      </c>
    </row>
    <row r="1140" ht="15.75" customHeight="1" spans="6:7">
      <c r="F1140" s="36" t="s">
        <v>4493</v>
      </c>
      <c r="G1140" s="36" t="s">
        <v>4515</v>
      </c>
    </row>
    <row r="1141" ht="15.75" customHeight="1" spans="6:7">
      <c r="F1141" s="36" t="s">
        <v>4493</v>
      </c>
      <c r="G1141" s="36" t="s">
        <v>4516</v>
      </c>
    </row>
    <row r="1142" ht="15.75" customHeight="1" spans="6:7">
      <c r="F1142" s="36" t="s">
        <v>4493</v>
      </c>
      <c r="G1142" s="36" t="s">
        <v>4517</v>
      </c>
    </row>
    <row r="1143" ht="15.75" customHeight="1" spans="6:7">
      <c r="F1143" s="36" t="s">
        <v>4493</v>
      </c>
      <c r="G1143" s="36" t="s">
        <v>4518</v>
      </c>
    </row>
    <row r="1144" ht="15.75" customHeight="1" spans="6:7">
      <c r="F1144" s="36" t="s">
        <v>4493</v>
      </c>
      <c r="G1144" s="36" t="s">
        <v>4519</v>
      </c>
    </row>
    <row r="1145" ht="15.75" customHeight="1" spans="6:7">
      <c r="F1145" s="36" t="s">
        <v>4493</v>
      </c>
      <c r="G1145" s="36" t="s">
        <v>4520</v>
      </c>
    </row>
    <row r="1146" ht="15.75" customHeight="1" spans="6:7">
      <c r="F1146" s="36" t="s">
        <v>4493</v>
      </c>
      <c r="G1146" s="36" t="s">
        <v>4521</v>
      </c>
    </row>
    <row r="1147" ht="15.75" customHeight="1" spans="6:7">
      <c r="F1147" s="36" t="s">
        <v>4493</v>
      </c>
      <c r="G1147" s="36" t="s">
        <v>4522</v>
      </c>
    </row>
    <row r="1148" ht="15.75" customHeight="1" spans="6:7">
      <c r="F1148" s="36" t="s">
        <v>4493</v>
      </c>
      <c r="G1148" s="36" t="s">
        <v>4523</v>
      </c>
    </row>
    <row r="1149" ht="15.75" customHeight="1" spans="6:7">
      <c r="F1149" s="36" t="s">
        <v>4493</v>
      </c>
      <c r="G1149" s="36" t="s">
        <v>4524</v>
      </c>
    </row>
    <row r="1150" ht="15.75" customHeight="1" spans="6:7">
      <c r="F1150" s="36" t="s">
        <v>4493</v>
      </c>
      <c r="G1150" s="36" t="s">
        <v>4525</v>
      </c>
    </row>
    <row r="1151" ht="15.75" customHeight="1" spans="6:7">
      <c r="F1151" s="36" t="s">
        <v>4493</v>
      </c>
      <c r="G1151" s="36" t="s">
        <v>4526</v>
      </c>
    </row>
    <row r="1152" ht="15.75" customHeight="1" spans="6:7">
      <c r="F1152" s="36" t="s">
        <v>4493</v>
      </c>
      <c r="G1152" s="36" t="s">
        <v>4527</v>
      </c>
    </row>
    <row r="1153" ht="15.75" customHeight="1" spans="6:7">
      <c r="F1153" s="36" t="s">
        <v>4493</v>
      </c>
      <c r="G1153" s="36" t="s">
        <v>4528</v>
      </c>
    </row>
    <row r="1154" ht="15.75" customHeight="1" spans="6:7">
      <c r="F1154" s="36" t="s">
        <v>4493</v>
      </c>
      <c r="G1154" s="36" t="s">
        <v>4529</v>
      </c>
    </row>
    <row r="1155" ht="15.75" customHeight="1" spans="6:7">
      <c r="F1155" s="36" t="s">
        <v>4493</v>
      </c>
      <c r="G1155" s="36" t="s">
        <v>4530</v>
      </c>
    </row>
    <row r="1156" ht="15.75" customHeight="1" spans="6:7">
      <c r="F1156" s="36" t="s">
        <v>4493</v>
      </c>
      <c r="G1156" s="36" t="s">
        <v>4531</v>
      </c>
    </row>
    <row r="1157" ht="15.75" customHeight="1" spans="6:7">
      <c r="F1157" s="36" t="s">
        <v>4493</v>
      </c>
      <c r="G1157" s="36" t="s">
        <v>4532</v>
      </c>
    </row>
    <row r="1158" ht="15.75" customHeight="1" spans="6:7">
      <c r="F1158" s="36" t="s">
        <v>4493</v>
      </c>
      <c r="G1158" s="36" t="s">
        <v>4533</v>
      </c>
    </row>
    <row r="1159" ht="15.75" customHeight="1" spans="6:7">
      <c r="F1159" s="36" t="s">
        <v>4493</v>
      </c>
      <c r="G1159" s="36" t="s">
        <v>4534</v>
      </c>
    </row>
    <row r="1160" ht="15.75" customHeight="1" spans="6:7">
      <c r="F1160" s="36" t="s">
        <v>4493</v>
      </c>
      <c r="G1160" s="36" t="s">
        <v>4535</v>
      </c>
    </row>
    <row r="1161" ht="15.75" customHeight="1" spans="6:7">
      <c r="F1161" s="36" t="s">
        <v>4493</v>
      </c>
      <c r="G1161" s="36" t="s">
        <v>4536</v>
      </c>
    </row>
    <row r="1162" ht="15.75" customHeight="1" spans="6:7">
      <c r="F1162" s="36" t="s">
        <v>4493</v>
      </c>
      <c r="G1162" s="36" t="s">
        <v>4537</v>
      </c>
    </row>
    <row r="1163" ht="15.75" customHeight="1" spans="6:7">
      <c r="F1163" s="36" t="s">
        <v>4493</v>
      </c>
      <c r="G1163" s="36" t="s">
        <v>4538</v>
      </c>
    </row>
    <row r="1164" ht="15.75" customHeight="1" spans="6:7">
      <c r="F1164" s="36" t="s">
        <v>4493</v>
      </c>
      <c r="G1164" s="36" t="s">
        <v>4539</v>
      </c>
    </row>
    <row r="1165" ht="15.75" customHeight="1" spans="6:7">
      <c r="F1165" s="36" t="s">
        <v>4493</v>
      </c>
      <c r="G1165" s="36" t="s">
        <v>4540</v>
      </c>
    </row>
    <row r="1166" ht="15.75" customHeight="1" spans="6:7">
      <c r="F1166" s="36" t="s">
        <v>4493</v>
      </c>
      <c r="G1166" s="36" t="s">
        <v>4541</v>
      </c>
    </row>
    <row r="1167" ht="15.75" customHeight="1" spans="6:7">
      <c r="F1167" s="36" t="s">
        <v>4493</v>
      </c>
      <c r="G1167" s="36" t="s">
        <v>4542</v>
      </c>
    </row>
    <row r="1168" ht="15.75" customHeight="1" spans="6:7">
      <c r="F1168" s="36" t="s">
        <v>4493</v>
      </c>
      <c r="G1168" s="36" t="s">
        <v>4543</v>
      </c>
    </row>
    <row r="1169" ht="15.75" customHeight="1" spans="6:7">
      <c r="F1169" s="36" t="s">
        <v>4493</v>
      </c>
      <c r="G1169" s="36" t="s">
        <v>4544</v>
      </c>
    </row>
    <row r="1170" ht="15.75" customHeight="1" spans="6:7">
      <c r="F1170" s="36" t="s">
        <v>4493</v>
      </c>
      <c r="G1170" s="36" t="s">
        <v>4545</v>
      </c>
    </row>
    <row r="1171" ht="15.75" customHeight="1" spans="6:7">
      <c r="F1171" s="36" t="s">
        <v>4493</v>
      </c>
      <c r="G1171" s="36" t="s">
        <v>4546</v>
      </c>
    </row>
    <row r="1172" ht="15.75" customHeight="1" spans="6:7">
      <c r="F1172" s="36" t="s">
        <v>4493</v>
      </c>
      <c r="G1172" s="36" t="s">
        <v>4547</v>
      </c>
    </row>
    <row r="1173" ht="15.75" customHeight="1" spans="6:7">
      <c r="F1173" s="36" t="s">
        <v>4493</v>
      </c>
      <c r="G1173" s="36" t="s">
        <v>4548</v>
      </c>
    </row>
    <row r="1174" ht="15.75" customHeight="1" spans="6:7">
      <c r="F1174" s="36" t="s">
        <v>4493</v>
      </c>
      <c r="G1174" s="36" t="s">
        <v>4549</v>
      </c>
    </row>
    <row r="1175" ht="15.75" customHeight="1" spans="6:7">
      <c r="F1175" s="36" t="s">
        <v>4493</v>
      </c>
      <c r="G1175" s="36" t="s">
        <v>4550</v>
      </c>
    </row>
    <row r="1176" ht="15.75" customHeight="1" spans="6:7">
      <c r="F1176" s="36" t="s">
        <v>4493</v>
      </c>
      <c r="G1176" s="36" t="s">
        <v>4551</v>
      </c>
    </row>
    <row r="1177" ht="15.75" customHeight="1" spans="6:7">
      <c r="F1177" s="36" t="s">
        <v>4493</v>
      </c>
      <c r="G1177" s="36" t="s">
        <v>4552</v>
      </c>
    </row>
    <row r="1178" ht="15.75" customHeight="1" spans="6:7">
      <c r="F1178" s="36" t="s">
        <v>4493</v>
      </c>
      <c r="G1178" s="36" t="s">
        <v>4553</v>
      </c>
    </row>
    <row r="1179" ht="15.75" customHeight="1" spans="6:7">
      <c r="F1179" s="36" t="s">
        <v>4493</v>
      </c>
      <c r="G1179" s="36" t="s">
        <v>4554</v>
      </c>
    </row>
    <row r="1180" ht="15.75" customHeight="1" spans="6:7">
      <c r="F1180" s="36" t="s">
        <v>4493</v>
      </c>
      <c r="G1180" s="36" t="s">
        <v>4555</v>
      </c>
    </row>
    <row r="1181" ht="15.75" customHeight="1" spans="6:7">
      <c r="F1181" s="36" t="s">
        <v>4493</v>
      </c>
      <c r="G1181" s="36" t="s">
        <v>4556</v>
      </c>
    </row>
    <row r="1182" ht="15.75" customHeight="1" spans="6:7">
      <c r="F1182" s="36" t="s">
        <v>4493</v>
      </c>
      <c r="G1182" s="36" t="s">
        <v>4557</v>
      </c>
    </row>
    <row r="1183" ht="15.75" customHeight="1" spans="6:7">
      <c r="F1183" s="36" t="s">
        <v>4493</v>
      </c>
      <c r="G1183" s="36" t="s">
        <v>4558</v>
      </c>
    </row>
    <row r="1184" ht="15.75" customHeight="1" spans="6:7">
      <c r="F1184" s="36" t="s">
        <v>4493</v>
      </c>
      <c r="G1184" s="36" t="s">
        <v>4559</v>
      </c>
    </row>
    <row r="1185" ht="15.75" customHeight="1" spans="6:7">
      <c r="F1185" s="36" t="s">
        <v>4493</v>
      </c>
      <c r="G1185" s="36" t="s">
        <v>4560</v>
      </c>
    </row>
    <row r="1186" ht="15.75" customHeight="1" spans="6:7">
      <c r="F1186" s="36" t="s">
        <v>4493</v>
      </c>
      <c r="G1186" s="36" t="s">
        <v>4561</v>
      </c>
    </row>
    <row r="1187" ht="15.75" customHeight="1" spans="6:7">
      <c r="F1187" s="36" t="s">
        <v>4493</v>
      </c>
      <c r="G1187" s="36" t="s">
        <v>4562</v>
      </c>
    </row>
    <row r="1188" ht="15.75" customHeight="1" spans="6:7">
      <c r="F1188" s="36" t="s">
        <v>4493</v>
      </c>
      <c r="G1188" s="36" t="s">
        <v>4563</v>
      </c>
    </row>
    <row r="1189" ht="15.75" customHeight="1" spans="6:7">
      <c r="F1189" s="36" t="s">
        <v>4493</v>
      </c>
      <c r="G1189" s="36" t="s">
        <v>4564</v>
      </c>
    </row>
    <row r="1190" ht="15.75" customHeight="1" spans="6:7">
      <c r="F1190" s="36" t="s">
        <v>4493</v>
      </c>
      <c r="G1190" s="36" t="s">
        <v>4565</v>
      </c>
    </row>
    <row r="1191" ht="15.75" customHeight="1" spans="6:7">
      <c r="F1191" s="36" t="s">
        <v>4493</v>
      </c>
      <c r="G1191" s="36" t="s">
        <v>4566</v>
      </c>
    </row>
    <row r="1192" ht="15.75" customHeight="1" spans="6:7">
      <c r="F1192" s="36" t="s">
        <v>4493</v>
      </c>
      <c r="G1192" s="36" t="s">
        <v>4567</v>
      </c>
    </row>
    <row r="1193" ht="15.75" customHeight="1" spans="6:7">
      <c r="F1193" s="36" t="s">
        <v>4493</v>
      </c>
      <c r="G1193" s="36" t="s">
        <v>4568</v>
      </c>
    </row>
    <row r="1194" ht="15.75" customHeight="1" spans="6:7">
      <c r="F1194" s="36" t="s">
        <v>4493</v>
      </c>
      <c r="G1194" s="36" t="s">
        <v>4569</v>
      </c>
    </row>
    <row r="1195" ht="15.75" customHeight="1" spans="6:7">
      <c r="F1195" s="36" t="s">
        <v>4493</v>
      </c>
      <c r="G1195" s="36" t="s">
        <v>4570</v>
      </c>
    </row>
    <row r="1196" ht="15.75" customHeight="1" spans="6:7">
      <c r="F1196" s="36" t="s">
        <v>4493</v>
      </c>
      <c r="G1196" s="36" t="s">
        <v>4571</v>
      </c>
    </row>
    <row r="1197" ht="15.75" customHeight="1" spans="6:7">
      <c r="F1197" s="36" t="s">
        <v>4493</v>
      </c>
      <c r="G1197" s="36" t="s">
        <v>4572</v>
      </c>
    </row>
    <row r="1198" ht="15.75" customHeight="1" spans="6:7">
      <c r="F1198" s="36" t="s">
        <v>4493</v>
      </c>
      <c r="G1198" s="36" t="s">
        <v>4573</v>
      </c>
    </row>
    <row r="1199" ht="15.75" customHeight="1" spans="6:7">
      <c r="F1199" s="36" t="s">
        <v>4493</v>
      </c>
      <c r="G1199" s="36" t="s">
        <v>4574</v>
      </c>
    </row>
    <row r="1200" ht="15.75" customHeight="1" spans="6:7">
      <c r="F1200" s="36" t="s">
        <v>4493</v>
      </c>
      <c r="G1200" s="36" t="s">
        <v>4575</v>
      </c>
    </row>
    <row r="1201" ht="15.75" customHeight="1" spans="6:7">
      <c r="F1201" s="36" t="s">
        <v>4493</v>
      </c>
      <c r="G1201" s="36" t="s">
        <v>4576</v>
      </c>
    </row>
    <row r="1202" ht="15.75" customHeight="1" spans="6:7">
      <c r="F1202" s="36" t="s">
        <v>4493</v>
      </c>
      <c r="G1202" s="36" t="s">
        <v>4577</v>
      </c>
    </row>
    <row r="1203" ht="15.75" customHeight="1" spans="6:7">
      <c r="F1203" s="36" t="s">
        <v>4493</v>
      </c>
      <c r="G1203" s="36" t="s">
        <v>4578</v>
      </c>
    </row>
    <row r="1204" ht="15.75" customHeight="1" spans="6:7">
      <c r="F1204" s="36" t="s">
        <v>4493</v>
      </c>
      <c r="G1204" s="36" t="s">
        <v>4579</v>
      </c>
    </row>
    <row r="1205" ht="15.75" customHeight="1" spans="6:7">
      <c r="F1205" s="36" t="s">
        <v>4493</v>
      </c>
      <c r="G1205" s="36" t="s">
        <v>4580</v>
      </c>
    </row>
    <row r="1206" ht="15.75" customHeight="1" spans="6:7">
      <c r="F1206" s="36" t="s">
        <v>4493</v>
      </c>
      <c r="G1206" s="36" t="s">
        <v>4581</v>
      </c>
    </row>
    <row r="1207" ht="15.75" customHeight="1" spans="6:7">
      <c r="F1207" s="36" t="s">
        <v>4493</v>
      </c>
      <c r="G1207" s="36" t="s">
        <v>4582</v>
      </c>
    </row>
    <row r="1208" ht="15.75" customHeight="1" spans="6:7">
      <c r="F1208" s="36" t="s">
        <v>4493</v>
      </c>
      <c r="G1208" s="36" t="s">
        <v>4583</v>
      </c>
    </row>
    <row r="1209" ht="15.75" customHeight="1" spans="6:7">
      <c r="F1209" s="36" t="s">
        <v>4493</v>
      </c>
      <c r="G1209" s="36" t="s">
        <v>4584</v>
      </c>
    </row>
    <row r="1210" ht="15.75" customHeight="1" spans="6:7">
      <c r="F1210" s="36" t="s">
        <v>4493</v>
      </c>
      <c r="G1210" s="36" t="s">
        <v>4585</v>
      </c>
    </row>
    <row r="1211" ht="15.75" customHeight="1" spans="6:7">
      <c r="F1211" s="36" t="s">
        <v>4493</v>
      </c>
      <c r="G1211" s="36" t="s">
        <v>4586</v>
      </c>
    </row>
    <row r="1212" ht="15.75" customHeight="1" spans="6:7">
      <c r="F1212" s="36" t="s">
        <v>4493</v>
      </c>
      <c r="G1212" s="36" t="s">
        <v>4587</v>
      </c>
    </row>
    <row r="1213" ht="15.75" customHeight="1" spans="6:7">
      <c r="F1213" s="36" t="s">
        <v>4493</v>
      </c>
      <c r="G1213" s="36" t="s">
        <v>4588</v>
      </c>
    </row>
    <row r="1214" ht="15.75" customHeight="1" spans="6:7">
      <c r="F1214" s="36" t="s">
        <v>4493</v>
      </c>
      <c r="G1214" s="36" t="s">
        <v>4589</v>
      </c>
    </row>
    <row r="1215" ht="15.75" customHeight="1" spans="6:7">
      <c r="F1215" s="36" t="s">
        <v>4493</v>
      </c>
      <c r="G1215" s="36" t="s">
        <v>4590</v>
      </c>
    </row>
    <row r="1216" ht="15.75" customHeight="1" spans="6:7">
      <c r="F1216" s="36" t="s">
        <v>4493</v>
      </c>
      <c r="G1216" s="36" t="s">
        <v>4591</v>
      </c>
    </row>
    <row r="1217" ht="15.75" customHeight="1" spans="6:7">
      <c r="F1217" s="36" t="s">
        <v>4493</v>
      </c>
      <c r="G1217" s="36" t="s">
        <v>4592</v>
      </c>
    </row>
    <row r="1218" ht="15.75" customHeight="1" spans="6:7">
      <c r="F1218" s="36" t="s">
        <v>4493</v>
      </c>
      <c r="G1218" s="36" t="s">
        <v>4593</v>
      </c>
    </row>
    <row r="1219" ht="15.75" customHeight="1" spans="6:7">
      <c r="F1219" s="36" t="s">
        <v>4493</v>
      </c>
      <c r="G1219" s="36" t="s">
        <v>4594</v>
      </c>
    </row>
    <row r="1220" ht="15.75" customHeight="1" spans="6:7">
      <c r="F1220" s="36" t="s">
        <v>4493</v>
      </c>
      <c r="G1220" s="36" t="s">
        <v>4595</v>
      </c>
    </row>
    <row r="1221" ht="15.75" customHeight="1" spans="6:7">
      <c r="F1221" s="36" t="s">
        <v>4493</v>
      </c>
      <c r="G1221" s="36" t="s">
        <v>4596</v>
      </c>
    </row>
    <row r="1222" ht="15.75" customHeight="1" spans="6:7">
      <c r="F1222" s="36" t="s">
        <v>4493</v>
      </c>
      <c r="G1222" s="36" t="s">
        <v>4597</v>
      </c>
    </row>
    <row r="1223" ht="15.75" customHeight="1" spans="6:7">
      <c r="F1223" s="36" t="s">
        <v>4493</v>
      </c>
      <c r="G1223" s="36" t="s">
        <v>4598</v>
      </c>
    </row>
    <row r="1224" ht="15.75" customHeight="1" spans="6:7">
      <c r="F1224" s="36" t="s">
        <v>4493</v>
      </c>
      <c r="G1224" s="36" t="s">
        <v>4599</v>
      </c>
    </row>
    <row r="1225" ht="15.75" customHeight="1" spans="6:7">
      <c r="F1225" s="36" t="s">
        <v>4493</v>
      </c>
      <c r="G1225" s="36" t="s">
        <v>4600</v>
      </c>
    </row>
    <row r="1226" ht="15.75" customHeight="1" spans="6:7">
      <c r="F1226" s="36" t="s">
        <v>4493</v>
      </c>
      <c r="G1226" s="36" t="s">
        <v>4601</v>
      </c>
    </row>
    <row r="1227" ht="15.75" customHeight="1" spans="6:7">
      <c r="F1227" s="36" t="s">
        <v>4493</v>
      </c>
      <c r="G1227" s="36" t="s">
        <v>4602</v>
      </c>
    </row>
    <row r="1228" ht="15.75" customHeight="1" spans="6:7">
      <c r="F1228" s="36" t="s">
        <v>4493</v>
      </c>
      <c r="G1228" s="36" t="s">
        <v>4603</v>
      </c>
    </row>
    <row r="1229" ht="15.75" customHeight="1" spans="6:7">
      <c r="F1229" s="36" t="s">
        <v>4493</v>
      </c>
      <c r="G1229" s="36" t="s">
        <v>4604</v>
      </c>
    </row>
    <row r="1230" ht="15.75" customHeight="1" spans="6:7">
      <c r="F1230" s="36" t="s">
        <v>4493</v>
      </c>
      <c r="G1230" s="36" t="s">
        <v>4605</v>
      </c>
    </row>
    <row r="1231" ht="15.75" customHeight="1" spans="6:7">
      <c r="F1231" s="36" t="s">
        <v>4493</v>
      </c>
      <c r="G1231" s="36" t="s">
        <v>4606</v>
      </c>
    </row>
    <row r="1232" ht="15.75" customHeight="1" spans="6:7">
      <c r="F1232" s="36" t="s">
        <v>4493</v>
      </c>
      <c r="G1232" s="36" t="s">
        <v>4607</v>
      </c>
    </row>
    <row r="1233" ht="15.75" customHeight="1" spans="6:7">
      <c r="F1233" s="36" t="s">
        <v>4493</v>
      </c>
      <c r="G1233" s="36" t="s">
        <v>4608</v>
      </c>
    </row>
    <row r="1234" ht="15.75" customHeight="1" spans="6:7">
      <c r="F1234" s="36" t="s">
        <v>4493</v>
      </c>
      <c r="G1234" s="36" t="s">
        <v>4609</v>
      </c>
    </row>
    <row r="1235" ht="15.75" customHeight="1" spans="6:7">
      <c r="F1235" s="36" t="s">
        <v>4493</v>
      </c>
      <c r="G1235" s="36" t="s">
        <v>4610</v>
      </c>
    </row>
    <row r="1236" ht="15.75" customHeight="1" spans="6:7">
      <c r="F1236" s="36" t="s">
        <v>4493</v>
      </c>
      <c r="G1236" s="36" t="s">
        <v>4611</v>
      </c>
    </row>
    <row r="1237" ht="15.75" customHeight="1" spans="6:7">
      <c r="F1237" s="36" t="s">
        <v>4493</v>
      </c>
      <c r="G1237" s="36" t="s">
        <v>4612</v>
      </c>
    </row>
    <row r="1238" ht="15.75" customHeight="1" spans="6:7">
      <c r="F1238" s="36" t="s">
        <v>4493</v>
      </c>
      <c r="G1238" s="36" t="s">
        <v>147</v>
      </c>
    </row>
    <row r="1239" ht="15.75" customHeight="1" spans="6:7">
      <c r="F1239" s="36" t="s">
        <v>4493</v>
      </c>
      <c r="G1239" s="36" t="s">
        <v>4613</v>
      </c>
    </row>
    <row r="1240" ht="15.75" customHeight="1" spans="6:7">
      <c r="F1240" s="36" t="s">
        <v>4493</v>
      </c>
      <c r="G1240" s="36" t="s">
        <v>4614</v>
      </c>
    </row>
    <row r="1241" ht="15.75" customHeight="1" spans="6:7">
      <c r="F1241" s="36" t="s">
        <v>4493</v>
      </c>
      <c r="G1241" s="36" t="s">
        <v>4615</v>
      </c>
    </row>
    <row r="1242" ht="15.75" customHeight="1" spans="6:7">
      <c r="F1242" s="36" t="s">
        <v>4493</v>
      </c>
      <c r="G1242" s="36" t="s">
        <v>4616</v>
      </c>
    </row>
    <row r="1243" ht="15.75" customHeight="1" spans="6:7">
      <c r="F1243" s="36" t="s">
        <v>4493</v>
      </c>
      <c r="G1243" s="36" t="s">
        <v>4617</v>
      </c>
    </row>
    <row r="1244" ht="15.75" customHeight="1" spans="6:7">
      <c r="F1244" s="36" t="s">
        <v>4493</v>
      </c>
      <c r="G1244" s="36" t="s">
        <v>4618</v>
      </c>
    </row>
    <row r="1245" ht="15.75" customHeight="1" spans="6:7">
      <c r="F1245" s="36" t="s">
        <v>4493</v>
      </c>
      <c r="G1245" s="36" t="s">
        <v>4619</v>
      </c>
    </row>
    <row r="1246" ht="15.75" customHeight="1" spans="6:7">
      <c r="F1246" s="36" t="s">
        <v>4493</v>
      </c>
      <c r="G1246" s="36" t="s">
        <v>4620</v>
      </c>
    </row>
    <row r="1247" ht="15.75" customHeight="1" spans="6:7">
      <c r="F1247" s="36" t="s">
        <v>4493</v>
      </c>
      <c r="G1247" s="36" t="s">
        <v>4621</v>
      </c>
    </row>
    <row r="1248" ht="15.75" customHeight="1" spans="6:7">
      <c r="F1248" s="36" t="s">
        <v>4493</v>
      </c>
      <c r="G1248" s="36" t="s">
        <v>4622</v>
      </c>
    </row>
    <row r="1249" ht="15.75" customHeight="1" spans="6:7">
      <c r="F1249" s="36" t="s">
        <v>4493</v>
      </c>
      <c r="G1249" s="36" t="s">
        <v>4623</v>
      </c>
    </row>
    <row r="1250" ht="15.75" customHeight="1" spans="6:7">
      <c r="F1250" s="36" t="s">
        <v>4493</v>
      </c>
      <c r="G1250" s="36" t="s">
        <v>4624</v>
      </c>
    </row>
    <row r="1251" ht="15.75" customHeight="1" spans="6:7">
      <c r="F1251" s="36" t="s">
        <v>4493</v>
      </c>
      <c r="G1251" s="36" t="s">
        <v>4625</v>
      </c>
    </row>
    <row r="1252" ht="15.75" customHeight="1" spans="6:7">
      <c r="F1252" s="36" t="s">
        <v>4493</v>
      </c>
      <c r="G1252" s="36" t="s">
        <v>4626</v>
      </c>
    </row>
    <row r="1253" ht="15.75" customHeight="1" spans="6:7">
      <c r="F1253" s="36" t="s">
        <v>4627</v>
      </c>
      <c r="G1253" s="36" t="s">
        <v>4628</v>
      </c>
    </row>
    <row r="1254" ht="15.75" customHeight="1" spans="6:7">
      <c r="F1254" s="36" t="s">
        <v>4627</v>
      </c>
      <c r="G1254" s="36" t="s">
        <v>34</v>
      </c>
    </row>
    <row r="1255" ht="15.75" customHeight="1" spans="6:7">
      <c r="F1255" s="36" t="s">
        <v>4627</v>
      </c>
      <c r="G1255" s="36" t="s">
        <v>4629</v>
      </c>
    </row>
    <row r="1256" ht="15.75" customHeight="1" spans="6:7">
      <c r="F1256" s="36" t="s">
        <v>4627</v>
      </c>
      <c r="G1256" s="36" t="s">
        <v>4630</v>
      </c>
    </row>
    <row r="1257" ht="15.75" customHeight="1" spans="6:7">
      <c r="F1257" s="36" t="s">
        <v>4627</v>
      </c>
      <c r="G1257" s="36" t="s">
        <v>4631</v>
      </c>
    </row>
    <row r="1258" ht="15.75" customHeight="1" spans="6:7">
      <c r="F1258" s="36" t="s">
        <v>4627</v>
      </c>
      <c r="G1258" s="36" t="s">
        <v>4632</v>
      </c>
    </row>
    <row r="1259" ht="15.75" customHeight="1" spans="6:7">
      <c r="F1259" s="36" t="s">
        <v>4627</v>
      </c>
      <c r="G1259" s="36" t="s">
        <v>4633</v>
      </c>
    </row>
    <row r="1260" ht="15.75" customHeight="1" spans="6:7">
      <c r="F1260" s="36" t="s">
        <v>4627</v>
      </c>
      <c r="G1260" s="36" t="s">
        <v>4634</v>
      </c>
    </row>
    <row r="1261" ht="15.75" customHeight="1" spans="6:7">
      <c r="F1261" s="36" t="s">
        <v>4627</v>
      </c>
      <c r="G1261" s="36" t="s">
        <v>4635</v>
      </c>
    </row>
    <row r="1262" ht="15.75" customHeight="1" spans="6:7">
      <c r="F1262" s="36" t="s">
        <v>4627</v>
      </c>
      <c r="G1262" s="36" t="s">
        <v>4627</v>
      </c>
    </row>
    <row r="1263" ht="15.75" customHeight="1" spans="6:7">
      <c r="F1263" s="36" t="s">
        <v>4627</v>
      </c>
      <c r="G1263" s="36" t="s">
        <v>4636</v>
      </c>
    </row>
    <row r="1264" ht="15.75" customHeight="1" spans="6:7">
      <c r="F1264" s="36" t="s">
        <v>4627</v>
      </c>
      <c r="G1264" s="36" t="s">
        <v>4637</v>
      </c>
    </row>
    <row r="1265" ht="15.75" customHeight="1" spans="6:7">
      <c r="F1265" s="36" t="s">
        <v>4627</v>
      </c>
      <c r="G1265" s="36" t="s">
        <v>4638</v>
      </c>
    </row>
    <row r="1266" ht="15.75" customHeight="1" spans="6:7">
      <c r="F1266" s="36" t="s">
        <v>4627</v>
      </c>
      <c r="G1266" s="36" t="s">
        <v>4639</v>
      </c>
    </row>
    <row r="1267" ht="15.75" customHeight="1" spans="6:7">
      <c r="F1267" s="36" t="s">
        <v>4627</v>
      </c>
      <c r="G1267" s="36" t="s">
        <v>4640</v>
      </c>
    </row>
    <row r="1268" ht="15.75" customHeight="1" spans="6:7">
      <c r="F1268" s="36" t="s">
        <v>4627</v>
      </c>
      <c r="G1268" s="36" t="s">
        <v>4641</v>
      </c>
    </row>
    <row r="1269" ht="15.75" customHeight="1" spans="6:7">
      <c r="F1269" s="36" t="s">
        <v>4627</v>
      </c>
      <c r="G1269" s="36" t="s">
        <v>4642</v>
      </c>
    </row>
    <row r="1270" ht="15.75" customHeight="1" spans="6:7">
      <c r="F1270" s="36" t="s">
        <v>4627</v>
      </c>
      <c r="G1270" s="36" t="s">
        <v>4643</v>
      </c>
    </row>
    <row r="1271" ht="15.75" customHeight="1" spans="6:7">
      <c r="F1271" s="36" t="s">
        <v>4627</v>
      </c>
      <c r="G1271" s="36" t="s">
        <v>4644</v>
      </c>
    </row>
    <row r="1272" ht="15.75" customHeight="1" spans="6:7">
      <c r="F1272" s="36" t="s">
        <v>4627</v>
      </c>
      <c r="G1272" s="36" t="s">
        <v>4645</v>
      </c>
    </row>
    <row r="1273" ht="15.75" customHeight="1" spans="6:7">
      <c r="F1273" s="36" t="s">
        <v>4627</v>
      </c>
      <c r="G1273" s="36" t="s">
        <v>4646</v>
      </c>
    </row>
    <row r="1274" ht="15.75" customHeight="1" spans="6:7">
      <c r="F1274" s="36" t="s">
        <v>4627</v>
      </c>
      <c r="G1274" s="36" t="s">
        <v>4647</v>
      </c>
    </row>
    <row r="1275" ht="15.75" customHeight="1" spans="6:7">
      <c r="F1275" s="36" t="s">
        <v>4627</v>
      </c>
      <c r="G1275" s="36" t="s">
        <v>4648</v>
      </c>
    </row>
    <row r="1276" ht="15.75" customHeight="1" spans="6:7">
      <c r="F1276" s="36" t="s">
        <v>4627</v>
      </c>
      <c r="G1276" s="36" t="s">
        <v>4649</v>
      </c>
    </row>
    <row r="1277" ht="15.75" customHeight="1" spans="6:7">
      <c r="F1277" s="36" t="s">
        <v>4627</v>
      </c>
      <c r="G1277" s="36" t="s">
        <v>4650</v>
      </c>
    </row>
    <row r="1278" ht="15.75" customHeight="1" spans="6:7">
      <c r="F1278" s="36" t="s">
        <v>4627</v>
      </c>
      <c r="G1278" s="36" t="s">
        <v>4651</v>
      </c>
    </row>
    <row r="1279" ht="15.75" customHeight="1" spans="6:7">
      <c r="F1279" s="36" t="s">
        <v>4627</v>
      </c>
      <c r="G1279" s="36" t="s">
        <v>4652</v>
      </c>
    </row>
    <row r="1280" ht="15.75" customHeight="1" spans="6:7">
      <c r="F1280" s="36" t="s">
        <v>4627</v>
      </c>
      <c r="G1280" s="36" t="s">
        <v>4653</v>
      </c>
    </row>
    <row r="1281" ht="15.75" customHeight="1" spans="6:7">
      <c r="F1281" s="36" t="s">
        <v>4627</v>
      </c>
      <c r="G1281" s="36" t="s">
        <v>4654</v>
      </c>
    </row>
    <row r="1282" ht="15.75" customHeight="1" spans="6:7">
      <c r="F1282" s="36" t="s">
        <v>4627</v>
      </c>
      <c r="G1282" s="36" t="s">
        <v>4655</v>
      </c>
    </row>
    <row r="1283" ht="15.75" customHeight="1" spans="6:7">
      <c r="F1283" s="36" t="s">
        <v>4627</v>
      </c>
      <c r="G1283" s="36" t="s">
        <v>4656</v>
      </c>
    </row>
    <row r="1284" ht="15.75" customHeight="1" spans="6:7">
      <c r="F1284" s="36" t="s">
        <v>4627</v>
      </c>
      <c r="G1284" s="36" t="s">
        <v>4657</v>
      </c>
    </row>
    <row r="1285" ht="15.75" customHeight="1" spans="6:7">
      <c r="F1285" s="36" t="s">
        <v>4627</v>
      </c>
      <c r="G1285" s="36" t="s">
        <v>4658</v>
      </c>
    </row>
    <row r="1286" ht="15.75" customHeight="1" spans="6:7">
      <c r="F1286" s="36" t="s">
        <v>4627</v>
      </c>
      <c r="G1286" s="36" t="s">
        <v>4659</v>
      </c>
    </row>
    <row r="1287" ht="15.75" customHeight="1" spans="6:7">
      <c r="F1287" s="36" t="s">
        <v>4627</v>
      </c>
      <c r="G1287" s="36" t="s">
        <v>4660</v>
      </c>
    </row>
    <row r="1288" ht="15.75" customHeight="1" spans="6:7">
      <c r="F1288" s="36" t="s">
        <v>4627</v>
      </c>
      <c r="G1288" s="36" t="s">
        <v>4661</v>
      </c>
    </row>
    <row r="1289" ht="15.75" customHeight="1" spans="6:7">
      <c r="F1289" s="36" t="s">
        <v>4627</v>
      </c>
      <c r="G1289" s="36" t="s">
        <v>4662</v>
      </c>
    </row>
    <row r="1290" ht="15.75" customHeight="1" spans="6:7">
      <c r="F1290" s="36" t="s">
        <v>4627</v>
      </c>
      <c r="G1290" s="36" t="s">
        <v>4663</v>
      </c>
    </row>
    <row r="1291" ht="15.75" customHeight="1" spans="6:7">
      <c r="F1291" s="36" t="s">
        <v>4627</v>
      </c>
      <c r="G1291" s="36" t="s">
        <v>4664</v>
      </c>
    </row>
    <row r="1292" ht="15.75" customHeight="1" spans="6:7">
      <c r="F1292" s="36" t="s">
        <v>4627</v>
      </c>
      <c r="G1292" s="36" t="s">
        <v>4665</v>
      </c>
    </row>
    <row r="1293" ht="15.75" customHeight="1" spans="6:7">
      <c r="F1293" s="36" t="s">
        <v>4627</v>
      </c>
      <c r="G1293" s="36" t="s">
        <v>4666</v>
      </c>
    </row>
    <row r="1294" ht="15.75" customHeight="1" spans="6:7">
      <c r="F1294" s="36" t="s">
        <v>4627</v>
      </c>
      <c r="G1294" s="36" t="s">
        <v>4667</v>
      </c>
    </row>
    <row r="1295" ht="15.75" customHeight="1" spans="6:7">
      <c r="F1295" s="36" t="s">
        <v>4627</v>
      </c>
      <c r="G1295" s="36" t="s">
        <v>4668</v>
      </c>
    </row>
    <row r="1296" ht="15.75" customHeight="1" spans="6:7">
      <c r="F1296" s="36" t="s">
        <v>4627</v>
      </c>
      <c r="G1296" s="36" t="s">
        <v>4669</v>
      </c>
    </row>
    <row r="1297" ht="15.75" customHeight="1" spans="6:7">
      <c r="F1297" s="36" t="s">
        <v>4627</v>
      </c>
      <c r="G1297" s="36" t="s">
        <v>4670</v>
      </c>
    </row>
    <row r="1298" ht="15.75" customHeight="1" spans="6:7">
      <c r="F1298" s="36" t="s">
        <v>4627</v>
      </c>
      <c r="G1298" s="36" t="s">
        <v>4671</v>
      </c>
    </row>
    <row r="1299" ht="15.75" customHeight="1" spans="6:7">
      <c r="F1299" s="36" t="s">
        <v>4627</v>
      </c>
      <c r="G1299" s="36" t="s">
        <v>4672</v>
      </c>
    </row>
    <row r="1300" ht="15.75" customHeight="1" spans="6:7">
      <c r="F1300" s="36" t="s">
        <v>4627</v>
      </c>
      <c r="G1300" s="36" t="s">
        <v>4673</v>
      </c>
    </row>
    <row r="1301" ht="15.75" customHeight="1" spans="6:7">
      <c r="F1301" s="36" t="s">
        <v>4627</v>
      </c>
      <c r="G1301" s="36" t="s">
        <v>4674</v>
      </c>
    </row>
    <row r="1302" ht="15.75" customHeight="1" spans="6:7">
      <c r="F1302" s="36" t="s">
        <v>4627</v>
      </c>
      <c r="G1302" s="36" t="s">
        <v>4675</v>
      </c>
    </row>
    <row r="1303" ht="15.75" customHeight="1" spans="6:7">
      <c r="F1303" s="36" t="s">
        <v>4627</v>
      </c>
      <c r="G1303" s="36" t="s">
        <v>4676</v>
      </c>
    </row>
    <row r="1304" ht="15.75" customHeight="1" spans="6:7">
      <c r="F1304" s="36" t="s">
        <v>4627</v>
      </c>
      <c r="G1304" s="36" t="s">
        <v>4677</v>
      </c>
    </row>
    <row r="1305" ht="15.75" customHeight="1" spans="6:7">
      <c r="F1305" s="36" t="s">
        <v>4627</v>
      </c>
      <c r="G1305" s="36" t="s">
        <v>4678</v>
      </c>
    </row>
    <row r="1306" ht="15.75" customHeight="1" spans="6:7">
      <c r="F1306" s="36" t="s">
        <v>4627</v>
      </c>
      <c r="G1306" s="36" t="s">
        <v>4679</v>
      </c>
    </row>
    <row r="1307" ht="15.75" customHeight="1" spans="6:7">
      <c r="F1307" s="36" t="s">
        <v>4627</v>
      </c>
      <c r="G1307" s="36" t="s">
        <v>4680</v>
      </c>
    </row>
    <row r="1308" ht="15.75" customHeight="1" spans="6:7">
      <c r="F1308" s="36" t="s">
        <v>4627</v>
      </c>
      <c r="G1308" s="36" t="s">
        <v>4681</v>
      </c>
    </row>
    <row r="1309" ht="15.75" customHeight="1" spans="6:7">
      <c r="F1309" s="36" t="s">
        <v>4627</v>
      </c>
      <c r="G1309" s="36" t="s">
        <v>4682</v>
      </c>
    </row>
    <row r="1310" ht="15.75" customHeight="1" spans="6:7">
      <c r="F1310" s="36" t="s">
        <v>4627</v>
      </c>
      <c r="G1310" s="36" t="s">
        <v>4683</v>
      </c>
    </row>
    <row r="1311" ht="15.75" customHeight="1" spans="6:7">
      <c r="F1311" s="36" t="s">
        <v>4627</v>
      </c>
      <c r="G1311" s="36" t="s">
        <v>4684</v>
      </c>
    </row>
    <row r="1312" ht="15.75" customHeight="1" spans="6:7">
      <c r="F1312" s="36" t="s">
        <v>4627</v>
      </c>
      <c r="G1312" s="36" t="s">
        <v>4685</v>
      </c>
    </row>
    <row r="1313" ht="15.75" customHeight="1" spans="6:7">
      <c r="F1313" s="36" t="s">
        <v>4627</v>
      </c>
      <c r="G1313" s="36" t="s">
        <v>4686</v>
      </c>
    </row>
    <row r="1314" ht="15.75" customHeight="1" spans="6:7">
      <c r="F1314" s="36" t="s">
        <v>4627</v>
      </c>
      <c r="G1314" s="36" t="s">
        <v>4687</v>
      </c>
    </row>
    <row r="1315" ht="15.75" customHeight="1" spans="6:7">
      <c r="F1315" s="36" t="s">
        <v>4627</v>
      </c>
      <c r="G1315" s="36" t="s">
        <v>4688</v>
      </c>
    </row>
    <row r="1316" ht="15.75" customHeight="1" spans="6:7">
      <c r="F1316" s="36" t="s">
        <v>4627</v>
      </c>
      <c r="G1316" s="36" t="s">
        <v>4689</v>
      </c>
    </row>
    <row r="1317" ht="15.75" customHeight="1" spans="6:7">
      <c r="F1317" s="36" t="s">
        <v>4627</v>
      </c>
      <c r="G1317" s="36" t="s">
        <v>4690</v>
      </c>
    </row>
    <row r="1318" ht="15.75" customHeight="1" spans="6:7">
      <c r="F1318" s="36" t="s">
        <v>4627</v>
      </c>
      <c r="G1318" s="36" t="s">
        <v>4691</v>
      </c>
    </row>
    <row r="1319" ht="15.75" customHeight="1" spans="6:7">
      <c r="F1319" s="36" t="s">
        <v>4627</v>
      </c>
      <c r="G1319" s="36" t="s">
        <v>4692</v>
      </c>
    </row>
    <row r="1320" ht="15.75" customHeight="1" spans="6:7">
      <c r="F1320" s="36" t="s">
        <v>4627</v>
      </c>
      <c r="G1320" s="36" t="s">
        <v>4693</v>
      </c>
    </row>
    <row r="1321" ht="15.75" customHeight="1" spans="6:7">
      <c r="F1321" s="36" t="s">
        <v>4627</v>
      </c>
      <c r="G1321" s="36" t="s">
        <v>4694</v>
      </c>
    </row>
    <row r="1322" ht="15.75" customHeight="1" spans="6:7">
      <c r="F1322" s="36" t="s">
        <v>4627</v>
      </c>
      <c r="G1322" s="36" t="s">
        <v>4695</v>
      </c>
    </row>
    <row r="1323" ht="15.75" customHeight="1" spans="6:7">
      <c r="F1323" s="36" t="s">
        <v>4627</v>
      </c>
      <c r="G1323" s="36" t="s">
        <v>4696</v>
      </c>
    </row>
    <row r="1324" ht="15.75" customHeight="1" spans="6:7">
      <c r="F1324" s="36" t="s">
        <v>4627</v>
      </c>
      <c r="G1324" s="36" t="s">
        <v>4697</v>
      </c>
    </row>
    <row r="1325" ht="15.75" customHeight="1" spans="6:7">
      <c r="F1325" s="36" t="s">
        <v>4627</v>
      </c>
      <c r="G1325" s="36" t="s">
        <v>4698</v>
      </c>
    </row>
    <row r="1326" ht="15.75" customHeight="1" spans="6:7">
      <c r="F1326" s="36" t="s">
        <v>4627</v>
      </c>
      <c r="G1326" s="36" t="s">
        <v>4699</v>
      </c>
    </row>
    <row r="1327" ht="15.75" customHeight="1" spans="6:7">
      <c r="F1327" s="36" t="s">
        <v>4627</v>
      </c>
      <c r="G1327" s="36" t="s">
        <v>4700</v>
      </c>
    </row>
    <row r="1328" ht="15.75" customHeight="1" spans="6:7">
      <c r="F1328" s="36" t="s">
        <v>4627</v>
      </c>
      <c r="G1328" s="36" t="s">
        <v>4701</v>
      </c>
    </row>
    <row r="1329" ht="15.75" customHeight="1" spans="6:7">
      <c r="F1329" s="36" t="s">
        <v>4627</v>
      </c>
      <c r="G1329" s="36" t="s">
        <v>4702</v>
      </c>
    </row>
    <row r="1330" ht="15.75" customHeight="1" spans="6:7">
      <c r="F1330" s="36" t="s">
        <v>4627</v>
      </c>
      <c r="G1330" s="36" t="s">
        <v>4703</v>
      </c>
    </row>
    <row r="1331" ht="15.75" customHeight="1" spans="6:7">
      <c r="F1331" s="36" t="s">
        <v>4627</v>
      </c>
      <c r="G1331" s="36" t="s">
        <v>4704</v>
      </c>
    </row>
    <row r="1332" ht="15.75" customHeight="1" spans="6:7">
      <c r="F1332" s="36" t="s">
        <v>4627</v>
      </c>
      <c r="G1332" s="36" t="s">
        <v>4705</v>
      </c>
    </row>
    <row r="1333" ht="15.75" customHeight="1" spans="6:7">
      <c r="F1333" s="36" t="s">
        <v>4627</v>
      </c>
      <c r="G1333" s="36" t="s">
        <v>4706</v>
      </c>
    </row>
    <row r="1334" ht="15.75" customHeight="1" spans="6:7">
      <c r="F1334" s="36" t="s">
        <v>4627</v>
      </c>
      <c r="G1334" s="36" t="s">
        <v>4707</v>
      </c>
    </row>
    <row r="1335" ht="15.75" customHeight="1" spans="6:7">
      <c r="F1335" s="36" t="s">
        <v>4627</v>
      </c>
      <c r="G1335" s="36" t="s">
        <v>4708</v>
      </c>
    </row>
    <row r="1336" ht="15.75" customHeight="1" spans="6:7">
      <c r="F1336" s="36" t="s">
        <v>4627</v>
      </c>
      <c r="G1336" s="36" t="s">
        <v>4709</v>
      </c>
    </row>
    <row r="1337" ht="15.75" customHeight="1" spans="6:7">
      <c r="F1337" s="36" t="s">
        <v>4627</v>
      </c>
      <c r="G1337" s="36" t="s">
        <v>4710</v>
      </c>
    </row>
    <row r="1338" ht="15.75" customHeight="1" spans="6:7">
      <c r="F1338" s="36" t="s">
        <v>4627</v>
      </c>
      <c r="G1338" s="36" t="s">
        <v>4711</v>
      </c>
    </row>
    <row r="1339" ht="15.75" customHeight="1" spans="6:7">
      <c r="F1339" s="36" t="s">
        <v>4627</v>
      </c>
      <c r="G1339" s="36" t="s">
        <v>4712</v>
      </c>
    </row>
    <row r="1340" ht="15.75" customHeight="1" spans="6:7">
      <c r="F1340" s="36" t="s">
        <v>4627</v>
      </c>
      <c r="G1340" s="36" t="s">
        <v>4713</v>
      </c>
    </row>
    <row r="1341" ht="15.75" customHeight="1" spans="6:7">
      <c r="F1341" s="36" t="s">
        <v>4627</v>
      </c>
      <c r="G1341" s="36" t="s">
        <v>4714</v>
      </c>
    </row>
    <row r="1342" ht="15.75" customHeight="1" spans="6:7">
      <c r="F1342" s="36" t="s">
        <v>4627</v>
      </c>
      <c r="G1342" s="36" t="s">
        <v>4715</v>
      </c>
    </row>
    <row r="1343" ht="15.75" customHeight="1" spans="6:7">
      <c r="F1343" s="36" t="s">
        <v>4627</v>
      </c>
      <c r="G1343" s="36" t="s">
        <v>4716</v>
      </c>
    </row>
    <row r="1344" ht="15.75" customHeight="1" spans="6:7">
      <c r="F1344" s="36" t="s">
        <v>4627</v>
      </c>
      <c r="G1344" s="36" t="s">
        <v>4717</v>
      </c>
    </row>
    <row r="1345" ht="15.75" customHeight="1" spans="6:7">
      <c r="F1345" s="36" t="s">
        <v>4627</v>
      </c>
      <c r="G1345" s="36" t="s">
        <v>4718</v>
      </c>
    </row>
    <row r="1346" ht="15.75" customHeight="1" spans="6:7">
      <c r="F1346" s="36" t="s">
        <v>4627</v>
      </c>
      <c r="G1346" s="36" t="s">
        <v>4719</v>
      </c>
    </row>
    <row r="1347" ht="15.75" customHeight="1" spans="6:7">
      <c r="F1347" s="36" t="s">
        <v>4627</v>
      </c>
      <c r="G1347" s="36" t="s">
        <v>4720</v>
      </c>
    </row>
    <row r="1348" ht="15.75" customHeight="1" spans="6:7">
      <c r="F1348" s="36" t="s">
        <v>4627</v>
      </c>
      <c r="G1348" s="36" t="s">
        <v>4721</v>
      </c>
    </row>
    <row r="1349" ht="15.75" customHeight="1" spans="6:7">
      <c r="F1349" s="36" t="s">
        <v>4722</v>
      </c>
      <c r="G1349" s="36" t="s">
        <v>4723</v>
      </c>
    </row>
    <row r="1350" ht="15.75" customHeight="1" spans="6:7">
      <c r="F1350" s="36" t="s">
        <v>4722</v>
      </c>
      <c r="G1350" s="36" t="s">
        <v>4724</v>
      </c>
    </row>
    <row r="1351" ht="15.75" customHeight="1" spans="6:7">
      <c r="F1351" s="36" t="s">
        <v>4722</v>
      </c>
      <c r="G1351" s="36" t="s">
        <v>4722</v>
      </c>
    </row>
    <row r="1352" ht="15.75" customHeight="1" spans="6:7">
      <c r="F1352" s="36" t="s">
        <v>4722</v>
      </c>
      <c r="G1352" s="36" t="s">
        <v>4725</v>
      </c>
    </row>
    <row r="1353" ht="15.75" customHeight="1" spans="6:7">
      <c r="F1353" s="36" t="s">
        <v>4722</v>
      </c>
      <c r="G1353" s="36" t="s">
        <v>4726</v>
      </c>
    </row>
    <row r="1354" ht="15.75" customHeight="1" spans="6:7">
      <c r="F1354" s="36" t="s">
        <v>4722</v>
      </c>
      <c r="G1354" s="36" t="s">
        <v>4727</v>
      </c>
    </row>
    <row r="1355" ht="15.75" customHeight="1" spans="6:7">
      <c r="F1355" s="36" t="s">
        <v>4722</v>
      </c>
      <c r="G1355" s="36" t="s">
        <v>4728</v>
      </c>
    </row>
    <row r="1356" ht="15.75" customHeight="1" spans="6:7">
      <c r="F1356" s="36" t="s">
        <v>4722</v>
      </c>
      <c r="G1356" s="36" t="s">
        <v>4729</v>
      </c>
    </row>
    <row r="1357" ht="15.75" customHeight="1" spans="6:7">
      <c r="F1357" s="36" t="s">
        <v>4722</v>
      </c>
      <c r="G1357" s="36" t="s">
        <v>4730</v>
      </c>
    </row>
    <row r="1358" ht="15.75" customHeight="1" spans="6:7">
      <c r="F1358" s="36" t="s">
        <v>4722</v>
      </c>
      <c r="G1358" s="36" t="s">
        <v>4595</v>
      </c>
    </row>
    <row r="1359" ht="15.75" customHeight="1" spans="6:7">
      <c r="F1359" s="36" t="s">
        <v>4722</v>
      </c>
      <c r="G1359" s="36" t="s">
        <v>4731</v>
      </c>
    </row>
    <row r="1360" ht="15.75" customHeight="1" spans="6:7">
      <c r="F1360" s="36" t="s">
        <v>4722</v>
      </c>
      <c r="G1360" s="36" t="s">
        <v>4732</v>
      </c>
    </row>
    <row r="1361" ht="15.75" customHeight="1" spans="6:7">
      <c r="F1361" s="36" t="s">
        <v>4722</v>
      </c>
      <c r="G1361" s="36" t="s">
        <v>4733</v>
      </c>
    </row>
    <row r="1362" ht="15.75" customHeight="1" spans="6:7">
      <c r="F1362" s="36" t="s">
        <v>4722</v>
      </c>
      <c r="G1362" s="36" t="s">
        <v>4734</v>
      </c>
    </row>
    <row r="1363" ht="15.75" customHeight="1" spans="6:7">
      <c r="F1363" s="36" t="s">
        <v>4722</v>
      </c>
      <c r="G1363" s="36" t="s">
        <v>4735</v>
      </c>
    </row>
    <row r="1364" ht="15.75" customHeight="1" spans="6:7">
      <c r="F1364" s="36" t="s">
        <v>4722</v>
      </c>
      <c r="G1364" s="36" t="s">
        <v>4736</v>
      </c>
    </row>
    <row r="1365" ht="15.75" customHeight="1" spans="6:7">
      <c r="F1365" s="36" t="s">
        <v>4722</v>
      </c>
      <c r="G1365" s="36" t="s">
        <v>4737</v>
      </c>
    </row>
    <row r="1366" ht="15.75" customHeight="1" spans="6:7">
      <c r="F1366" s="36" t="s">
        <v>4722</v>
      </c>
      <c r="G1366" s="36" t="s">
        <v>4738</v>
      </c>
    </row>
    <row r="1367" ht="15.75" customHeight="1" spans="6:7">
      <c r="F1367" s="36" t="s">
        <v>4722</v>
      </c>
      <c r="G1367" s="36" t="s">
        <v>4739</v>
      </c>
    </row>
    <row r="1368" ht="15.75" customHeight="1" spans="6:7">
      <c r="F1368" s="36" t="s">
        <v>4722</v>
      </c>
      <c r="G1368" s="36" t="s">
        <v>4740</v>
      </c>
    </row>
    <row r="1369" ht="15.75" customHeight="1" spans="6:7">
      <c r="F1369" s="36" t="s">
        <v>4722</v>
      </c>
      <c r="G1369" s="36" t="s">
        <v>4741</v>
      </c>
    </row>
    <row r="1370" ht="15.75" customHeight="1" spans="6:7">
      <c r="F1370" s="36" t="s">
        <v>4722</v>
      </c>
      <c r="G1370" s="36" t="s">
        <v>4527</v>
      </c>
    </row>
    <row r="1371" ht="15.75" customHeight="1" spans="6:7">
      <c r="F1371" s="36" t="s">
        <v>4722</v>
      </c>
      <c r="G1371" s="36" t="s">
        <v>4742</v>
      </c>
    </row>
    <row r="1372" ht="15.75" customHeight="1" spans="6:7">
      <c r="F1372" s="36" t="s">
        <v>4722</v>
      </c>
      <c r="G1372" s="36" t="s">
        <v>4743</v>
      </c>
    </row>
    <row r="1373" ht="15.75" customHeight="1" spans="6:7">
      <c r="F1373" s="36" t="s">
        <v>4722</v>
      </c>
      <c r="G1373" s="36" t="s">
        <v>4744</v>
      </c>
    </row>
    <row r="1374" ht="15.75" customHeight="1" spans="6:7">
      <c r="F1374" s="36" t="s">
        <v>4722</v>
      </c>
      <c r="G1374" s="36" t="s">
        <v>4745</v>
      </c>
    </row>
    <row r="1375" ht="15.75" customHeight="1" spans="6:7">
      <c r="F1375" s="36" t="s">
        <v>4722</v>
      </c>
      <c r="G1375" s="36" t="s">
        <v>32</v>
      </c>
    </row>
    <row r="1376" ht="15.75" customHeight="1" spans="6:7">
      <c r="F1376" s="36" t="s">
        <v>4722</v>
      </c>
      <c r="G1376" s="36" t="s">
        <v>4746</v>
      </c>
    </row>
    <row r="1377" ht="15.75" customHeight="1" spans="6:7">
      <c r="F1377" s="36" t="s">
        <v>4722</v>
      </c>
      <c r="G1377" s="36" t="s">
        <v>4747</v>
      </c>
    </row>
    <row r="1378" ht="15.75" customHeight="1" spans="6:7">
      <c r="F1378" s="36" t="s">
        <v>4722</v>
      </c>
      <c r="G1378" s="36" t="s">
        <v>29</v>
      </c>
    </row>
    <row r="1379" ht="15.75" customHeight="1" spans="6:7">
      <c r="F1379" s="36" t="s">
        <v>4722</v>
      </c>
      <c r="G1379" s="36" t="s">
        <v>4748</v>
      </c>
    </row>
    <row r="1380" ht="15.75" customHeight="1" spans="6:7">
      <c r="F1380" s="36" t="s">
        <v>4722</v>
      </c>
      <c r="G1380" s="36" t="s">
        <v>4749</v>
      </c>
    </row>
    <row r="1381" ht="15.75" customHeight="1" spans="6:7">
      <c r="F1381" s="36" t="s">
        <v>4722</v>
      </c>
      <c r="G1381" s="36" t="s">
        <v>4750</v>
      </c>
    </row>
    <row r="1382" ht="15.75" customHeight="1" spans="6:7">
      <c r="F1382" s="36" t="s">
        <v>4722</v>
      </c>
      <c r="G1382" s="36" t="s">
        <v>4751</v>
      </c>
    </row>
    <row r="1383" ht="15.75" customHeight="1" spans="6:7">
      <c r="F1383" s="36" t="s">
        <v>4722</v>
      </c>
      <c r="G1383" s="36" t="s">
        <v>4509</v>
      </c>
    </row>
    <row r="1384" ht="15.75" customHeight="1" spans="6:7">
      <c r="F1384" s="36" t="s">
        <v>4722</v>
      </c>
      <c r="G1384" s="36" t="s">
        <v>4752</v>
      </c>
    </row>
    <row r="1385" ht="15.75" customHeight="1" spans="6:7">
      <c r="F1385" s="36" t="s">
        <v>4722</v>
      </c>
      <c r="G1385" s="36" t="s">
        <v>4753</v>
      </c>
    </row>
    <row r="1386" ht="15.75" customHeight="1" spans="6:7">
      <c r="F1386" s="36" t="s">
        <v>4722</v>
      </c>
      <c r="G1386" s="36" t="s">
        <v>4754</v>
      </c>
    </row>
    <row r="1387" ht="15.75" customHeight="1" spans="6:7">
      <c r="F1387" s="36" t="s">
        <v>4722</v>
      </c>
      <c r="G1387" s="36" t="s">
        <v>4755</v>
      </c>
    </row>
    <row r="1388" ht="15.75" customHeight="1" spans="6:7">
      <c r="F1388" s="36" t="s">
        <v>4722</v>
      </c>
      <c r="G1388" s="36" t="s">
        <v>4756</v>
      </c>
    </row>
    <row r="1389" ht="15.75" customHeight="1" spans="6:7">
      <c r="F1389" s="36" t="s">
        <v>4722</v>
      </c>
      <c r="G1389" s="36" t="s">
        <v>4757</v>
      </c>
    </row>
    <row r="1390" ht="15.75" customHeight="1" spans="6:7">
      <c r="F1390" s="36" t="s">
        <v>4722</v>
      </c>
      <c r="G1390" s="36" t="s">
        <v>4758</v>
      </c>
    </row>
    <row r="1391" ht="15.75" customHeight="1" spans="6:7">
      <c r="F1391" s="36" t="s">
        <v>4722</v>
      </c>
      <c r="G1391" s="36" t="s">
        <v>4759</v>
      </c>
    </row>
    <row r="1392" ht="15.75" customHeight="1" spans="6:7">
      <c r="F1392" s="36" t="s">
        <v>4722</v>
      </c>
      <c r="G1392" s="36" t="s">
        <v>4760</v>
      </c>
    </row>
    <row r="1393" ht="15.75" customHeight="1" spans="6:7">
      <c r="F1393" s="36" t="s">
        <v>4722</v>
      </c>
      <c r="G1393" s="36" t="s">
        <v>4761</v>
      </c>
    </row>
    <row r="1394" ht="15.75" customHeight="1" spans="6:7">
      <c r="F1394" s="36" t="s">
        <v>4722</v>
      </c>
      <c r="G1394" s="36" t="s">
        <v>4762</v>
      </c>
    </row>
    <row r="1395" ht="15.75" customHeight="1" spans="6:7">
      <c r="F1395" s="36" t="s">
        <v>4722</v>
      </c>
      <c r="G1395" s="36" t="s">
        <v>4763</v>
      </c>
    </row>
    <row r="1396" ht="15.75" customHeight="1" spans="6:7">
      <c r="F1396" s="36" t="s">
        <v>4722</v>
      </c>
      <c r="G1396" s="36" t="s">
        <v>4764</v>
      </c>
    </row>
    <row r="1397" ht="15.75" customHeight="1" spans="6:7">
      <c r="F1397" s="36" t="s">
        <v>4722</v>
      </c>
      <c r="G1397" s="36" t="s">
        <v>4765</v>
      </c>
    </row>
    <row r="1398" ht="15.75" customHeight="1" spans="6:7">
      <c r="F1398" s="36" t="s">
        <v>4722</v>
      </c>
      <c r="G1398" s="36" t="s">
        <v>4766</v>
      </c>
    </row>
    <row r="1399" ht="15.75" customHeight="1" spans="6:7">
      <c r="F1399" s="36" t="s">
        <v>4722</v>
      </c>
      <c r="G1399" s="36" t="s">
        <v>4501</v>
      </c>
    </row>
    <row r="1400" ht="15.75" customHeight="1" spans="6:7">
      <c r="F1400" s="36" t="s">
        <v>4722</v>
      </c>
      <c r="G1400" s="36" t="s">
        <v>4767</v>
      </c>
    </row>
    <row r="1401" ht="15.75" customHeight="1" spans="6:7">
      <c r="F1401" s="36" t="s">
        <v>4722</v>
      </c>
      <c r="G1401" s="36" t="s">
        <v>4768</v>
      </c>
    </row>
    <row r="1402" ht="15.75" customHeight="1" spans="6:7">
      <c r="F1402" s="36" t="s">
        <v>4722</v>
      </c>
      <c r="G1402" s="36" t="s">
        <v>4497</v>
      </c>
    </row>
    <row r="1403" ht="15.75" customHeight="1" spans="6:7">
      <c r="F1403" s="36" t="s">
        <v>4722</v>
      </c>
      <c r="G1403" s="36" t="s">
        <v>4769</v>
      </c>
    </row>
    <row r="1404" ht="15.75" customHeight="1" spans="6:7">
      <c r="F1404" s="36" t="s">
        <v>4722</v>
      </c>
      <c r="G1404" s="36" t="s">
        <v>4770</v>
      </c>
    </row>
    <row r="1405" ht="15.75" customHeight="1" spans="6:7">
      <c r="F1405" s="36" t="s">
        <v>4722</v>
      </c>
      <c r="G1405" s="36" t="s">
        <v>4771</v>
      </c>
    </row>
    <row r="1406" ht="15.75" customHeight="1" spans="6:7">
      <c r="F1406" s="36" t="s">
        <v>4722</v>
      </c>
      <c r="G1406" s="36" t="s">
        <v>4772</v>
      </c>
    </row>
    <row r="1407" ht="15.75" customHeight="1" spans="6:7">
      <c r="F1407" s="36" t="s">
        <v>4722</v>
      </c>
      <c r="G1407" s="36" t="s">
        <v>4773</v>
      </c>
    </row>
    <row r="1408" ht="15.75" customHeight="1" spans="6:7">
      <c r="F1408" s="36" t="s">
        <v>4722</v>
      </c>
      <c r="G1408" s="36" t="s">
        <v>4774</v>
      </c>
    </row>
    <row r="1409" ht="15.75" customHeight="1" spans="6:7">
      <c r="F1409" s="36" t="s">
        <v>4722</v>
      </c>
      <c r="G1409" s="36" t="s">
        <v>4775</v>
      </c>
    </row>
    <row r="1410" ht="15.75" customHeight="1" spans="6:7">
      <c r="F1410" s="36" t="s">
        <v>4722</v>
      </c>
      <c r="G1410" s="36" t="s">
        <v>4776</v>
      </c>
    </row>
    <row r="1411" ht="15.75" customHeight="1" spans="6:7">
      <c r="F1411" s="36" t="s">
        <v>4722</v>
      </c>
      <c r="G1411" s="36" t="s">
        <v>4777</v>
      </c>
    </row>
    <row r="1412" ht="15.75" customHeight="1" spans="6:7">
      <c r="F1412" s="36" t="s">
        <v>4722</v>
      </c>
      <c r="G1412" s="36" t="s">
        <v>4778</v>
      </c>
    </row>
    <row r="1413" ht="15.75" customHeight="1" spans="6:7">
      <c r="F1413" s="36" t="s">
        <v>4722</v>
      </c>
      <c r="G1413" s="36" t="s">
        <v>4779</v>
      </c>
    </row>
    <row r="1414" ht="15.75" customHeight="1" spans="6:7">
      <c r="F1414" s="36" t="s">
        <v>4722</v>
      </c>
      <c r="G1414" s="36" t="s">
        <v>4780</v>
      </c>
    </row>
    <row r="1415" ht="15.75" customHeight="1" spans="6:7">
      <c r="F1415" s="36" t="s">
        <v>4722</v>
      </c>
      <c r="G1415" s="36" t="s">
        <v>4781</v>
      </c>
    </row>
    <row r="1416" ht="15.75" customHeight="1" spans="6:7">
      <c r="F1416" s="36" t="s">
        <v>4722</v>
      </c>
      <c r="G1416" s="36" t="s">
        <v>4782</v>
      </c>
    </row>
    <row r="1417" ht="15.75" customHeight="1" spans="6:7">
      <c r="F1417" s="36" t="s">
        <v>4722</v>
      </c>
      <c r="G1417" s="36" t="s">
        <v>4783</v>
      </c>
    </row>
    <row r="1418" ht="15.75" customHeight="1" spans="6:7">
      <c r="F1418" s="36" t="s">
        <v>4722</v>
      </c>
      <c r="G1418" s="36" t="s">
        <v>4784</v>
      </c>
    </row>
    <row r="1419" ht="15.75" customHeight="1" spans="6:7">
      <c r="F1419" s="36" t="s">
        <v>4722</v>
      </c>
      <c r="G1419" s="36" t="s">
        <v>4785</v>
      </c>
    </row>
    <row r="1420" ht="15.75" customHeight="1" spans="6:7">
      <c r="F1420" s="36" t="s">
        <v>4722</v>
      </c>
      <c r="G1420" s="36" t="s">
        <v>4786</v>
      </c>
    </row>
    <row r="1421" ht="15.75" customHeight="1" spans="6:7">
      <c r="F1421" s="36" t="s">
        <v>4722</v>
      </c>
      <c r="G1421" s="36" t="s">
        <v>4787</v>
      </c>
    </row>
    <row r="1422" ht="15.75" customHeight="1" spans="6:7">
      <c r="F1422" s="36" t="s">
        <v>4722</v>
      </c>
      <c r="G1422" s="36" t="s">
        <v>4788</v>
      </c>
    </row>
    <row r="1423" ht="15.75" customHeight="1" spans="6:7">
      <c r="F1423" s="36" t="s">
        <v>4722</v>
      </c>
      <c r="G1423" s="36" t="s">
        <v>4789</v>
      </c>
    </row>
    <row r="1424" ht="15.75" customHeight="1" spans="6:7">
      <c r="F1424" s="36" t="s">
        <v>4722</v>
      </c>
      <c r="G1424" s="36" t="s">
        <v>4790</v>
      </c>
    </row>
    <row r="1425" ht="15.75" customHeight="1" spans="6:7">
      <c r="F1425" s="36" t="s">
        <v>4722</v>
      </c>
      <c r="G1425" s="36" t="s">
        <v>4791</v>
      </c>
    </row>
    <row r="1426" ht="15.75" customHeight="1" spans="6:7">
      <c r="F1426" s="36" t="s">
        <v>4722</v>
      </c>
      <c r="G1426" s="36" t="s">
        <v>4792</v>
      </c>
    </row>
    <row r="1427" ht="15.75" customHeight="1" spans="6:7">
      <c r="F1427" s="36" t="s">
        <v>4722</v>
      </c>
      <c r="G1427" s="36" t="s">
        <v>4793</v>
      </c>
    </row>
    <row r="1428" ht="15.75" customHeight="1" spans="6:7">
      <c r="F1428" s="36" t="s">
        <v>4722</v>
      </c>
      <c r="G1428" s="36" t="s">
        <v>4794</v>
      </c>
    </row>
    <row r="1429" ht="15.75" customHeight="1" spans="6:7">
      <c r="F1429" s="36" t="s">
        <v>4722</v>
      </c>
      <c r="G1429" s="36" t="s">
        <v>4795</v>
      </c>
    </row>
    <row r="1430" ht="15.75" customHeight="1" spans="6:7">
      <c r="F1430" s="36" t="s">
        <v>4722</v>
      </c>
      <c r="G1430" s="36" t="s">
        <v>4796</v>
      </c>
    </row>
    <row r="1431" ht="15.75" customHeight="1" spans="6:7">
      <c r="F1431" s="36" t="s">
        <v>4722</v>
      </c>
      <c r="G1431" s="36" t="s">
        <v>4797</v>
      </c>
    </row>
    <row r="1432" ht="15.75" customHeight="1" spans="6:7">
      <c r="F1432" s="36" t="s">
        <v>4722</v>
      </c>
      <c r="G1432" s="36" t="s">
        <v>4798</v>
      </c>
    </row>
    <row r="1433" ht="15.75" customHeight="1" spans="6:7">
      <c r="F1433" s="36" t="s">
        <v>4722</v>
      </c>
      <c r="G1433" s="36" t="s">
        <v>4799</v>
      </c>
    </row>
    <row r="1434" ht="15.75" customHeight="1" spans="6:7">
      <c r="F1434" s="36" t="s">
        <v>4722</v>
      </c>
      <c r="G1434" s="36" t="s">
        <v>4800</v>
      </c>
    </row>
    <row r="1435" ht="15.75" customHeight="1" spans="6:7">
      <c r="F1435" s="36" t="s">
        <v>4722</v>
      </c>
      <c r="G1435" s="36" t="s">
        <v>4801</v>
      </c>
    </row>
    <row r="1436" ht="15.75" customHeight="1" spans="6:7">
      <c r="F1436" s="36" t="s">
        <v>4722</v>
      </c>
      <c r="G1436" s="36" t="s">
        <v>4802</v>
      </c>
    </row>
    <row r="1437" ht="15.75" customHeight="1" spans="6:7">
      <c r="F1437" s="36" t="s">
        <v>4722</v>
      </c>
      <c r="G1437" s="36" t="s">
        <v>4803</v>
      </c>
    </row>
    <row r="1438" ht="15.75" customHeight="1" spans="6:7">
      <c r="F1438" s="36" t="s">
        <v>4722</v>
      </c>
      <c r="G1438" s="36" t="s">
        <v>4804</v>
      </c>
    </row>
    <row r="1439" ht="15.75" customHeight="1" spans="6:7">
      <c r="F1439" s="36" t="s">
        <v>4722</v>
      </c>
      <c r="G1439" s="36" t="s">
        <v>4805</v>
      </c>
    </row>
    <row r="1440" ht="15.75" customHeight="1" spans="6:7">
      <c r="F1440" s="36" t="s">
        <v>4806</v>
      </c>
      <c r="G1440" s="36" t="s">
        <v>29</v>
      </c>
    </row>
    <row r="1441" ht="15.75" customHeight="1" spans="6:7">
      <c r="F1441" s="36" t="s">
        <v>4806</v>
      </c>
      <c r="G1441" s="36" t="s">
        <v>4760</v>
      </c>
    </row>
    <row r="1442" ht="15.75" customHeight="1" spans="6:7">
      <c r="F1442" s="36" t="s">
        <v>4806</v>
      </c>
      <c r="G1442" s="36" t="s">
        <v>4806</v>
      </c>
    </row>
    <row r="1443" ht="15.75" customHeight="1" spans="6:7">
      <c r="F1443" s="36" t="s">
        <v>4806</v>
      </c>
      <c r="G1443" s="36" t="s">
        <v>4807</v>
      </c>
    </row>
    <row r="1444" ht="15.75" customHeight="1" spans="6:7">
      <c r="F1444" s="36" t="s">
        <v>4806</v>
      </c>
      <c r="G1444" s="36" t="s">
        <v>4808</v>
      </c>
    </row>
    <row r="1445" ht="15.75" customHeight="1" spans="6:7">
      <c r="F1445" s="36" t="s">
        <v>4806</v>
      </c>
      <c r="G1445" s="36" t="s">
        <v>4809</v>
      </c>
    </row>
    <row r="1446" ht="15.75" customHeight="1" spans="6:7">
      <c r="F1446" s="36" t="s">
        <v>4806</v>
      </c>
      <c r="G1446" s="36" t="s">
        <v>4810</v>
      </c>
    </row>
    <row r="1447" ht="15.75" customHeight="1" spans="6:7">
      <c r="F1447" s="36" t="s">
        <v>4806</v>
      </c>
      <c r="G1447" s="36" t="s">
        <v>4811</v>
      </c>
    </row>
    <row r="1448" ht="15.75" customHeight="1" spans="6:7">
      <c r="F1448" s="36" t="s">
        <v>4806</v>
      </c>
      <c r="G1448" s="36" t="s">
        <v>4812</v>
      </c>
    </row>
    <row r="1449" ht="15.75" customHeight="1" spans="6:7">
      <c r="F1449" s="36" t="s">
        <v>4806</v>
      </c>
      <c r="G1449" s="36" t="s">
        <v>4813</v>
      </c>
    </row>
    <row r="1450" ht="15.75" customHeight="1" spans="6:7">
      <c r="F1450" s="36" t="s">
        <v>4806</v>
      </c>
      <c r="G1450" s="36" t="s">
        <v>4814</v>
      </c>
    </row>
    <row r="1451" ht="15.75" customHeight="1" spans="6:7">
      <c r="F1451" s="36" t="s">
        <v>4806</v>
      </c>
      <c r="G1451" s="36" t="s">
        <v>4815</v>
      </c>
    </row>
    <row r="1452" ht="15.75" customHeight="1" spans="6:7">
      <c r="F1452" s="36" t="s">
        <v>4806</v>
      </c>
      <c r="G1452" s="36" t="s">
        <v>4816</v>
      </c>
    </row>
    <row r="1453" ht="15.75" customHeight="1" spans="6:7">
      <c r="F1453" s="36" t="s">
        <v>4806</v>
      </c>
      <c r="G1453" s="36" t="s">
        <v>4817</v>
      </c>
    </row>
    <row r="1454" ht="15.75" customHeight="1" spans="6:7">
      <c r="F1454" s="36" t="s">
        <v>4806</v>
      </c>
      <c r="G1454" s="36" t="s">
        <v>4404</v>
      </c>
    </row>
    <row r="1455" ht="15.75" customHeight="1" spans="6:7">
      <c r="F1455" s="36" t="s">
        <v>4806</v>
      </c>
      <c r="G1455" s="36" t="s">
        <v>4818</v>
      </c>
    </row>
    <row r="1456" ht="15.75" customHeight="1" spans="6:7">
      <c r="F1456" s="36" t="s">
        <v>4806</v>
      </c>
      <c r="G1456" s="36" t="s">
        <v>4819</v>
      </c>
    </row>
    <row r="1457" ht="15.75" customHeight="1" spans="6:7">
      <c r="F1457" s="36" t="s">
        <v>4806</v>
      </c>
      <c r="G1457" s="36" t="s">
        <v>4820</v>
      </c>
    </row>
    <row r="1458" ht="15.75" customHeight="1" spans="6:7">
      <c r="F1458" s="36" t="s">
        <v>4806</v>
      </c>
      <c r="G1458" s="36" t="s">
        <v>4821</v>
      </c>
    </row>
    <row r="1459" ht="15.75" customHeight="1" spans="6:7">
      <c r="F1459" s="36" t="s">
        <v>4806</v>
      </c>
      <c r="G1459" s="36" t="s">
        <v>4424</v>
      </c>
    </row>
    <row r="1460" ht="15.75" customHeight="1" spans="6:7">
      <c r="F1460" s="36" t="s">
        <v>4806</v>
      </c>
      <c r="G1460" s="36" t="s">
        <v>31</v>
      </c>
    </row>
    <row r="1461" ht="15.75" customHeight="1" spans="6:7">
      <c r="F1461" s="36" t="s">
        <v>4806</v>
      </c>
      <c r="G1461" s="36" t="s">
        <v>4059</v>
      </c>
    </row>
    <row r="1462" ht="15.75" customHeight="1" spans="6:7">
      <c r="F1462" s="36" t="s">
        <v>4806</v>
      </c>
      <c r="G1462" s="36" t="s">
        <v>141</v>
      </c>
    </row>
    <row r="1463" ht="15.75" customHeight="1" spans="6:7">
      <c r="F1463" s="36" t="s">
        <v>4806</v>
      </c>
      <c r="G1463" s="36" t="s">
        <v>4822</v>
      </c>
    </row>
    <row r="1464" ht="15.75" customHeight="1" spans="6:7">
      <c r="F1464" s="36" t="s">
        <v>4806</v>
      </c>
      <c r="G1464" s="36" t="s">
        <v>4823</v>
      </c>
    </row>
    <row r="1465" ht="15.75" customHeight="1" spans="6:7">
      <c r="F1465" s="36" t="s">
        <v>4806</v>
      </c>
      <c r="G1465" s="36" t="s">
        <v>4824</v>
      </c>
    </row>
    <row r="1466" ht="15.75" customHeight="1" spans="6:7">
      <c r="F1466" s="36" t="s">
        <v>4806</v>
      </c>
      <c r="G1466" s="36" t="s">
        <v>4825</v>
      </c>
    </row>
    <row r="1467" ht="15.75" customHeight="1" spans="6:7">
      <c r="F1467" s="36" t="s">
        <v>4806</v>
      </c>
      <c r="G1467" s="36" t="s">
        <v>4826</v>
      </c>
    </row>
    <row r="1468" ht="15.75" customHeight="1" spans="6:7">
      <c r="F1468" s="36" t="s">
        <v>4806</v>
      </c>
      <c r="G1468" s="36" t="s">
        <v>4827</v>
      </c>
    </row>
    <row r="1469" ht="15.75" customHeight="1" spans="6:7">
      <c r="F1469" s="36" t="s">
        <v>4806</v>
      </c>
      <c r="G1469" s="36" t="s">
        <v>4828</v>
      </c>
    </row>
    <row r="1470" ht="15.75" customHeight="1" spans="6:7">
      <c r="F1470" s="36" t="s">
        <v>4806</v>
      </c>
      <c r="G1470" s="36" t="s">
        <v>4829</v>
      </c>
    </row>
    <row r="1471" ht="15.75" customHeight="1" spans="6:7">
      <c r="F1471" s="36" t="s">
        <v>4806</v>
      </c>
      <c r="G1471" s="36" t="s">
        <v>4830</v>
      </c>
    </row>
    <row r="1472" ht="15.75" customHeight="1" spans="6:7">
      <c r="F1472" s="36" t="s">
        <v>4806</v>
      </c>
      <c r="G1472" s="36" t="s">
        <v>4831</v>
      </c>
    </row>
    <row r="1473" ht="15.75" customHeight="1" spans="6:7">
      <c r="F1473" s="36" t="s">
        <v>4806</v>
      </c>
      <c r="G1473" s="36" t="s">
        <v>4832</v>
      </c>
    </row>
    <row r="1474" ht="15.75" customHeight="1" spans="6:7">
      <c r="F1474" s="36" t="s">
        <v>4806</v>
      </c>
      <c r="G1474" s="36" t="s">
        <v>4833</v>
      </c>
    </row>
    <row r="1475" ht="15.75" customHeight="1" spans="6:7">
      <c r="F1475" s="36" t="s">
        <v>4806</v>
      </c>
      <c r="G1475" s="36" t="s">
        <v>4834</v>
      </c>
    </row>
    <row r="1476" ht="15.75" customHeight="1" spans="6:7">
      <c r="F1476" s="36" t="s">
        <v>4806</v>
      </c>
      <c r="G1476" s="36" t="s">
        <v>4835</v>
      </c>
    </row>
    <row r="1477" ht="15.75" customHeight="1" spans="6:7">
      <c r="F1477" s="36" t="s">
        <v>4806</v>
      </c>
      <c r="G1477" s="36" t="s">
        <v>4836</v>
      </c>
    </row>
    <row r="1478" ht="15.75" customHeight="1" spans="6:7">
      <c r="F1478" s="36" t="s">
        <v>4806</v>
      </c>
      <c r="G1478" s="36" t="s">
        <v>4837</v>
      </c>
    </row>
    <row r="1479" ht="15.75" customHeight="1" spans="6:7">
      <c r="F1479" s="36" t="s">
        <v>4806</v>
      </c>
      <c r="G1479" s="36" t="s">
        <v>4838</v>
      </c>
    </row>
    <row r="1480" ht="15.75" customHeight="1" spans="6:7">
      <c r="F1480" s="36" t="s">
        <v>4806</v>
      </c>
      <c r="G1480" s="36" t="s">
        <v>4799</v>
      </c>
    </row>
    <row r="1481" ht="15.75" customHeight="1" spans="6:7">
      <c r="F1481" s="36" t="s">
        <v>4806</v>
      </c>
      <c r="G1481" s="36" t="s">
        <v>4072</v>
      </c>
    </row>
    <row r="1482" ht="15.75" customHeight="1" spans="6:7">
      <c r="F1482" s="36" t="s">
        <v>4806</v>
      </c>
      <c r="G1482" s="36" t="s">
        <v>4839</v>
      </c>
    </row>
    <row r="1483" ht="15.75" customHeight="1" spans="6:7">
      <c r="F1483" s="36" t="s">
        <v>4806</v>
      </c>
      <c r="G1483" s="36" t="s">
        <v>4840</v>
      </c>
    </row>
    <row r="1484" ht="15.75" customHeight="1" spans="6:7">
      <c r="F1484" s="36" t="s">
        <v>4806</v>
      </c>
      <c r="G1484" s="36" t="s">
        <v>4841</v>
      </c>
    </row>
    <row r="1485" ht="15.75" customHeight="1" spans="6:7">
      <c r="F1485" s="36" t="s">
        <v>4806</v>
      </c>
      <c r="G1485" s="36" t="s">
        <v>4386</v>
      </c>
    </row>
    <row r="1486" ht="15.75" customHeight="1" spans="6:7">
      <c r="F1486" s="36" t="s">
        <v>4806</v>
      </c>
      <c r="G1486" s="36" t="s">
        <v>4842</v>
      </c>
    </row>
    <row r="1487" ht="15.75" customHeight="1" spans="6:7">
      <c r="F1487" s="36" t="s">
        <v>4806</v>
      </c>
      <c r="G1487" s="36" t="s">
        <v>4843</v>
      </c>
    </row>
    <row r="1488" ht="15.75" customHeight="1" spans="6:7">
      <c r="F1488" s="36" t="s">
        <v>4806</v>
      </c>
      <c r="G1488" s="36" t="s">
        <v>4844</v>
      </c>
    </row>
    <row r="1489" ht="15.75" customHeight="1" spans="6:7">
      <c r="F1489" s="36" t="s">
        <v>4806</v>
      </c>
      <c r="G1489" s="36" t="s">
        <v>4845</v>
      </c>
    </row>
    <row r="1490" ht="15.75" customHeight="1" spans="6:7">
      <c r="F1490" s="36" t="s">
        <v>4806</v>
      </c>
      <c r="G1490" s="36" t="s">
        <v>4846</v>
      </c>
    </row>
    <row r="1491" ht="15.75" customHeight="1" spans="6:7">
      <c r="F1491" s="36" t="s">
        <v>4806</v>
      </c>
      <c r="G1491" s="36" t="s">
        <v>4847</v>
      </c>
    </row>
    <row r="1492" ht="15.75" customHeight="1" spans="6:7">
      <c r="F1492" s="36" t="s">
        <v>4806</v>
      </c>
      <c r="G1492" s="36" t="s">
        <v>4848</v>
      </c>
    </row>
    <row r="1493" ht="15.75" customHeight="1" spans="6:7">
      <c r="F1493" s="36" t="s">
        <v>4806</v>
      </c>
      <c r="G1493" s="36" t="s">
        <v>4849</v>
      </c>
    </row>
    <row r="1494" ht="15.75" customHeight="1" spans="6:7">
      <c r="F1494" s="36" t="s">
        <v>4806</v>
      </c>
      <c r="G1494" s="36" t="s">
        <v>4850</v>
      </c>
    </row>
    <row r="1495" ht="15.75" customHeight="1" spans="6:7">
      <c r="F1495" s="36" t="s">
        <v>4806</v>
      </c>
      <c r="G1495" s="36" t="s">
        <v>4851</v>
      </c>
    </row>
    <row r="1496" ht="15.75" customHeight="1" spans="6:7">
      <c r="F1496" s="36" t="s">
        <v>4806</v>
      </c>
      <c r="G1496" s="36" t="s">
        <v>4852</v>
      </c>
    </row>
    <row r="1497" ht="15.75" customHeight="1" spans="6:7">
      <c r="F1497" s="36" t="s">
        <v>4806</v>
      </c>
      <c r="G1497" s="36" t="s">
        <v>4853</v>
      </c>
    </row>
    <row r="1498" ht="15.75" customHeight="1" spans="6:7">
      <c r="F1498" s="36" t="s">
        <v>4806</v>
      </c>
      <c r="G1498" s="36" t="s">
        <v>4854</v>
      </c>
    </row>
    <row r="1499" ht="15.75" customHeight="1" spans="6:7">
      <c r="F1499" s="36" t="s">
        <v>4806</v>
      </c>
      <c r="G1499" s="36" t="s">
        <v>4855</v>
      </c>
    </row>
    <row r="1500" ht="15.75" customHeight="1" spans="6:7">
      <c r="F1500" s="36" t="s">
        <v>4806</v>
      </c>
      <c r="G1500" s="36" t="s">
        <v>4856</v>
      </c>
    </row>
    <row r="1501" ht="15.75" customHeight="1" spans="6:7">
      <c r="F1501" s="36" t="s">
        <v>4806</v>
      </c>
      <c r="G1501" s="36" t="s">
        <v>4857</v>
      </c>
    </row>
    <row r="1502" ht="15.75" customHeight="1" spans="6:7">
      <c r="F1502" s="36" t="s">
        <v>4806</v>
      </c>
      <c r="G1502" s="36" t="s">
        <v>4858</v>
      </c>
    </row>
    <row r="1503" ht="15.75" customHeight="1" spans="6:7">
      <c r="F1503" s="36" t="s">
        <v>4806</v>
      </c>
      <c r="G1503" s="36" t="s">
        <v>4859</v>
      </c>
    </row>
    <row r="1504" ht="15.75" customHeight="1" spans="6:7">
      <c r="F1504" s="36" t="s">
        <v>4806</v>
      </c>
      <c r="G1504" s="36" t="s">
        <v>4860</v>
      </c>
    </row>
    <row r="1505" ht="15.75" customHeight="1" spans="6:7">
      <c r="F1505" s="36" t="s">
        <v>4806</v>
      </c>
      <c r="G1505" s="36" t="s">
        <v>4861</v>
      </c>
    </row>
    <row r="1506" ht="15.75" customHeight="1" spans="6:7">
      <c r="F1506" s="36" t="s">
        <v>4806</v>
      </c>
      <c r="G1506" s="36" t="s">
        <v>4409</v>
      </c>
    </row>
    <row r="1507" ht="15.75" customHeight="1" spans="6:7">
      <c r="F1507" s="36" t="s">
        <v>4806</v>
      </c>
      <c r="G1507" s="36" t="s">
        <v>4405</v>
      </c>
    </row>
    <row r="1508" ht="15.75" customHeight="1" spans="6:7">
      <c r="F1508" s="36" t="s">
        <v>4806</v>
      </c>
      <c r="G1508" s="36" t="s">
        <v>4862</v>
      </c>
    </row>
    <row r="1509" ht="15.75" customHeight="1" spans="6:7">
      <c r="F1509" s="36" t="s">
        <v>4806</v>
      </c>
      <c r="G1509" s="36" t="s">
        <v>4863</v>
      </c>
    </row>
    <row r="1510" ht="15.75" customHeight="1" spans="6:7">
      <c r="F1510" s="36" t="s">
        <v>4806</v>
      </c>
      <c r="G1510" s="36" t="s">
        <v>4864</v>
      </c>
    </row>
    <row r="1511" ht="15.75" customHeight="1" spans="6:7">
      <c r="F1511" s="36" t="s">
        <v>4806</v>
      </c>
      <c r="G1511" s="36" t="s">
        <v>4865</v>
      </c>
    </row>
    <row r="1512" ht="15.75" customHeight="1" spans="6:7">
      <c r="F1512" s="36" t="s">
        <v>4806</v>
      </c>
      <c r="G1512" s="36" t="s">
        <v>4866</v>
      </c>
    </row>
    <row r="1513" ht="15.75" customHeight="1" spans="6:7">
      <c r="F1513" s="36" t="s">
        <v>4806</v>
      </c>
      <c r="G1513" s="36" t="s">
        <v>4867</v>
      </c>
    </row>
    <row r="1514" ht="15.75" customHeight="1" spans="6:7">
      <c r="F1514" s="36" t="s">
        <v>4806</v>
      </c>
      <c r="G1514" s="36" t="s">
        <v>4868</v>
      </c>
    </row>
    <row r="1515" ht="15.75" customHeight="1" spans="6:7">
      <c r="F1515" s="36" t="s">
        <v>4869</v>
      </c>
      <c r="G1515" s="36" t="s">
        <v>33</v>
      </c>
    </row>
    <row r="1516" ht="15.75" customHeight="1" spans="6:7">
      <c r="F1516" s="36" t="s">
        <v>4869</v>
      </c>
      <c r="G1516" s="36" t="s">
        <v>4390</v>
      </c>
    </row>
    <row r="1517" ht="15.75" customHeight="1" spans="6:7">
      <c r="F1517" s="36" t="s">
        <v>4869</v>
      </c>
      <c r="G1517" s="36" t="s">
        <v>4869</v>
      </c>
    </row>
    <row r="1518" ht="15.75" customHeight="1" spans="6:7">
      <c r="F1518" s="36" t="s">
        <v>4869</v>
      </c>
      <c r="G1518" s="36" t="s">
        <v>4870</v>
      </c>
    </row>
    <row r="1519" ht="15.75" customHeight="1" spans="6:7">
      <c r="F1519" s="36" t="s">
        <v>4869</v>
      </c>
      <c r="G1519" s="36" t="s">
        <v>4871</v>
      </c>
    </row>
    <row r="1520" ht="15.75" customHeight="1" spans="6:7">
      <c r="F1520" s="36" t="s">
        <v>4869</v>
      </c>
      <c r="G1520" s="36" t="s">
        <v>4872</v>
      </c>
    </row>
    <row r="1521" ht="15.75" customHeight="1" spans="6:7">
      <c r="F1521" s="36" t="s">
        <v>4869</v>
      </c>
      <c r="G1521" s="36" t="s">
        <v>4873</v>
      </c>
    </row>
    <row r="1522" ht="15.75" customHeight="1" spans="6:7">
      <c r="F1522" s="36" t="s">
        <v>4869</v>
      </c>
      <c r="G1522" s="36" t="s">
        <v>4874</v>
      </c>
    </row>
    <row r="1523" ht="15.75" customHeight="1" spans="6:7">
      <c r="F1523" s="36" t="s">
        <v>4869</v>
      </c>
      <c r="G1523" s="36" t="s">
        <v>4628</v>
      </c>
    </row>
    <row r="1524" ht="15.75" customHeight="1" spans="6:7">
      <c r="F1524" s="36" t="s">
        <v>4869</v>
      </c>
      <c r="G1524" s="36" t="s">
        <v>4875</v>
      </c>
    </row>
    <row r="1525" ht="15.75" customHeight="1" spans="6:7">
      <c r="F1525" s="36" t="s">
        <v>4869</v>
      </c>
      <c r="G1525" s="36" t="s">
        <v>4876</v>
      </c>
    </row>
    <row r="1526" ht="15.75" customHeight="1" spans="6:7">
      <c r="F1526" s="36" t="s">
        <v>4869</v>
      </c>
      <c r="G1526" s="36" t="s">
        <v>4877</v>
      </c>
    </row>
    <row r="1527" ht="15.75" customHeight="1" spans="6:7">
      <c r="F1527" s="36" t="s">
        <v>4869</v>
      </c>
      <c r="G1527" s="36" t="s">
        <v>4878</v>
      </c>
    </row>
    <row r="1528" ht="15.75" customHeight="1" spans="6:7">
      <c r="F1528" s="36" t="s">
        <v>4869</v>
      </c>
      <c r="G1528" s="36" t="s">
        <v>4879</v>
      </c>
    </row>
    <row r="1529" ht="15.75" customHeight="1" spans="6:7">
      <c r="F1529" s="36" t="s">
        <v>4869</v>
      </c>
      <c r="G1529" s="36" t="s">
        <v>4880</v>
      </c>
    </row>
    <row r="1530" ht="15.75" customHeight="1" spans="6:7">
      <c r="F1530" s="36" t="s">
        <v>4869</v>
      </c>
      <c r="G1530" s="36" t="s">
        <v>4059</v>
      </c>
    </row>
    <row r="1531" ht="15.75" customHeight="1" spans="6:7">
      <c r="F1531" s="36" t="s">
        <v>4869</v>
      </c>
      <c r="G1531" s="36" t="s">
        <v>4881</v>
      </c>
    </row>
    <row r="1532" ht="15.75" customHeight="1" spans="6:7">
      <c r="F1532" s="36" t="s">
        <v>4869</v>
      </c>
      <c r="G1532" s="36" t="s">
        <v>4882</v>
      </c>
    </row>
    <row r="1533" ht="15.75" customHeight="1" spans="6:7">
      <c r="F1533" s="36" t="s">
        <v>4869</v>
      </c>
      <c r="G1533" s="36" t="s">
        <v>4883</v>
      </c>
    </row>
    <row r="1534" ht="15.75" customHeight="1" spans="6:7">
      <c r="F1534" s="36" t="s">
        <v>4869</v>
      </c>
      <c r="G1534" s="36" t="s">
        <v>4884</v>
      </c>
    </row>
    <row r="1535" ht="15.75" customHeight="1" spans="6:7">
      <c r="F1535" s="36" t="s">
        <v>4869</v>
      </c>
      <c r="G1535" s="36" t="s">
        <v>4885</v>
      </c>
    </row>
    <row r="1536" ht="15.75" customHeight="1" spans="6:7">
      <c r="F1536" s="36" t="s">
        <v>4869</v>
      </c>
      <c r="G1536" s="36" t="s">
        <v>4886</v>
      </c>
    </row>
    <row r="1537" ht="15.75" customHeight="1" spans="6:7">
      <c r="F1537" s="36" t="s">
        <v>4869</v>
      </c>
      <c r="G1537" s="36" t="s">
        <v>4887</v>
      </c>
    </row>
    <row r="1538" ht="15.75" customHeight="1" spans="6:7">
      <c r="F1538" s="36" t="s">
        <v>4869</v>
      </c>
      <c r="G1538" s="36" t="s">
        <v>4649</v>
      </c>
    </row>
    <row r="1539" ht="15.75" customHeight="1" spans="6:7">
      <c r="F1539" s="36" t="s">
        <v>4869</v>
      </c>
      <c r="G1539" s="36" t="s">
        <v>4888</v>
      </c>
    </row>
    <row r="1540" ht="15.75" customHeight="1" spans="6:7">
      <c r="F1540" s="36" t="s">
        <v>4869</v>
      </c>
      <c r="G1540" s="36" t="s">
        <v>4889</v>
      </c>
    </row>
    <row r="1541" ht="15.75" customHeight="1" spans="6:7">
      <c r="F1541" s="36" t="s">
        <v>4869</v>
      </c>
      <c r="G1541" s="36" t="s">
        <v>4890</v>
      </c>
    </row>
    <row r="1542" ht="15.75" customHeight="1" spans="6:7">
      <c r="F1542" s="36" t="s">
        <v>4869</v>
      </c>
      <c r="G1542" s="36" t="s">
        <v>4891</v>
      </c>
    </row>
    <row r="1543" ht="15.75" customHeight="1" spans="6:7">
      <c r="F1543" s="36" t="s">
        <v>4869</v>
      </c>
      <c r="G1543" s="36" t="s">
        <v>4892</v>
      </c>
    </row>
    <row r="1544" ht="15.75" customHeight="1" spans="6:7">
      <c r="F1544" s="36" t="s">
        <v>4869</v>
      </c>
      <c r="G1544" s="36" t="s">
        <v>4893</v>
      </c>
    </row>
    <row r="1545" ht="15.75" customHeight="1" spans="6:7">
      <c r="F1545" s="36" t="s">
        <v>4869</v>
      </c>
      <c r="G1545" s="36" t="s">
        <v>4894</v>
      </c>
    </row>
    <row r="1546" ht="15.75" customHeight="1" spans="6:7">
      <c r="F1546" s="36" t="s">
        <v>4869</v>
      </c>
      <c r="G1546" s="36" t="s">
        <v>4631</v>
      </c>
    </row>
    <row r="1547" ht="15.75" customHeight="1" spans="6:7">
      <c r="F1547" s="36" t="s">
        <v>4869</v>
      </c>
      <c r="G1547" s="36" t="s">
        <v>4895</v>
      </c>
    </row>
    <row r="1548" ht="15.75" customHeight="1" spans="6:7">
      <c r="F1548" s="36" t="s">
        <v>4869</v>
      </c>
      <c r="G1548" s="36" t="s">
        <v>4896</v>
      </c>
    </row>
    <row r="1549" ht="15.75" customHeight="1" spans="6:7">
      <c r="F1549" s="36" t="s">
        <v>4869</v>
      </c>
      <c r="G1549" s="36" t="s">
        <v>4897</v>
      </c>
    </row>
    <row r="1550" ht="15.75" customHeight="1" spans="6:7">
      <c r="F1550" s="36" t="s">
        <v>4869</v>
      </c>
      <c r="G1550" s="36" t="s">
        <v>4898</v>
      </c>
    </row>
    <row r="1551" ht="15.75" customHeight="1" spans="6:7">
      <c r="F1551" s="36" t="s">
        <v>4869</v>
      </c>
      <c r="G1551" s="36" t="s">
        <v>4899</v>
      </c>
    </row>
    <row r="1552" ht="15.75" customHeight="1" spans="6:7">
      <c r="F1552" s="36" t="s">
        <v>4869</v>
      </c>
      <c r="G1552" s="36" t="s">
        <v>4900</v>
      </c>
    </row>
    <row r="1553" ht="15.75" customHeight="1" spans="6:7">
      <c r="F1553" s="36" t="s">
        <v>4869</v>
      </c>
      <c r="G1553" s="36" t="s">
        <v>4901</v>
      </c>
    </row>
    <row r="1554" ht="15.75" customHeight="1" spans="6:7">
      <c r="F1554" s="36" t="s">
        <v>4869</v>
      </c>
      <c r="G1554" s="36" t="s">
        <v>4375</v>
      </c>
    </row>
    <row r="1555" ht="15.75" customHeight="1" spans="6:7">
      <c r="F1555" s="36" t="s">
        <v>4869</v>
      </c>
      <c r="G1555" s="36" t="s">
        <v>4902</v>
      </c>
    </row>
    <row r="1556" ht="15.75" customHeight="1" spans="6:7">
      <c r="F1556" s="36" t="s">
        <v>4869</v>
      </c>
      <c r="G1556" s="36" t="s">
        <v>4087</v>
      </c>
    </row>
    <row r="1557" ht="15.75" customHeight="1" spans="6:7">
      <c r="F1557" s="36" t="s">
        <v>4869</v>
      </c>
      <c r="G1557" s="36" t="s">
        <v>4903</v>
      </c>
    </row>
    <row r="1558" ht="15.75" customHeight="1" spans="6:7">
      <c r="F1558" s="36" t="s">
        <v>4869</v>
      </c>
      <c r="G1558" s="36" t="s">
        <v>4904</v>
      </c>
    </row>
    <row r="1559" ht="15.75" customHeight="1" spans="6:7">
      <c r="F1559" s="36" t="s">
        <v>4869</v>
      </c>
      <c r="G1559" s="36" t="s">
        <v>4905</v>
      </c>
    </row>
    <row r="1560" ht="15.75" customHeight="1" spans="6:7">
      <c r="F1560" s="36" t="s">
        <v>4869</v>
      </c>
      <c r="G1560" s="36" t="s">
        <v>4906</v>
      </c>
    </row>
    <row r="1561" ht="15.75" customHeight="1" spans="6:7">
      <c r="F1561" s="36" t="s">
        <v>4869</v>
      </c>
      <c r="G1561" s="36" t="s">
        <v>4633</v>
      </c>
    </row>
    <row r="1562" ht="15.75" customHeight="1" spans="6:7">
      <c r="F1562" s="36" t="s">
        <v>4869</v>
      </c>
      <c r="G1562" s="36" t="s">
        <v>4907</v>
      </c>
    </row>
    <row r="1563" ht="15.75" customHeight="1" spans="6:7">
      <c r="F1563" s="36" t="s">
        <v>4869</v>
      </c>
      <c r="G1563" s="36" t="s">
        <v>4908</v>
      </c>
    </row>
    <row r="1564" ht="15.75" customHeight="1" spans="6:7">
      <c r="F1564" s="36" t="s">
        <v>4869</v>
      </c>
      <c r="G1564" s="36" t="s">
        <v>4909</v>
      </c>
    </row>
    <row r="1565" ht="15.75" customHeight="1" spans="6:7">
      <c r="F1565" s="36" t="s">
        <v>4869</v>
      </c>
      <c r="G1565" s="36" t="s">
        <v>4910</v>
      </c>
    </row>
    <row r="1566" ht="15.75" customHeight="1" spans="6:7">
      <c r="F1566" s="36" t="s">
        <v>4869</v>
      </c>
      <c r="G1566" s="36" t="s">
        <v>4911</v>
      </c>
    </row>
    <row r="1567" ht="15.75" customHeight="1" spans="6:7">
      <c r="F1567" s="36" t="s">
        <v>4869</v>
      </c>
      <c r="G1567" s="36" t="s">
        <v>4912</v>
      </c>
    </row>
    <row r="1568" ht="15.75" customHeight="1" spans="6:7">
      <c r="F1568" s="36" t="s">
        <v>4869</v>
      </c>
      <c r="G1568" s="36" t="s">
        <v>4913</v>
      </c>
    </row>
    <row r="1569" ht="15.75" customHeight="1" spans="6:7">
      <c r="F1569" s="36" t="s">
        <v>4869</v>
      </c>
      <c r="G1569" s="36" t="s">
        <v>4914</v>
      </c>
    </row>
    <row r="1570" ht="15.75" customHeight="1" spans="6:7">
      <c r="F1570" s="36" t="s">
        <v>4869</v>
      </c>
      <c r="G1570" s="36" t="s">
        <v>4915</v>
      </c>
    </row>
    <row r="1571" ht="15.75" customHeight="1" spans="6:7">
      <c r="F1571" s="36" t="s">
        <v>4869</v>
      </c>
      <c r="G1571" s="36" t="s">
        <v>4916</v>
      </c>
    </row>
    <row r="1572" ht="15.75" customHeight="1" spans="6:7">
      <c r="F1572" s="36" t="s">
        <v>4869</v>
      </c>
      <c r="G1572" s="36" t="s">
        <v>4917</v>
      </c>
    </row>
    <row r="1573" ht="15.75" customHeight="1" spans="6:7">
      <c r="F1573" s="36" t="s">
        <v>4869</v>
      </c>
      <c r="G1573" s="36" t="s">
        <v>4918</v>
      </c>
    </row>
    <row r="1574" ht="15.75" customHeight="1" spans="6:7">
      <c r="F1574" s="36" t="s">
        <v>4869</v>
      </c>
      <c r="G1574" s="36" t="s">
        <v>4919</v>
      </c>
    </row>
    <row r="1575" ht="15.75" customHeight="1" spans="6:7">
      <c r="F1575" s="36" t="s">
        <v>4869</v>
      </c>
      <c r="G1575" s="36" t="s">
        <v>4920</v>
      </c>
    </row>
    <row r="1576" ht="15.75" customHeight="1" spans="6:7">
      <c r="F1576" s="36" t="s">
        <v>4869</v>
      </c>
      <c r="G1576" s="36" t="s">
        <v>4921</v>
      </c>
    </row>
    <row r="1577" ht="15.75" customHeight="1" spans="6:7">
      <c r="F1577" s="36" t="s">
        <v>4869</v>
      </c>
      <c r="G1577" s="36" t="s">
        <v>4922</v>
      </c>
    </row>
    <row r="1578" ht="15.75" customHeight="1" spans="6:7">
      <c r="F1578" s="36" t="s">
        <v>4869</v>
      </c>
      <c r="G1578" s="36" t="s">
        <v>4923</v>
      </c>
    </row>
    <row r="1579" ht="15.75" customHeight="1" spans="6:7">
      <c r="F1579" s="36" t="s">
        <v>4869</v>
      </c>
      <c r="G1579" s="36" t="s">
        <v>4924</v>
      </c>
    </row>
    <row r="1580" ht="15.75" customHeight="1" spans="6:7">
      <c r="F1580" s="36" t="s">
        <v>4869</v>
      </c>
      <c r="G1580" s="36" t="s">
        <v>4925</v>
      </c>
    </row>
    <row r="1581" ht="15.75" customHeight="1" spans="6:7">
      <c r="F1581" s="36" t="s">
        <v>4869</v>
      </c>
      <c r="G1581" s="36" t="s">
        <v>4926</v>
      </c>
    </row>
    <row r="1582" ht="15.75" customHeight="1" spans="6:7">
      <c r="F1582" s="36" t="s">
        <v>4869</v>
      </c>
      <c r="G1582" s="36" t="s">
        <v>4927</v>
      </c>
    </row>
    <row r="1583" ht="15.75" customHeight="1" spans="6:7">
      <c r="F1583" s="36" t="s">
        <v>4869</v>
      </c>
      <c r="G1583" s="36" t="s">
        <v>4928</v>
      </c>
    </row>
    <row r="1584" ht="15.75" customHeight="1" spans="6:7">
      <c r="F1584" s="36" t="s">
        <v>4869</v>
      </c>
      <c r="G1584" s="36" t="s">
        <v>4929</v>
      </c>
    </row>
    <row r="1585" ht="15.75" customHeight="1" spans="6:7">
      <c r="F1585" s="36" t="s">
        <v>4869</v>
      </c>
      <c r="G1585" s="36" t="s">
        <v>4930</v>
      </c>
    </row>
    <row r="1586" ht="15.75" customHeight="1" spans="6:7">
      <c r="F1586" s="36" t="s">
        <v>4869</v>
      </c>
      <c r="G1586" s="36" t="s">
        <v>4931</v>
      </c>
    </row>
    <row r="1587" ht="15.75" customHeight="1" spans="6:7">
      <c r="F1587" s="36" t="s">
        <v>4869</v>
      </c>
      <c r="G1587" s="36" t="s">
        <v>4932</v>
      </c>
    </row>
    <row r="1588" ht="15.75" customHeight="1" spans="6:7">
      <c r="F1588" s="36" t="s">
        <v>4869</v>
      </c>
      <c r="G1588" s="36" t="s">
        <v>4933</v>
      </c>
    </row>
    <row r="1589" ht="15.75" customHeight="1" spans="6:7">
      <c r="F1589" s="36" t="s">
        <v>4869</v>
      </c>
      <c r="G1589" s="36" t="s">
        <v>4934</v>
      </c>
    </row>
    <row r="1590" ht="15.75" customHeight="1" spans="6:7">
      <c r="F1590" s="36" t="s">
        <v>4869</v>
      </c>
      <c r="G1590" s="36" t="s">
        <v>4935</v>
      </c>
    </row>
    <row r="1591" ht="15.75" customHeight="1" spans="6:7">
      <c r="F1591" s="36" t="s">
        <v>4869</v>
      </c>
      <c r="G1591" s="36" t="s">
        <v>4936</v>
      </c>
    </row>
    <row r="1592" ht="15.75" customHeight="1" spans="6:7">
      <c r="F1592" s="36" t="s">
        <v>4937</v>
      </c>
      <c r="G1592" s="36" t="s">
        <v>4938</v>
      </c>
    </row>
    <row r="1593" ht="15.75" customHeight="1" spans="6:7">
      <c r="F1593" s="36" t="s">
        <v>4937</v>
      </c>
      <c r="G1593" s="36" t="s">
        <v>4939</v>
      </c>
    </row>
    <row r="1594" ht="15.75" customHeight="1" spans="6:7">
      <c r="F1594" s="36" t="s">
        <v>4937</v>
      </c>
      <c r="G1594" s="36" t="s">
        <v>4940</v>
      </c>
    </row>
    <row r="1595" ht="15.75" customHeight="1" spans="6:7">
      <c r="F1595" s="36" t="s">
        <v>4937</v>
      </c>
      <c r="G1595" s="36" t="s">
        <v>4941</v>
      </c>
    </row>
    <row r="1596" ht="15.75" customHeight="1" spans="6:7">
      <c r="F1596" s="36" t="s">
        <v>4937</v>
      </c>
      <c r="G1596" s="36" t="s">
        <v>4942</v>
      </c>
    </row>
    <row r="1597" ht="15.75" customHeight="1" spans="6:7">
      <c r="F1597" s="36" t="s">
        <v>4937</v>
      </c>
      <c r="G1597" s="36" t="s">
        <v>4943</v>
      </c>
    </row>
    <row r="1598" ht="15.75" customHeight="1" spans="6:7">
      <c r="F1598" s="36" t="s">
        <v>4937</v>
      </c>
      <c r="G1598" s="36" t="s">
        <v>4937</v>
      </c>
    </row>
    <row r="1599" ht="15.75" customHeight="1" spans="6:7">
      <c r="F1599" s="36" t="s">
        <v>4937</v>
      </c>
      <c r="G1599" s="36" t="s">
        <v>4944</v>
      </c>
    </row>
    <row r="1600" ht="15.75" customHeight="1" spans="6:7">
      <c r="F1600" s="36" t="s">
        <v>4937</v>
      </c>
      <c r="G1600" s="36" t="s">
        <v>4945</v>
      </c>
    </row>
    <row r="1601" ht="15.75" customHeight="1" spans="6:7">
      <c r="F1601" s="36" t="s">
        <v>4937</v>
      </c>
      <c r="G1601" s="36" t="s">
        <v>4946</v>
      </c>
    </row>
    <row r="1602" ht="15.75" customHeight="1" spans="6:7">
      <c r="F1602" s="36" t="s">
        <v>4937</v>
      </c>
      <c r="G1602" s="36" t="s">
        <v>4947</v>
      </c>
    </row>
    <row r="1603" ht="15.75" customHeight="1" spans="6:7">
      <c r="F1603" s="36" t="s">
        <v>4937</v>
      </c>
      <c r="G1603" s="36" t="s">
        <v>4948</v>
      </c>
    </row>
    <row r="1604" ht="15.75" customHeight="1" spans="6:7">
      <c r="F1604" s="36" t="s">
        <v>4937</v>
      </c>
      <c r="G1604" s="36" t="s">
        <v>4949</v>
      </c>
    </row>
    <row r="1605" ht="15.75" customHeight="1" spans="6:7">
      <c r="F1605" s="36" t="s">
        <v>4937</v>
      </c>
      <c r="G1605" s="36" t="s">
        <v>4950</v>
      </c>
    </row>
    <row r="1606" ht="15.75" customHeight="1" spans="6:7">
      <c r="F1606" s="36" t="s">
        <v>4937</v>
      </c>
      <c r="G1606" s="36" t="s">
        <v>4951</v>
      </c>
    </row>
    <row r="1607" ht="15.75" customHeight="1" spans="6:7">
      <c r="F1607" s="36" t="s">
        <v>4937</v>
      </c>
      <c r="G1607" s="36" t="s">
        <v>4952</v>
      </c>
    </row>
    <row r="1608" ht="15.75" customHeight="1" spans="6:7">
      <c r="F1608" s="36" t="s">
        <v>4937</v>
      </c>
      <c r="G1608" s="36" t="s">
        <v>4953</v>
      </c>
    </row>
    <row r="1609" ht="15.75" customHeight="1" spans="6:7">
      <c r="F1609" s="36" t="s">
        <v>4937</v>
      </c>
      <c r="G1609" s="36" t="s">
        <v>4954</v>
      </c>
    </row>
    <row r="1610" ht="15.75" customHeight="1" spans="6:7">
      <c r="F1610" s="36" t="s">
        <v>4937</v>
      </c>
      <c r="G1610" s="36" t="s">
        <v>4955</v>
      </c>
    </row>
    <row r="1611" ht="15.75" customHeight="1" spans="6:7">
      <c r="F1611" s="36" t="s">
        <v>4937</v>
      </c>
      <c r="G1611" s="36" t="s">
        <v>4956</v>
      </c>
    </row>
    <row r="1612" ht="15.75" customHeight="1" spans="6:7">
      <c r="F1612" s="36" t="s">
        <v>4937</v>
      </c>
      <c r="G1612" s="36" t="s">
        <v>4957</v>
      </c>
    </row>
    <row r="1613" ht="15.75" customHeight="1" spans="6:7">
      <c r="F1613" s="36" t="s">
        <v>4937</v>
      </c>
      <c r="G1613" s="36" t="s">
        <v>4958</v>
      </c>
    </row>
    <row r="1614" ht="15.75" customHeight="1" spans="6:7">
      <c r="F1614" s="36" t="s">
        <v>4937</v>
      </c>
      <c r="G1614" s="36" t="s">
        <v>4959</v>
      </c>
    </row>
    <row r="1615" ht="15.75" customHeight="1" spans="6:7">
      <c r="F1615" s="36" t="s">
        <v>4937</v>
      </c>
      <c r="G1615" s="36" t="s">
        <v>4960</v>
      </c>
    </row>
    <row r="1616" ht="15.75" customHeight="1" spans="6:7">
      <c r="F1616" s="36" t="s">
        <v>4937</v>
      </c>
      <c r="G1616" s="36" t="s">
        <v>4961</v>
      </c>
    </row>
    <row r="1617" ht="15.75" customHeight="1" spans="6:7">
      <c r="F1617" s="36" t="s">
        <v>4937</v>
      </c>
      <c r="G1617" s="36" t="s">
        <v>4962</v>
      </c>
    </row>
    <row r="1618" ht="15.75" customHeight="1" spans="6:7">
      <c r="F1618" s="36" t="s">
        <v>4937</v>
      </c>
      <c r="G1618" s="36" t="s">
        <v>4963</v>
      </c>
    </row>
    <row r="1619" ht="15.75" customHeight="1" spans="6:7">
      <c r="F1619" s="36" t="s">
        <v>4937</v>
      </c>
      <c r="G1619" s="36" t="s">
        <v>4964</v>
      </c>
    </row>
    <row r="1620" ht="15.75" customHeight="1" spans="6:7">
      <c r="F1620" s="36" t="s">
        <v>4937</v>
      </c>
      <c r="G1620" s="36" t="s">
        <v>4965</v>
      </c>
    </row>
    <row r="1621" ht="15.75" customHeight="1" spans="6:7">
      <c r="F1621" s="36" t="s">
        <v>4937</v>
      </c>
      <c r="G1621" s="36" t="s">
        <v>4966</v>
      </c>
    </row>
    <row r="1622" ht="15.75" customHeight="1" spans="6:7">
      <c r="F1622" s="36" t="s">
        <v>4937</v>
      </c>
      <c r="G1622" s="36" t="s">
        <v>4967</v>
      </c>
    </row>
    <row r="1623" ht="15.75" customHeight="1" spans="6:7">
      <c r="F1623" s="36" t="s">
        <v>4937</v>
      </c>
      <c r="G1623" s="36" t="s">
        <v>4968</v>
      </c>
    </row>
    <row r="1624" ht="15.75" customHeight="1" spans="6:7">
      <c r="F1624" s="36" t="s">
        <v>4937</v>
      </c>
      <c r="G1624" s="36" t="s">
        <v>4969</v>
      </c>
    </row>
    <row r="1625" ht="15.75" customHeight="1" spans="6:7">
      <c r="F1625" s="36" t="s">
        <v>4937</v>
      </c>
      <c r="G1625" s="36" t="s">
        <v>4970</v>
      </c>
    </row>
    <row r="1626" ht="15.75" customHeight="1" spans="6:7">
      <c r="F1626" s="36" t="s">
        <v>4937</v>
      </c>
      <c r="G1626" s="36" t="s">
        <v>4971</v>
      </c>
    </row>
    <row r="1627" ht="15.75" customHeight="1" spans="6:7">
      <c r="F1627" s="36" t="s">
        <v>4937</v>
      </c>
      <c r="G1627" s="36" t="s">
        <v>4972</v>
      </c>
    </row>
    <row r="1628" ht="15.75" customHeight="1" spans="6:7">
      <c r="F1628" s="36" t="s">
        <v>4937</v>
      </c>
      <c r="G1628" s="36" t="s">
        <v>4973</v>
      </c>
    </row>
    <row r="1629" ht="15.75" customHeight="1" spans="6:7">
      <c r="F1629" s="36" t="s">
        <v>4937</v>
      </c>
      <c r="G1629" s="36" t="s">
        <v>4974</v>
      </c>
    </row>
    <row r="1630" ht="15.75" customHeight="1" spans="6:7">
      <c r="F1630" s="36" t="s">
        <v>4937</v>
      </c>
      <c r="G1630" s="36" t="s">
        <v>4975</v>
      </c>
    </row>
    <row r="1631" ht="15.75" customHeight="1" spans="6:7">
      <c r="F1631" s="36" t="s">
        <v>4937</v>
      </c>
      <c r="G1631" s="36" t="s">
        <v>4976</v>
      </c>
    </row>
    <row r="1632" ht="15.75" customHeight="1" spans="6:7">
      <c r="F1632" s="36" t="s">
        <v>4937</v>
      </c>
      <c r="G1632" s="36" t="s">
        <v>4977</v>
      </c>
    </row>
    <row r="1633" ht="15.75" customHeight="1" spans="6:7">
      <c r="F1633" s="36" t="s">
        <v>4937</v>
      </c>
      <c r="G1633" s="36" t="s">
        <v>4978</v>
      </c>
    </row>
    <row r="1634" ht="15.75" customHeight="1" spans="6:7">
      <c r="F1634" s="36" t="s">
        <v>4937</v>
      </c>
      <c r="G1634" s="36" t="s">
        <v>4979</v>
      </c>
    </row>
    <row r="1635" ht="15.75" customHeight="1" spans="6:7">
      <c r="F1635" s="36" t="s">
        <v>4937</v>
      </c>
      <c r="G1635" s="36" t="s">
        <v>4980</v>
      </c>
    </row>
    <row r="1636" ht="15.75" customHeight="1" spans="6:7">
      <c r="F1636" s="36" t="s">
        <v>4937</v>
      </c>
      <c r="G1636" s="36" t="s">
        <v>4981</v>
      </c>
    </row>
    <row r="1637" ht="15.75" customHeight="1" spans="6:7">
      <c r="F1637" s="36" t="s">
        <v>4937</v>
      </c>
      <c r="G1637" s="36" t="s">
        <v>4982</v>
      </c>
    </row>
    <row r="1638" ht="15.75" customHeight="1" spans="6:7">
      <c r="F1638" s="36" t="s">
        <v>4937</v>
      </c>
      <c r="G1638" s="36" t="s">
        <v>4983</v>
      </c>
    </row>
    <row r="1639" ht="15.75" customHeight="1" spans="6:7">
      <c r="F1639" s="36" t="s">
        <v>4937</v>
      </c>
      <c r="G1639" s="36" t="s">
        <v>4984</v>
      </c>
    </row>
    <row r="1640" ht="15.75" customHeight="1" spans="6:7">
      <c r="F1640" s="36" t="s">
        <v>4937</v>
      </c>
      <c r="G1640" s="36" t="s">
        <v>4985</v>
      </c>
    </row>
    <row r="1641" ht="15.75" customHeight="1" spans="6:7">
      <c r="F1641" s="36" t="s">
        <v>4937</v>
      </c>
      <c r="G1641" s="36" t="s">
        <v>4986</v>
      </c>
    </row>
    <row r="1642" ht="15.75" customHeight="1" spans="6:7">
      <c r="F1642" s="36" t="s">
        <v>4937</v>
      </c>
      <c r="G1642" s="36" t="s">
        <v>4987</v>
      </c>
    </row>
    <row r="1643" ht="15.75" customHeight="1" spans="6:7">
      <c r="F1643" s="36" t="s">
        <v>4937</v>
      </c>
      <c r="G1643" s="36" t="s">
        <v>4988</v>
      </c>
    </row>
    <row r="1644" ht="15.75" customHeight="1" spans="6:7">
      <c r="F1644" s="36" t="s">
        <v>4937</v>
      </c>
      <c r="G1644" s="36" t="s">
        <v>4989</v>
      </c>
    </row>
    <row r="1645" ht="15.75" customHeight="1" spans="6:7">
      <c r="F1645" s="36" t="s">
        <v>4937</v>
      </c>
      <c r="G1645" s="36" t="s">
        <v>4990</v>
      </c>
    </row>
    <row r="1646" ht="15.75" customHeight="1" spans="6:7">
      <c r="F1646" s="36" t="s">
        <v>4937</v>
      </c>
      <c r="G1646" s="36" t="s">
        <v>4991</v>
      </c>
    </row>
    <row r="1647" ht="15.75" customHeight="1" spans="6:7">
      <c r="F1647" s="36" t="s">
        <v>4937</v>
      </c>
      <c r="G1647" s="36" t="s">
        <v>4992</v>
      </c>
    </row>
    <row r="1648" ht="15.75" customHeight="1" spans="6:7">
      <c r="F1648" s="36" t="s">
        <v>4937</v>
      </c>
      <c r="G1648" s="36" t="s">
        <v>4993</v>
      </c>
    </row>
    <row r="1649" ht="15.75" customHeight="1" spans="6:7">
      <c r="F1649" s="36" t="s">
        <v>4937</v>
      </c>
      <c r="G1649" s="36" t="s">
        <v>4994</v>
      </c>
    </row>
    <row r="1650" ht="15.75" customHeight="1" spans="6:7">
      <c r="F1650" s="36" t="s">
        <v>4937</v>
      </c>
      <c r="G1650" s="36" t="s">
        <v>4995</v>
      </c>
    </row>
    <row r="1651" ht="15.75" customHeight="1" spans="6:7">
      <c r="F1651" s="36" t="s">
        <v>4937</v>
      </c>
      <c r="G1651" s="36" t="s">
        <v>4996</v>
      </c>
    </row>
    <row r="1652" ht="15.75" customHeight="1" spans="6:7">
      <c r="F1652" s="36" t="s">
        <v>4937</v>
      </c>
      <c r="G1652" s="36" t="s">
        <v>4997</v>
      </c>
    </row>
    <row r="1653" ht="15.75" customHeight="1" spans="6:7">
      <c r="F1653" s="36" t="s">
        <v>4937</v>
      </c>
      <c r="G1653" s="36" t="s">
        <v>4998</v>
      </c>
    </row>
    <row r="1654" ht="15.75" customHeight="1" spans="6:7">
      <c r="F1654" s="36" t="s">
        <v>4937</v>
      </c>
      <c r="G1654" s="36" t="s">
        <v>4999</v>
      </c>
    </row>
    <row r="1655" ht="15.75" customHeight="1" spans="6:7">
      <c r="F1655" s="36" t="s">
        <v>4937</v>
      </c>
      <c r="G1655" s="36" t="s">
        <v>5000</v>
      </c>
    </row>
    <row r="1656" ht="15.75" customHeight="1" spans="6:7">
      <c r="F1656" s="36" t="s">
        <v>4937</v>
      </c>
      <c r="G1656" s="36" t="s">
        <v>5001</v>
      </c>
    </row>
    <row r="1657" ht="15.75" customHeight="1" spans="6:7">
      <c r="F1657" s="36" t="s">
        <v>4937</v>
      </c>
      <c r="G1657" s="36" t="s">
        <v>5002</v>
      </c>
    </row>
    <row r="1658" ht="15.75" customHeight="1" spans="6:7">
      <c r="F1658" s="36" t="s">
        <v>4937</v>
      </c>
      <c r="G1658" s="36" t="s">
        <v>5003</v>
      </c>
    </row>
    <row r="1659" ht="15.75" customHeight="1" spans="6:7">
      <c r="F1659" s="36" t="s">
        <v>4937</v>
      </c>
      <c r="G1659" s="36" t="s">
        <v>5004</v>
      </c>
    </row>
    <row r="1660" ht="15.75" customHeight="1" spans="6:7">
      <c r="F1660" s="36" t="s">
        <v>4937</v>
      </c>
      <c r="G1660" s="36" t="s">
        <v>5005</v>
      </c>
    </row>
    <row r="1661" ht="15.75" customHeight="1" spans="6:7">
      <c r="F1661" s="36" t="s">
        <v>4937</v>
      </c>
      <c r="G1661" s="36" t="s">
        <v>5006</v>
      </c>
    </row>
    <row r="1662" ht="15.75" customHeight="1" spans="6:7">
      <c r="F1662" s="36" t="s">
        <v>4937</v>
      </c>
      <c r="G1662" s="36" t="s">
        <v>5007</v>
      </c>
    </row>
    <row r="1663" ht="15.75" customHeight="1" spans="6:7">
      <c r="F1663" s="36" t="s">
        <v>4937</v>
      </c>
      <c r="G1663" s="36" t="s">
        <v>5008</v>
      </c>
    </row>
    <row r="1664" ht="15.75" customHeight="1" spans="6:7">
      <c r="F1664" s="36" t="s">
        <v>4937</v>
      </c>
      <c r="G1664" s="36" t="s">
        <v>5009</v>
      </c>
    </row>
    <row r="1665" ht="15.75" customHeight="1" spans="6:7">
      <c r="F1665" s="36" t="s">
        <v>4937</v>
      </c>
      <c r="G1665" s="36" t="s">
        <v>5010</v>
      </c>
    </row>
    <row r="1666" ht="15.75" customHeight="1" spans="6:7">
      <c r="F1666" s="36" t="s">
        <v>4937</v>
      </c>
      <c r="G1666" s="36" t="s">
        <v>5011</v>
      </c>
    </row>
    <row r="1667" ht="15.75" customHeight="1" spans="6:7">
      <c r="F1667" s="36" t="s">
        <v>4937</v>
      </c>
      <c r="G1667" s="36" t="s">
        <v>5012</v>
      </c>
    </row>
    <row r="1668" ht="15.75" customHeight="1" spans="6:7">
      <c r="F1668" s="36" t="s">
        <v>4937</v>
      </c>
      <c r="G1668" s="36" t="s">
        <v>5013</v>
      </c>
    </row>
    <row r="1669" ht="15.75" customHeight="1" spans="6:7">
      <c r="F1669" s="36" t="s">
        <v>4937</v>
      </c>
      <c r="G1669" s="36" t="s">
        <v>5014</v>
      </c>
    </row>
    <row r="1670" ht="15.75" customHeight="1" spans="6:7">
      <c r="F1670" s="36" t="s">
        <v>4937</v>
      </c>
      <c r="G1670" s="36" t="s">
        <v>5015</v>
      </c>
    </row>
    <row r="1671" ht="15.75" customHeight="1" spans="6:7">
      <c r="F1671" s="36" t="s">
        <v>4937</v>
      </c>
      <c r="G1671" s="36" t="s">
        <v>5016</v>
      </c>
    </row>
    <row r="1672" ht="15.75" customHeight="1" spans="6:7">
      <c r="F1672" s="36" t="s">
        <v>4937</v>
      </c>
      <c r="G1672" s="36" t="s">
        <v>5017</v>
      </c>
    </row>
    <row r="1673" ht="15.75" customHeight="1" spans="6:7">
      <c r="F1673" s="36" t="s">
        <v>4937</v>
      </c>
      <c r="G1673" s="36" t="s">
        <v>5018</v>
      </c>
    </row>
    <row r="1674" ht="15.75" customHeight="1" spans="6:7">
      <c r="F1674" s="36" t="s">
        <v>4937</v>
      </c>
      <c r="G1674" s="36" t="s">
        <v>5019</v>
      </c>
    </row>
    <row r="1675" ht="15.75" customHeight="1" spans="6:7">
      <c r="F1675" s="36" t="s">
        <v>4937</v>
      </c>
      <c r="G1675" s="36" t="s">
        <v>5020</v>
      </c>
    </row>
    <row r="1676" ht="15.75" customHeight="1" spans="6:7">
      <c r="F1676" s="36" t="s">
        <v>4937</v>
      </c>
      <c r="G1676" s="36" t="s">
        <v>5021</v>
      </c>
    </row>
    <row r="1677" ht="15.75" customHeight="1" spans="6:7">
      <c r="F1677" s="36" t="s">
        <v>4937</v>
      </c>
      <c r="G1677" s="36" t="s">
        <v>5022</v>
      </c>
    </row>
    <row r="1678" ht="15.75" customHeight="1" spans="6:7">
      <c r="F1678" s="36" t="s">
        <v>4937</v>
      </c>
      <c r="G1678" s="36" t="s">
        <v>5023</v>
      </c>
    </row>
    <row r="1679" ht="15.75" customHeight="1" spans="6:7">
      <c r="F1679" s="36" t="s">
        <v>4937</v>
      </c>
      <c r="G1679" s="36" t="s">
        <v>5024</v>
      </c>
    </row>
    <row r="1680" ht="15.75" customHeight="1" spans="6:7">
      <c r="F1680" s="36" t="s">
        <v>4937</v>
      </c>
      <c r="G1680" s="36" t="s">
        <v>5025</v>
      </c>
    </row>
    <row r="1681" ht="15.75" customHeight="1" spans="6:7">
      <c r="F1681" s="36" t="s">
        <v>4937</v>
      </c>
      <c r="G1681" s="36" t="s">
        <v>5026</v>
      </c>
    </row>
    <row r="1682" ht="15.75" customHeight="1" spans="6:7">
      <c r="F1682" s="36" t="s">
        <v>4937</v>
      </c>
      <c r="G1682" s="36" t="s">
        <v>5027</v>
      </c>
    </row>
    <row r="1683" ht="15.75" customHeight="1" spans="6:7">
      <c r="F1683" s="36" t="s">
        <v>4937</v>
      </c>
      <c r="G1683" s="36" t="s">
        <v>5028</v>
      </c>
    </row>
    <row r="1684" ht="15.75" customHeight="1" spans="6:7">
      <c r="F1684" s="36" t="s">
        <v>4937</v>
      </c>
      <c r="G1684" s="36" t="s">
        <v>5029</v>
      </c>
    </row>
    <row r="1685" ht="15.75" customHeight="1" spans="6:7">
      <c r="F1685" s="36" t="s">
        <v>4937</v>
      </c>
      <c r="G1685" s="36" t="s">
        <v>5030</v>
      </c>
    </row>
    <row r="1686" ht="15.75" customHeight="1" spans="6:7">
      <c r="F1686" s="36" t="s">
        <v>4937</v>
      </c>
      <c r="G1686" s="36" t="s">
        <v>5031</v>
      </c>
    </row>
    <row r="1687" ht="15.75" customHeight="1" spans="6:7">
      <c r="F1687" s="36" t="s">
        <v>4937</v>
      </c>
      <c r="G1687" s="36" t="s">
        <v>5032</v>
      </c>
    </row>
    <row r="1688" ht="15.75" customHeight="1" spans="6:7">
      <c r="F1688" s="36" t="s">
        <v>4937</v>
      </c>
      <c r="G1688" s="36" t="s">
        <v>5033</v>
      </c>
    </row>
    <row r="1689" ht="15.75" customHeight="1" spans="6:7">
      <c r="F1689" s="36" t="s">
        <v>4937</v>
      </c>
      <c r="G1689" s="36" t="s">
        <v>5034</v>
      </c>
    </row>
    <row r="1690" ht="15.75" customHeight="1" spans="6:7">
      <c r="F1690" s="36" t="s">
        <v>4937</v>
      </c>
      <c r="G1690" s="36" t="s">
        <v>5035</v>
      </c>
    </row>
    <row r="1691" ht="15.75" customHeight="1" spans="6:7">
      <c r="F1691" s="36" t="s">
        <v>5036</v>
      </c>
      <c r="G1691" s="36" t="s">
        <v>35</v>
      </c>
    </row>
    <row r="1692" ht="15.75" customHeight="1" spans="6:7">
      <c r="F1692" s="36" t="s">
        <v>5036</v>
      </c>
      <c r="G1692" s="36" t="s">
        <v>5036</v>
      </c>
    </row>
    <row r="1693" ht="15.75" customHeight="1" spans="6:7">
      <c r="F1693" s="36" t="s">
        <v>5036</v>
      </c>
      <c r="G1693" s="36" t="s">
        <v>5037</v>
      </c>
    </row>
    <row r="1694" ht="15.75" customHeight="1" spans="6:7">
      <c r="F1694" s="36" t="s">
        <v>5036</v>
      </c>
      <c r="G1694" s="36" t="s">
        <v>5038</v>
      </c>
    </row>
    <row r="1695" ht="15.75" customHeight="1" spans="6:7">
      <c r="F1695" s="36" t="s">
        <v>5036</v>
      </c>
      <c r="G1695" s="36" t="s">
        <v>5024</v>
      </c>
    </row>
    <row r="1696" ht="15.75" customHeight="1" spans="6:7">
      <c r="F1696" s="36" t="s">
        <v>5036</v>
      </c>
      <c r="G1696" s="36" t="s">
        <v>5039</v>
      </c>
    </row>
    <row r="1697" ht="15.75" customHeight="1" spans="6:7">
      <c r="F1697" s="36" t="s">
        <v>5036</v>
      </c>
      <c r="G1697" s="36" t="s">
        <v>5040</v>
      </c>
    </row>
    <row r="1698" ht="15.75" customHeight="1" spans="6:7">
      <c r="F1698" s="36" t="s">
        <v>5036</v>
      </c>
      <c r="G1698" s="36" t="s">
        <v>5000</v>
      </c>
    </row>
    <row r="1699" ht="15.75" customHeight="1" spans="6:7">
      <c r="F1699" s="36" t="s">
        <v>5036</v>
      </c>
      <c r="G1699" s="36" t="s">
        <v>5041</v>
      </c>
    </row>
    <row r="1700" ht="15.75" customHeight="1" spans="6:7">
      <c r="F1700" s="36" t="s">
        <v>5036</v>
      </c>
      <c r="G1700" s="36" t="s">
        <v>5042</v>
      </c>
    </row>
    <row r="1701" ht="15.75" customHeight="1" spans="6:7">
      <c r="F1701" s="36" t="s">
        <v>5036</v>
      </c>
      <c r="G1701" s="36" t="s">
        <v>5043</v>
      </c>
    </row>
    <row r="1702" ht="15.75" customHeight="1" spans="6:7">
      <c r="F1702" s="36" t="s">
        <v>5036</v>
      </c>
      <c r="G1702" s="36" t="s">
        <v>4938</v>
      </c>
    </row>
    <row r="1703" ht="15.75" customHeight="1" spans="6:7">
      <c r="F1703" s="36" t="s">
        <v>5036</v>
      </c>
      <c r="G1703" s="36" t="s">
        <v>5044</v>
      </c>
    </row>
    <row r="1704" ht="15.75" customHeight="1" spans="6:7">
      <c r="F1704" s="36" t="s">
        <v>5036</v>
      </c>
      <c r="G1704" s="36" t="s">
        <v>5045</v>
      </c>
    </row>
    <row r="1705" ht="15.75" customHeight="1" spans="6:7">
      <c r="F1705" s="36" t="s">
        <v>5036</v>
      </c>
      <c r="G1705" s="36" t="s">
        <v>5046</v>
      </c>
    </row>
    <row r="1706" ht="15.75" customHeight="1" spans="6:7">
      <c r="F1706" s="36" t="s">
        <v>5036</v>
      </c>
      <c r="G1706" s="36" t="s">
        <v>5047</v>
      </c>
    </row>
    <row r="1707" ht="15.75" customHeight="1" spans="6:7">
      <c r="F1707" s="36" t="s">
        <v>5036</v>
      </c>
      <c r="G1707" s="36" t="s">
        <v>5048</v>
      </c>
    </row>
    <row r="1708" ht="15.75" customHeight="1" spans="6:7">
      <c r="F1708" s="36" t="s">
        <v>5036</v>
      </c>
      <c r="G1708" s="36" t="s">
        <v>5049</v>
      </c>
    </row>
    <row r="1709" ht="15.75" customHeight="1" spans="6:7">
      <c r="F1709" s="36" t="s">
        <v>5036</v>
      </c>
      <c r="G1709" s="36" t="s">
        <v>5050</v>
      </c>
    </row>
    <row r="1710" ht="15.75" customHeight="1" spans="6:7">
      <c r="F1710" s="36" t="s">
        <v>5036</v>
      </c>
      <c r="G1710" s="36" t="s">
        <v>5051</v>
      </c>
    </row>
    <row r="1711" ht="15.75" customHeight="1" spans="6:7">
      <c r="F1711" s="36" t="s">
        <v>5036</v>
      </c>
      <c r="G1711" s="36" t="s">
        <v>5052</v>
      </c>
    </row>
    <row r="1712" ht="15.75" customHeight="1" spans="6:7">
      <c r="F1712" s="36" t="s">
        <v>5036</v>
      </c>
      <c r="G1712" s="36" t="s">
        <v>5053</v>
      </c>
    </row>
    <row r="1713" ht="15.75" customHeight="1" spans="6:7">
      <c r="F1713" s="36" t="s">
        <v>5036</v>
      </c>
      <c r="G1713" s="36" t="s">
        <v>5054</v>
      </c>
    </row>
    <row r="1714" ht="15.75" customHeight="1" spans="6:7">
      <c r="F1714" s="36" t="s">
        <v>5036</v>
      </c>
      <c r="G1714" s="36" t="s">
        <v>4948</v>
      </c>
    </row>
    <row r="1715" ht="15.75" customHeight="1" spans="6:7">
      <c r="F1715" s="36" t="s">
        <v>5036</v>
      </c>
      <c r="G1715" s="36" t="s">
        <v>4942</v>
      </c>
    </row>
    <row r="1716" ht="15.75" customHeight="1" spans="6:7">
      <c r="F1716" s="36" t="s">
        <v>5036</v>
      </c>
      <c r="G1716" s="36" t="s">
        <v>5055</v>
      </c>
    </row>
    <row r="1717" ht="15.75" customHeight="1" spans="6:7">
      <c r="F1717" s="36" t="s">
        <v>5036</v>
      </c>
      <c r="G1717" s="36" t="s">
        <v>5056</v>
      </c>
    </row>
    <row r="1718" ht="15.75" customHeight="1" spans="6:7">
      <c r="F1718" s="36" t="s">
        <v>40</v>
      </c>
      <c r="G1718" s="36" t="s">
        <v>40</v>
      </c>
    </row>
    <row r="1719" ht="15.75" customHeight="1" spans="6:7">
      <c r="F1719" s="36" t="s">
        <v>40</v>
      </c>
      <c r="G1719" s="36" t="s">
        <v>5057</v>
      </c>
    </row>
    <row r="1720" ht="15.75" customHeight="1" spans="6:7">
      <c r="F1720" s="36" t="s">
        <v>40</v>
      </c>
      <c r="G1720" s="36" t="s">
        <v>5058</v>
      </c>
    </row>
    <row r="1721" ht="15.75" customHeight="1" spans="6:7">
      <c r="F1721" s="36" t="s">
        <v>40</v>
      </c>
      <c r="G1721" s="36" t="s">
        <v>5059</v>
      </c>
    </row>
    <row r="1722" ht="15.75" customHeight="1" spans="6:7">
      <c r="F1722" s="36" t="s">
        <v>40</v>
      </c>
      <c r="G1722" s="36" t="s">
        <v>5060</v>
      </c>
    </row>
    <row r="1723" ht="15.75" customHeight="1" spans="6:7">
      <c r="F1723" s="36" t="s">
        <v>40</v>
      </c>
      <c r="G1723" s="36" t="s">
        <v>5061</v>
      </c>
    </row>
    <row r="1724" ht="15.75" customHeight="1" spans="6:7">
      <c r="F1724" s="36" t="s">
        <v>40</v>
      </c>
      <c r="G1724" s="36" t="s">
        <v>5062</v>
      </c>
    </row>
    <row r="1725" ht="15.75" customHeight="1" spans="6:7">
      <c r="F1725" s="36" t="s">
        <v>40</v>
      </c>
      <c r="G1725" s="36" t="s">
        <v>5063</v>
      </c>
    </row>
    <row r="1726" ht="15.75" customHeight="1" spans="6:7">
      <c r="F1726" s="36" t="s">
        <v>40</v>
      </c>
      <c r="G1726" s="36" t="s">
        <v>5064</v>
      </c>
    </row>
    <row r="1727" ht="15.75" customHeight="1" spans="6:7">
      <c r="F1727" s="36" t="s">
        <v>40</v>
      </c>
      <c r="G1727" s="36" t="s">
        <v>5065</v>
      </c>
    </row>
    <row r="1728" ht="15.75" customHeight="1" spans="6:7">
      <c r="F1728" s="36" t="s">
        <v>40</v>
      </c>
      <c r="G1728" s="36" t="s">
        <v>3439</v>
      </c>
    </row>
    <row r="1729" ht="15.75" customHeight="1" spans="6:7">
      <c r="F1729" s="36" t="s">
        <v>40</v>
      </c>
      <c r="G1729" s="36" t="s">
        <v>5066</v>
      </c>
    </row>
    <row r="1730" ht="15.75" customHeight="1" spans="6:7">
      <c r="F1730" s="36" t="s">
        <v>40</v>
      </c>
      <c r="G1730" s="36" t="s">
        <v>5067</v>
      </c>
    </row>
    <row r="1731" ht="15.75" customHeight="1" spans="6:7">
      <c r="F1731" s="36" t="s">
        <v>40</v>
      </c>
      <c r="G1731" s="36" t="s">
        <v>5068</v>
      </c>
    </row>
    <row r="1732" ht="15.75" customHeight="1" spans="6:7">
      <c r="F1732" s="36" t="s">
        <v>40</v>
      </c>
      <c r="G1732" s="36" t="s">
        <v>5069</v>
      </c>
    </row>
    <row r="1733" ht="15.75" customHeight="1" spans="6:7">
      <c r="F1733" s="36" t="s">
        <v>40</v>
      </c>
      <c r="G1733" s="36" t="s">
        <v>5070</v>
      </c>
    </row>
    <row r="1734" ht="15.75" customHeight="1" spans="6:7">
      <c r="F1734" s="36" t="s">
        <v>40</v>
      </c>
      <c r="G1734" s="36" t="s">
        <v>5071</v>
      </c>
    </row>
    <row r="1735" ht="15.75" customHeight="1" spans="6:7">
      <c r="F1735" s="36" t="s">
        <v>40</v>
      </c>
      <c r="G1735" s="36" t="s">
        <v>5072</v>
      </c>
    </row>
    <row r="1736" ht="15.75" customHeight="1" spans="6:7">
      <c r="F1736" s="36" t="s">
        <v>40</v>
      </c>
      <c r="G1736" s="36" t="s">
        <v>5073</v>
      </c>
    </row>
    <row r="1737" ht="15.75" customHeight="1" spans="6:7">
      <c r="F1737" s="36" t="s">
        <v>40</v>
      </c>
      <c r="G1737" s="36" t="s">
        <v>5074</v>
      </c>
    </row>
    <row r="1738" ht="15.75" customHeight="1" spans="6:7">
      <c r="F1738" s="36" t="s">
        <v>40</v>
      </c>
      <c r="G1738" s="36" t="s">
        <v>5075</v>
      </c>
    </row>
    <row r="1739" ht="15.75" customHeight="1" spans="6:7">
      <c r="F1739" s="36" t="s">
        <v>40</v>
      </c>
      <c r="G1739" s="36" t="s">
        <v>5076</v>
      </c>
    </row>
    <row r="1740" ht="15.75" customHeight="1" spans="6:7">
      <c r="F1740" s="36" t="s">
        <v>40</v>
      </c>
      <c r="G1740" s="36" t="s">
        <v>5077</v>
      </c>
    </row>
    <row r="1741" ht="15.75" customHeight="1" spans="6:7">
      <c r="F1741" s="36" t="s">
        <v>40</v>
      </c>
      <c r="G1741" s="36" t="s">
        <v>5078</v>
      </c>
    </row>
    <row r="1742" ht="15.75" customHeight="1" spans="6:7">
      <c r="F1742" s="36" t="s">
        <v>40</v>
      </c>
      <c r="G1742" s="36" t="s">
        <v>5079</v>
      </c>
    </row>
    <row r="1743" ht="15.75" customHeight="1" spans="6:7">
      <c r="F1743" s="36" t="s">
        <v>40</v>
      </c>
      <c r="G1743" s="36" t="s">
        <v>5080</v>
      </c>
    </row>
    <row r="1744" ht="15.75" customHeight="1" spans="6:7">
      <c r="F1744" s="36" t="s">
        <v>40</v>
      </c>
      <c r="G1744" s="36" t="s">
        <v>5081</v>
      </c>
    </row>
    <row r="1745" ht="15.75" customHeight="1" spans="6:7">
      <c r="F1745" s="36" t="s">
        <v>40</v>
      </c>
      <c r="G1745" s="36" t="s">
        <v>5082</v>
      </c>
    </row>
    <row r="1746" ht="15.75" customHeight="1" spans="6:7">
      <c r="F1746" s="36" t="s">
        <v>40</v>
      </c>
      <c r="G1746" s="36" t="s">
        <v>5083</v>
      </c>
    </row>
    <row r="1747" ht="15.75" customHeight="1" spans="6:7">
      <c r="F1747" s="36" t="s">
        <v>40</v>
      </c>
      <c r="G1747" s="36" t="s">
        <v>5084</v>
      </c>
    </row>
    <row r="1748" ht="15.75" customHeight="1" spans="6:7">
      <c r="F1748" s="36" t="s">
        <v>40</v>
      </c>
      <c r="G1748" s="36" t="s">
        <v>5085</v>
      </c>
    </row>
    <row r="1749" ht="15.75" customHeight="1" spans="6:7">
      <c r="F1749" s="36" t="s">
        <v>40</v>
      </c>
      <c r="G1749" s="36" t="s">
        <v>5086</v>
      </c>
    </row>
    <row r="1750" ht="15.75" customHeight="1" spans="6:7">
      <c r="F1750" s="36" t="s">
        <v>40</v>
      </c>
      <c r="G1750" s="36" t="s">
        <v>5087</v>
      </c>
    </row>
    <row r="1751" ht="15.75" customHeight="1" spans="6:7">
      <c r="F1751" s="36" t="s">
        <v>40</v>
      </c>
      <c r="G1751" s="36" t="s">
        <v>5088</v>
      </c>
    </row>
    <row r="1752" ht="15.75" customHeight="1" spans="6:7">
      <c r="F1752" s="36" t="s">
        <v>40</v>
      </c>
      <c r="G1752" s="36" t="s">
        <v>5089</v>
      </c>
    </row>
    <row r="1753" ht="15.75" customHeight="1" spans="6:7">
      <c r="F1753" s="36" t="s">
        <v>40</v>
      </c>
      <c r="G1753" s="36" t="s">
        <v>5090</v>
      </c>
    </row>
    <row r="1754" ht="15.75" customHeight="1" spans="6:7">
      <c r="F1754" s="36" t="s">
        <v>40</v>
      </c>
      <c r="G1754" s="36" t="s">
        <v>5091</v>
      </c>
    </row>
    <row r="1755" ht="15.75" customHeight="1" spans="6:7">
      <c r="F1755" s="36" t="s">
        <v>40</v>
      </c>
      <c r="G1755" s="36" t="s">
        <v>5092</v>
      </c>
    </row>
    <row r="1756" ht="15.75" customHeight="1" spans="6:7">
      <c r="F1756" s="36" t="s">
        <v>40</v>
      </c>
      <c r="G1756" s="36" t="s">
        <v>5093</v>
      </c>
    </row>
    <row r="1757" ht="15.75" customHeight="1" spans="6:7">
      <c r="F1757" s="36" t="s">
        <v>40</v>
      </c>
      <c r="G1757" s="36" t="s">
        <v>5094</v>
      </c>
    </row>
    <row r="1758" ht="15.75" customHeight="1" spans="6:7">
      <c r="F1758" s="36" t="s">
        <v>40</v>
      </c>
      <c r="G1758" s="36" t="s">
        <v>5095</v>
      </c>
    </row>
    <row r="1759" ht="15.75" customHeight="1" spans="6:7">
      <c r="F1759" s="36" t="s">
        <v>40</v>
      </c>
      <c r="G1759" s="36" t="s">
        <v>5096</v>
      </c>
    </row>
    <row r="1760" ht="15.75" customHeight="1" spans="6:7">
      <c r="F1760" s="36" t="s">
        <v>40</v>
      </c>
      <c r="G1760" s="36" t="s">
        <v>5097</v>
      </c>
    </row>
    <row r="1761" ht="15.75" customHeight="1" spans="6:7">
      <c r="F1761" s="36" t="s">
        <v>40</v>
      </c>
      <c r="G1761" s="36" t="s">
        <v>5098</v>
      </c>
    </row>
    <row r="1762" ht="15.75" customHeight="1" spans="6:7">
      <c r="F1762" s="36" t="s">
        <v>40</v>
      </c>
      <c r="G1762" s="36" t="s">
        <v>5099</v>
      </c>
    </row>
    <row r="1763" ht="15.75" customHeight="1" spans="6:7">
      <c r="F1763" s="36" t="s">
        <v>40</v>
      </c>
      <c r="G1763" s="36" t="s">
        <v>5100</v>
      </c>
    </row>
    <row r="1764" ht="15.75" customHeight="1" spans="6:7">
      <c r="F1764" s="36" t="s">
        <v>40</v>
      </c>
      <c r="G1764" s="36" t="s">
        <v>5101</v>
      </c>
    </row>
    <row r="1765" ht="15.75" customHeight="1" spans="6:7">
      <c r="F1765" s="36" t="s">
        <v>40</v>
      </c>
      <c r="G1765" s="36" t="s">
        <v>5102</v>
      </c>
    </row>
    <row r="1766" ht="15.75" customHeight="1" spans="6:7">
      <c r="F1766" s="36" t="s">
        <v>5103</v>
      </c>
      <c r="G1766" s="36" t="s">
        <v>39</v>
      </c>
    </row>
    <row r="1767" ht="15.75" customHeight="1" spans="6:7">
      <c r="F1767" s="36" t="s">
        <v>5103</v>
      </c>
      <c r="G1767" s="36" t="s">
        <v>5104</v>
      </c>
    </row>
    <row r="1768" ht="15.75" customHeight="1" spans="6:7">
      <c r="F1768" s="36" t="s">
        <v>5103</v>
      </c>
      <c r="G1768" s="36" t="s">
        <v>5103</v>
      </c>
    </row>
    <row r="1769" ht="15.75" customHeight="1" spans="6:7">
      <c r="F1769" s="36" t="s">
        <v>5103</v>
      </c>
      <c r="G1769" s="36" t="s">
        <v>5105</v>
      </c>
    </row>
    <row r="1770" ht="15.75" customHeight="1" spans="6:7">
      <c r="F1770" s="36" t="s">
        <v>5103</v>
      </c>
      <c r="G1770" s="36" t="s">
        <v>5106</v>
      </c>
    </row>
    <row r="1771" ht="15.75" customHeight="1" spans="6:7">
      <c r="F1771" s="36" t="s">
        <v>5103</v>
      </c>
      <c r="G1771" s="36" t="s">
        <v>5107</v>
      </c>
    </row>
    <row r="1772" ht="15.75" customHeight="1" spans="6:7">
      <c r="F1772" s="36" t="s">
        <v>5103</v>
      </c>
      <c r="G1772" s="36" t="s">
        <v>5108</v>
      </c>
    </row>
    <row r="1773" ht="15.75" customHeight="1" spans="6:7">
      <c r="F1773" s="36" t="s">
        <v>5103</v>
      </c>
      <c r="G1773" s="36" t="s">
        <v>5109</v>
      </c>
    </row>
    <row r="1774" ht="15.75" customHeight="1" spans="6:7">
      <c r="F1774" s="36" t="s">
        <v>5103</v>
      </c>
      <c r="G1774" s="36" t="s">
        <v>5110</v>
      </c>
    </row>
    <row r="1775" ht="15.75" customHeight="1" spans="6:7">
      <c r="F1775" s="36" t="s">
        <v>5103</v>
      </c>
      <c r="G1775" s="36" t="s">
        <v>5111</v>
      </c>
    </row>
    <row r="1776" ht="15.75" customHeight="1" spans="6:7">
      <c r="F1776" s="36" t="s">
        <v>5103</v>
      </c>
      <c r="G1776" s="36" t="s">
        <v>5112</v>
      </c>
    </row>
    <row r="1777" ht="15.75" customHeight="1" spans="6:7">
      <c r="F1777" s="36" t="s">
        <v>5103</v>
      </c>
      <c r="G1777" s="36" t="s">
        <v>41</v>
      </c>
    </row>
    <row r="1778" ht="15.75" customHeight="1" spans="6:7">
      <c r="F1778" s="36" t="s">
        <v>5103</v>
      </c>
      <c r="G1778" s="36" t="s">
        <v>5113</v>
      </c>
    </row>
    <row r="1779" ht="15.75" customHeight="1" spans="6:7">
      <c r="F1779" s="36" t="s">
        <v>5103</v>
      </c>
      <c r="G1779" s="36" t="s">
        <v>5114</v>
      </c>
    </row>
    <row r="1780" ht="15.75" customHeight="1" spans="6:7">
      <c r="F1780" s="36" t="s">
        <v>5103</v>
      </c>
      <c r="G1780" s="36" t="s">
        <v>3439</v>
      </c>
    </row>
    <row r="1781" ht="15.75" customHeight="1" spans="6:7">
      <c r="F1781" s="36" t="s">
        <v>5103</v>
      </c>
      <c r="G1781" s="36" t="s">
        <v>5115</v>
      </c>
    </row>
    <row r="1782" ht="15.75" customHeight="1" spans="6:7">
      <c r="F1782" s="36" t="s">
        <v>5116</v>
      </c>
      <c r="G1782" s="36" t="s">
        <v>5117</v>
      </c>
    </row>
    <row r="1783" ht="15.75" customHeight="1" spans="6:7">
      <c r="F1783" s="36" t="s">
        <v>5116</v>
      </c>
      <c r="G1783" s="36" t="s">
        <v>5118</v>
      </c>
    </row>
    <row r="1784" ht="15.75" customHeight="1" spans="6:7">
      <c r="F1784" s="36" t="s">
        <v>5116</v>
      </c>
      <c r="G1784" s="36" t="s">
        <v>5119</v>
      </c>
    </row>
    <row r="1785" ht="15.75" customHeight="1" spans="6:7">
      <c r="F1785" s="36" t="s">
        <v>5116</v>
      </c>
      <c r="G1785" s="36" t="s">
        <v>5120</v>
      </c>
    </row>
    <row r="1786" ht="15.75" customHeight="1" spans="6:7">
      <c r="F1786" s="36" t="s">
        <v>5116</v>
      </c>
      <c r="G1786" s="36" t="s">
        <v>5121</v>
      </c>
    </row>
    <row r="1787" ht="15.75" customHeight="1" spans="6:7">
      <c r="F1787" s="36" t="s">
        <v>5116</v>
      </c>
      <c r="G1787" s="36" t="s">
        <v>5122</v>
      </c>
    </row>
    <row r="1788" ht="15.75" customHeight="1" spans="6:7">
      <c r="F1788" s="36" t="s">
        <v>5116</v>
      </c>
      <c r="G1788" s="36" t="s">
        <v>5123</v>
      </c>
    </row>
    <row r="1789" ht="15.75" customHeight="1" spans="6:7">
      <c r="F1789" s="36" t="s">
        <v>5116</v>
      </c>
      <c r="G1789" s="36" t="s">
        <v>5124</v>
      </c>
    </row>
    <row r="1790" ht="15.75" customHeight="1" spans="6:7">
      <c r="F1790" s="36" t="s">
        <v>5116</v>
      </c>
      <c r="G1790" s="36" t="s">
        <v>5125</v>
      </c>
    </row>
    <row r="1791" ht="15.75" customHeight="1" spans="6:7">
      <c r="F1791" s="36" t="s">
        <v>5116</v>
      </c>
      <c r="G1791" s="36" t="s">
        <v>5126</v>
      </c>
    </row>
    <row r="1792" ht="15.75" customHeight="1" spans="6:7">
      <c r="F1792" s="36" t="s">
        <v>5116</v>
      </c>
      <c r="G1792" s="36" t="s">
        <v>5127</v>
      </c>
    </row>
    <row r="1793" ht="15.75" customHeight="1" spans="6:7">
      <c r="F1793" s="36" t="s">
        <v>5116</v>
      </c>
      <c r="G1793" s="36" t="s">
        <v>5128</v>
      </c>
    </row>
    <row r="1794" ht="15.75" customHeight="1" spans="6:7">
      <c r="F1794" s="36" t="s">
        <v>5116</v>
      </c>
      <c r="G1794" s="36" t="s">
        <v>5129</v>
      </c>
    </row>
    <row r="1795" ht="15.75" customHeight="1" spans="6:7">
      <c r="F1795" s="36" t="s">
        <v>5116</v>
      </c>
      <c r="G1795" s="36" t="s">
        <v>5130</v>
      </c>
    </row>
    <row r="1796" ht="15.75" customHeight="1" spans="6:7">
      <c r="F1796" s="36" t="s">
        <v>5116</v>
      </c>
      <c r="G1796" s="36" t="s">
        <v>5131</v>
      </c>
    </row>
    <row r="1797" ht="15.75" customHeight="1" spans="6:7">
      <c r="F1797" s="36" t="s">
        <v>5116</v>
      </c>
      <c r="G1797" s="36" t="s">
        <v>5132</v>
      </c>
    </row>
    <row r="1798" ht="15.75" customHeight="1" spans="6:7">
      <c r="F1798" s="36" t="s">
        <v>5116</v>
      </c>
      <c r="G1798" s="36" t="s">
        <v>5133</v>
      </c>
    </row>
    <row r="1799" ht="15.75" customHeight="1" spans="6:7">
      <c r="F1799" s="36" t="s">
        <v>5116</v>
      </c>
      <c r="G1799" s="36" t="s">
        <v>5134</v>
      </c>
    </row>
    <row r="1800" ht="15.75" customHeight="1" spans="6:7">
      <c r="F1800" s="36" t="s">
        <v>5116</v>
      </c>
      <c r="G1800" s="36" t="s">
        <v>5135</v>
      </c>
    </row>
    <row r="1801" ht="15.75" customHeight="1" spans="6:7">
      <c r="F1801" s="36" t="s">
        <v>5116</v>
      </c>
      <c r="G1801" s="36" t="s">
        <v>5136</v>
      </c>
    </row>
    <row r="1802" ht="15.75" customHeight="1" spans="6:7">
      <c r="F1802" s="36" t="s">
        <v>5137</v>
      </c>
      <c r="G1802" s="36" t="s">
        <v>42</v>
      </c>
    </row>
    <row r="1803" ht="15.75" customHeight="1" spans="6:7">
      <c r="F1803" s="36" t="s">
        <v>5137</v>
      </c>
      <c r="G1803" s="36" t="s">
        <v>5137</v>
      </c>
    </row>
    <row r="1804" ht="15.75" customHeight="1" spans="6:7">
      <c r="F1804" s="36" t="s">
        <v>5137</v>
      </c>
      <c r="G1804" s="36" t="s">
        <v>5138</v>
      </c>
    </row>
    <row r="1805" ht="15.75" customHeight="1" spans="6:7">
      <c r="F1805" s="36" t="s">
        <v>5137</v>
      </c>
      <c r="G1805" s="36" t="s">
        <v>5139</v>
      </c>
    </row>
    <row r="1806" ht="15.75" customHeight="1" spans="6:7">
      <c r="F1806" s="36" t="s">
        <v>5137</v>
      </c>
      <c r="G1806" s="36" t="s">
        <v>592</v>
      </c>
    </row>
    <row r="1807" ht="15.75" customHeight="1" spans="6:7">
      <c r="F1807" s="36" t="s">
        <v>5140</v>
      </c>
      <c r="G1807" s="36" t="s">
        <v>5141</v>
      </c>
    </row>
    <row r="1808" ht="15.75" customHeight="1" spans="6:7">
      <c r="F1808" s="36" t="s">
        <v>5140</v>
      </c>
      <c r="G1808" s="36" t="s">
        <v>5142</v>
      </c>
    </row>
    <row r="1809" ht="15.75" customHeight="1" spans="6:7">
      <c r="F1809" s="36" t="s">
        <v>5140</v>
      </c>
      <c r="G1809" s="36" t="s">
        <v>43</v>
      </c>
    </row>
    <row r="1810" ht="15.75" customHeight="1" spans="6:7">
      <c r="F1810" s="36" t="s">
        <v>5140</v>
      </c>
      <c r="G1810" s="36" t="s">
        <v>5143</v>
      </c>
    </row>
    <row r="1811" ht="15.75" customHeight="1" spans="6:7">
      <c r="F1811" s="36" t="s">
        <v>5140</v>
      </c>
      <c r="G1811" s="36" t="s">
        <v>5144</v>
      </c>
    </row>
    <row r="1812" ht="15.75" customHeight="1" spans="6:7">
      <c r="F1812" s="36" t="s">
        <v>5140</v>
      </c>
      <c r="G1812" s="36" t="s">
        <v>5140</v>
      </c>
    </row>
    <row r="1813" ht="15.75" customHeight="1" spans="6:7">
      <c r="F1813" s="36" t="s">
        <v>5140</v>
      </c>
      <c r="G1813" s="36" t="s">
        <v>5145</v>
      </c>
    </row>
    <row r="1814" ht="15.75" customHeight="1" spans="6:7">
      <c r="F1814" s="36" t="s">
        <v>5140</v>
      </c>
      <c r="G1814" s="36" t="s">
        <v>5146</v>
      </c>
    </row>
    <row r="1815" ht="15.75" customHeight="1" spans="6:7">
      <c r="F1815" s="36" t="s">
        <v>5140</v>
      </c>
      <c r="G1815" s="36" t="s">
        <v>5147</v>
      </c>
    </row>
    <row r="1816" ht="15.75" customHeight="1" spans="6:7">
      <c r="F1816" s="36" t="s">
        <v>5140</v>
      </c>
      <c r="G1816" s="36" t="s">
        <v>5148</v>
      </c>
    </row>
    <row r="1817" ht="15.75" customHeight="1" spans="6:7">
      <c r="F1817" s="36" t="s">
        <v>5140</v>
      </c>
      <c r="G1817" s="36" t="s">
        <v>5149</v>
      </c>
    </row>
    <row r="1818" ht="15.75" customHeight="1" spans="6:7">
      <c r="F1818" s="36" t="s">
        <v>5140</v>
      </c>
      <c r="G1818" s="36" t="s">
        <v>5150</v>
      </c>
    </row>
    <row r="1819" ht="15.75" customHeight="1" spans="6:7">
      <c r="F1819" s="36" t="s">
        <v>5140</v>
      </c>
      <c r="G1819" s="36" t="s">
        <v>5151</v>
      </c>
    </row>
    <row r="1820" ht="15.75" customHeight="1" spans="6:7">
      <c r="F1820" s="36" t="s">
        <v>5140</v>
      </c>
      <c r="G1820" s="36" t="s">
        <v>5152</v>
      </c>
    </row>
    <row r="1821" ht="15.75" customHeight="1" spans="6:7">
      <c r="F1821" s="36" t="s">
        <v>5140</v>
      </c>
      <c r="G1821" s="36" t="s">
        <v>5153</v>
      </c>
    </row>
    <row r="1822" ht="15.75" customHeight="1" spans="6:7">
      <c r="F1822" s="36" t="s">
        <v>5154</v>
      </c>
      <c r="G1822" s="36" t="s">
        <v>196</v>
      </c>
    </row>
    <row r="1823" ht="15.75" customHeight="1" spans="6:7">
      <c r="F1823" s="36" t="s">
        <v>5154</v>
      </c>
      <c r="G1823" s="36" t="s">
        <v>5155</v>
      </c>
    </row>
    <row r="1824" ht="15.75" customHeight="1" spans="6:7">
      <c r="F1824" s="36" t="s">
        <v>5154</v>
      </c>
      <c r="G1824" s="36" t="s">
        <v>44</v>
      </c>
    </row>
    <row r="1825" ht="15.75" customHeight="1" spans="6:7">
      <c r="F1825" s="36" t="s">
        <v>5154</v>
      </c>
      <c r="G1825" s="36" t="s">
        <v>5156</v>
      </c>
    </row>
    <row r="1826" ht="15.75" customHeight="1" spans="6:7">
      <c r="F1826" s="36" t="s">
        <v>5154</v>
      </c>
      <c r="G1826" s="36" t="s">
        <v>5157</v>
      </c>
    </row>
    <row r="1827" ht="15.75" customHeight="1" spans="6:7">
      <c r="F1827" s="36" t="s">
        <v>5154</v>
      </c>
      <c r="G1827" s="36" t="s">
        <v>5158</v>
      </c>
    </row>
    <row r="1828" ht="15.75" customHeight="1" spans="6:7">
      <c r="F1828" s="36" t="s">
        <v>5154</v>
      </c>
      <c r="G1828" s="36" t="s">
        <v>5154</v>
      </c>
    </row>
    <row r="1829" ht="15.75" customHeight="1" spans="6:7">
      <c r="F1829" s="36" t="s">
        <v>5154</v>
      </c>
      <c r="G1829" s="36" t="s">
        <v>5159</v>
      </c>
    </row>
    <row r="1830" ht="15.75" customHeight="1" spans="6:7">
      <c r="F1830" s="36" t="s">
        <v>5154</v>
      </c>
      <c r="G1830" s="36" t="s">
        <v>5160</v>
      </c>
    </row>
    <row r="1831" ht="15.75" customHeight="1" spans="6:7">
      <c r="F1831" s="36" t="s">
        <v>5154</v>
      </c>
      <c r="G1831" s="36" t="s">
        <v>5161</v>
      </c>
    </row>
    <row r="1832" ht="15.75" customHeight="1" spans="6:7">
      <c r="F1832" s="36" t="s">
        <v>5154</v>
      </c>
      <c r="G1832" s="36" t="s">
        <v>5162</v>
      </c>
    </row>
    <row r="1833" ht="15.75" customHeight="1" spans="6:7">
      <c r="F1833" s="36" t="s">
        <v>5154</v>
      </c>
      <c r="G1833" s="36" t="s">
        <v>5163</v>
      </c>
    </row>
    <row r="1834" ht="15.75" customHeight="1" spans="6:7">
      <c r="F1834" s="36" t="s">
        <v>5154</v>
      </c>
      <c r="G1834" s="36" t="s">
        <v>5164</v>
      </c>
    </row>
    <row r="1835" ht="15.75" customHeight="1" spans="6:7">
      <c r="F1835" s="36" t="s">
        <v>5154</v>
      </c>
      <c r="G1835" s="36" t="s">
        <v>5165</v>
      </c>
    </row>
    <row r="1836" ht="15.75" customHeight="1" spans="6:7">
      <c r="F1836" s="36" t="s">
        <v>5154</v>
      </c>
      <c r="G1836" s="36" t="s">
        <v>5166</v>
      </c>
    </row>
    <row r="1837" ht="15.75" customHeight="1" spans="6:7">
      <c r="F1837" s="36" t="s">
        <v>5154</v>
      </c>
      <c r="G1837" s="36" t="s">
        <v>5167</v>
      </c>
    </row>
    <row r="1838" ht="15.75" customHeight="1" spans="6:7">
      <c r="F1838" s="36" t="s">
        <v>5168</v>
      </c>
      <c r="G1838" s="36" t="s">
        <v>199</v>
      </c>
    </row>
    <row r="1839" ht="15.75" customHeight="1" spans="6:7">
      <c r="F1839" s="36" t="s">
        <v>5168</v>
      </c>
      <c r="G1839" s="36" t="s">
        <v>5169</v>
      </c>
    </row>
    <row r="1840" ht="15.75" customHeight="1" spans="6:7">
      <c r="F1840" s="36" t="s">
        <v>5168</v>
      </c>
      <c r="G1840" s="36" t="s">
        <v>45</v>
      </c>
    </row>
    <row r="1841" ht="15.75" customHeight="1" spans="6:7">
      <c r="F1841" s="36" t="s">
        <v>5168</v>
      </c>
      <c r="G1841" s="36" t="s">
        <v>5170</v>
      </c>
    </row>
    <row r="1842" ht="15.75" customHeight="1" spans="6:7">
      <c r="F1842" s="36" t="s">
        <v>5168</v>
      </c>
      <c r="G1842" s="36" t="s">
        <v>5171</v>
      </c>
    </row>
    <row r="1843" ht="15.75" customHeight="1" spans="6:7">
      <c r="F1843" s="36" t="s">
        <v>5168</v>
      </c>
      <c r="G1843" s="36" t="s">
        <v>5168</v>
      </c>
    </row>
    <row r="1844" ht="15.75" customHeight="1" spans="6:7">
      <c r="F1844" s="36" t="s">
        <v>5168</v>
      </c>
      <c r="G1844" s="36" t="s">
        <v>5172</v>
      </c>
    </row>
    <row r="1845" ht="15.75" customHeight="1" spans="6:7">
      <c r="F1845" s="36" t="s">
        <v>5168</v>
      </c>
      <c r="G1845" s="36" t="s">
        <v>5173</v>
      </c>
    </row>
    <row r="1846" ht="15.75" customHeight="1" spans="6:7">
      <c r="F1846" s="36" t="s">
        <v>5168</v>
      </c>
      <c r="G1846" s="36" t="s">
        <v>5174</v>
      </c>
    </row>
    <row r="1847" ht="15.75" customHeight="1" spans="6:7">
      <c r="F1847" s="36" t="s">
        <v>5168</v>
      </c>
      <c r="G1847" s="36" t="s">
        <v>5175</v>
      </c>
    </row>
    <row r="1848" ht="15.75" customHeight="1" spans="6:7">
      <c r="F1848" s="36" t="s">
        <v>5168</v>
      </c>
      <c r="G1848" s="36" t="s">
        <v>5176</v>
      </c>
    </row>
    <row r="1849" ht="15.75" customHeight="1" spans="6:7">
      <c r="F1849" s="36" t="s">
        <v>5168</v>
      </c>
      <c r="G1849" s="36" t="s">
        <v>5177</v>
      </c>
    </row>
    <row r="1850" ht="15.75" customHeight="1" spans="6:7">
      <c r="F1850" s="36" t="s">
        <v>5178</v>
      </c>
      <c r="G1850" s="36" t="s">
        <v>5178</v>
      </c>
    </row>
    <row r="1851" ht="15.75" customHeight="1" spans="6:7">
      <c r="F1851" s="36" t="s">
        <v>5178</v>
      </c>
      <c r="G1851" s="36" t="s">
        <v>5179</v>
      </c>
    </row>
    <row r="1852" ht="15.75" customHeight="1" spans="6:7">
      <c r="F1852" s="36" t="s">
        <v>5178</v>
      </c>
      <c r="G1852" s="36" t="s">
        <v>5180</v>
      </c>
    </row>
    <row r="1853" ht="15.75" customHeight="1" spans="6:7">
      <c r="F1853" s="36" t="s">
        <v>5178</v>
      </c>
      <c r="G1853" s="36" t="s">
        <v>5181</v>
      </c>
    </row>
    <row r="1854" ht="15.75" customHeight="1" spans="6:7">
      <c r="F1854" s="36" t="s">
        <v>5178</v>
      </c>
      <c r="G1854" s="36" t="s">
        <v>5182</v>
      </c>
    </row>
    <row r="1855" ht="15.75" customHeight="1" spans="6:7">
      <c r="F1855" s="36" t="s">
        <v>5178</v>
      </c>
      <c r="G1855" s="36" t="s">
        <v>5183</v>
      </c>
    </row>
    <row r="1856" ht="15.75" customHeight="1" spans="6:7">
      <c r="F1856" s="36" t="s">
        <v>5178</v>
      </c>
      <c r="G1856" s="36" t="s">
        <v>5184</v>
      </c>
    </row>
    <row r="1857" ht="15.75" customHeight="1" spans="6:7">
      <c r="F1857" s="36" t="s">
        <v>5178</v>
      </c>
      <c r="G1857" s="36" t="s">
        <v>5185</v>
      </c>
    </row>
    <row r="1858" ht="15.75" customHeight="1" spans="6:7">
      <c r="F1858" s="36" t="s">
        <v>5178</v>
      </c>
      <c r="G1858" s="36" t="s">
        <v>5186</v>
      </c>
    </row>
    <row r="1859" ht="15.75" customHeight="1" spans="6:7">
      <c r="F1859" s="36" t="s">
        <v>5178</v>
      </c>
      <c r="G1859" s="36" t="s">
        <v>5187</v>
      </c>
    </row>
    <row r="1860" ht="15.75" customHeight="1" spans="6:7">
      <c r="F1860" s="36" t="s">
        <v>5178</v>
      </c>
      <c r="G1860" s="36" t="s">
        <v>5188</v>
      </c>
    </row>
    <row r="1861" ht="15.75" customHeight="1" spans="6:7">
      <c r="F1861" s="36" t="s">
        <v>5189</v>
      </c>
      <c r="G1861" s="36" t="s">
        <v>5190</v>
      </c>
    </row>
    <row r="1862" ht="15.75" customHeight="1" spans="6:7">
      <c r="F1862" s="36" t="s">
        <v>5189</v>
      </c>
      <c r="G1862" s="36" t="s">
        <v>5189</v>
      </c>
    </row>
    <row r="1863" ht="15.75" customHeight="1" spans="6:7">
      <c r="F1863" s="36" t="s">
        <v>5189</v>
      </c>
      <c r="G1863" s="36" t="s">
        <v>53</v>
      </c>
    </row>
    <row r="1864" ht="15.75" customHeight="1" spans="6:7">
      <c r="F1864" s="36" t="s">
        <v>5189</v>
      </c>
      <c r="G1864" s="36" t="s">
        <v>5191</v>
      </c>
    </row>
    <row r="1865" ht="15.75" customHeight="1" spans="6:7">
      <c r="F1865" s="36" t="s">
        <v>5189</v>
      </c>
      <c r="G1865" s="36" t="s">
        <v>3480</v>
      </c>
    </row>
    <row r="1866" ht="15.75" customHeight="1" spans="6:7">
      <c r="F1866" s="36" t="s">
        <v>5189</v>
      </c>
      <c r="G1866" s="36" t="s">
        <v>5192</v>
      </c>
    </row>
    <row r="1867" ht="15.75" customHeight="1" spans="6:7">
      <c r="F1867" s="36" t="s">
        <v>5189</v>
      </c>
      <c r="G1867" s="36" t="s">
        <v>5193</v>
      </c>
    </row>
    <row r="1868" ht="15.75" customHeight="1" spans="6:7">
      <c r="F1868" s="36" t="s">
        <v>5189</v>
      </c>
      <c r="G1868" s="36" t="s">
        <v>5194</v>
      </c>
    </row>
    <row r="1869" ht="15.75" customHeight="1" spans="6:7">
      <c r="F1869" s="36" t="s">
        <v>5189</v>
      </c>
      <c r="G1869" s="36" t="s">
        <v>5195</v>
      </c>
    </row>
    <row r="1870" ht="15.75" customHeight="1" spans="6:7">
      <c r="F1870" s="36" t="s">
        <v>5189</v>
      </c>
      <c r="G1870" s="36" t="s">
        <v>5196</v>
      </c>
    </row>
    <row r="1871" ht="15.75" customHeight="1" spans="6:7">
      <c r="F1871" s="36" t="s">
        <v>5189</v>
      </c>
      <c r="G1871" s="36" t="s">
        <v>5197</v>
      </c>
    </row>
    <row r="1872" ht="15.75" customHeight="1" spans="6:7">
      <c r="F1872" s="36" t="s">
        <v>5189</v>
      </c>
      <c r="G1872" s="36" t="s">
        <v>5198</v>
      </c>
    </row>
    <row r="1873" ht="15.75" customHeight="1" spans="6:7">
      <c r="F1873" s="36" t="s">
        <v>5189</v>
      </c>
      <c r="G1873" s="36" t="s">
        <v>5199</v>
      </c>
    </row>
    <row r="1874" ht="15.75" customHeight="1" spans="6:7">
      <c r="F1874" s="36" t="s">
        <v>5189</v>
      </c>
      <c r="G1874" s="36" t="s">
        <v>5200</v>
      </c>
    </row>
    <row r="1875" ht="15.75" customHeight="1" spans="6:7">
      <c r="F1875" s="36" t="s">
        <v>5189</v>
      </c>
      <c r="G1875" s="36" t="s">
        <v>5201</v>
      </c>
    </row>
    <row r="1876" ht="15.75" customHeight="1" spans="6:7">
      <c r="F1876" s="36" t="s">
        <v>5189</v>
      </c>
      <c r="G1876" s="36" t="s">
        <v>5202</v>
      </c>
    </row>
    <row r="1877" ht="15.75" customHeight="1" spans="6:7">
      <c r="F1877" s="36" t="s">
        <v>5189</v>
      </c>
      <c r="G1877" s="36" t="s">
        <v>5203</v>
      </c>
    </row>
    <row r="1878" ht="15.75" customHeight="1" spans="6:7">
      <c r="F1878" s="36" t="s">
        <v>5189</v>
      </c>
      <c r="G1878" s="36" t="s">
        <v>5204</v>
      </c>
    </row>
    <row r="1879" ht="15.75" customHeight="1" spans="6:7">
      <c r="F1879" s="36" t="s">
        <v>5189</v>
      </c>
      <c r="G1879" s="36" t="s">
        <v>5205</v>
      </c>
    </row>
    <row r="1880" ht="15.75" customHeight="1" spans="6:7">
      <c r="F1880" s="36" t="s">
        <v>5189</v>
      </c>
      <c r="G1880" s="36" t="s">
        <v>5206</v>
      </c>
    </row>
    <row r="1881" ht="15.75" customHeight="1" spans="6:7">
      <c r="F1881" s="36" t="s">
        <v>5189</v>
      </c>
      <c r="G1881" s="36" t="s">
        <v>5207</v>
      </c>
    </row>
    <row r="1882" ht="15.75" customHeight="1" spans="6:7">
      <c r="F1882" s="36" t="s">
        <v>5189</v>
      </c>
      <c r="G1882" s="36" t="s">
        <v>5208</v>
      </c>
    </row>
    <row r="1883" ht="15.75" customHeight="1" spans="6:7">
      <c r="F1883" s="36" t="s">
        <v>5189</v>
      </c>
      <c r="G1883" s="36" t="s">
        <v>5209</v>
      </c>
    </row>
    <row r="1884" ht="15.75" customHeight="1" spans="6:7">
      <c r="F1884" s="36" t="s">
        <v>5189</v>
      </c>
      <c r="G1884" s="36" t="s">
        <v>5210</v>
      </c>
    </row>
    <row r="1885" ht="15.75" customHeight="1" spans="6:7">
      <c r="F1885" s="36" t="s">
        <v>5189</v>
      </c>
      <c r="G1885" s="36" t="s">
        <v>5211</v>
      </c>
    </row>
    <row r="1886" ht="15.75" customHeight="1" spans="6:7">
      <c r="F1886" s="36" t="s">
        <v>5189</v>
      </c>
      <c r="G1886" s="36" t="s">
        <v>5212</v>
      </c>
    </row>
    <row r="1887" ht="15.75" customHeight="1" spans="6:7">
      <c r="F1887" s="36" t="s">
        <v>5189</v>
      </c>
      <c r="G1887" s="36" t="s">
        <v>5213</v>
      </c>
    </row>
    <row r="1888" ht="15.75" customHeight="1" spans="6:7">
      <c r="F1888" s="36" t="s">
        <v>5189</v>
      </c>
      <c r="G1888" s="36" t="s">
        <v>5214</v>
      </c>
    </row>
    <row r="1889" ht="15.75" customHeight="1" spans="6:7">
      <c r="F1889" s="36" t="s">
        <v>5189</v>
      </c>
      <c r="G1889" s="36" t="s">
        <v>5215</v>
      </c>
    </row>
    <row r="1890" ht="15.75" customHeight="1" spans="6:7">
      <c r="F1890" s="36" t="s">
        <v>5189</v>
      </c>
      <c r="G1890" s="36" t="s">
        <v>5216</v>
      </c>
    </row>
    <row r="1891" ht="15.75" customHeight="1" spans="6:7">
      <c r="F1891" s="36" t="s">
        <v>5189</v>
      </c>
      <c r="G1891" s="36" t="s">
        <v>5217</v>
      </c>
    </row>
    <row r="1892" ht="15.75" customHeight="1" spans="6:7">
      <c r="F1892" s="36" t="s">
        <v>5189</v>
      </c>
      <c r="G1892" s="36" t="s">
        <v>5218</v>
      </c>
    </row>
    <row r="1893" ht="15.75" customHeight="1" spans="6:7">
      <c r="F1893" s="36" t="s">
        <v>5189</v>
      </c>
      <c r="G1893" s="36" t="s">
        <v>5219</v>
      </c>
    </row>
    <row r="1894" ht="15.75" customHeight="1" spans="6:7">
      <c r="F1894" s="36" t="s">
        <v>5189</v>
      </c>
      <c r="G1894" s="36" t="s">
        <v>5220</v>
      </c>
    </row>
    <row r="1895" ht="15.75" customHeight="1" spans="6:7">
      <c r="F1895" s="36" t="s">
        <v>5189</v>
      </c>
      <c r="G1895" s="36" t="s">
        <v>5221</v>
      </c>
    </row>
    <row r="1896" ht="15.75" customHeight="1" spans="6:7">
      <c r="F1896" s="36" t="s">
        <v>5189</v>
      </c>
      <c r="G1896" s="36" t="s">
        <v>5222</v>
      </c>
    </row>
    <row r="1897" ht="15.75" customHeight="1" spans="6:7">
      <c r="F1897" s="36" t="s">
        <v>5189</v>
      </c>
      <c r="G1897" s="36" t="s">
        <v>5223</v>
      </c>
    </row>
    <row r="1898" ht="15.75" customHeight="1" spans="6:7">
      <c r="F1898" s="36" t="s">
        <v>5189</v>
      </c>
      <c r="G1898" s="36" t="s">
        <v>5224</v>
      </c>
    </row>
    <row r="1899" ht="15.75" customHeight="1" spans="6:7">
      <c r="F1899" s="36" t="s">
        <v>5189</v>
      </c>
      <c r="G1899" s="36" t="s">
        <v>5225</v>
      </c>
    </row>
    <row r="1900" ht="15.75" customHeight="1" spans="6:7">
      <c r="F1900" s="36" t="s">
        <v>5189</v>
      </c>
      <c r="G1900" s="36" t="s">
        <v>5226</v>
      </c>
    </row>
    <row r="1901" ht="15.75" customHeight="1" spans="6:7">
      <c r="F1901" s="36" t="s">
        <v>5189</v>
      </c>
      <c r="G1901" s="36" t="s">
        <v>5227</v>
      </c>
    </row>
    <row r="1902" ht="15.75" customHeight="1" spans="6:7">
      <c r="F1902" s="36" t="s">
        <v>5189</v>
      </c>
      <c r="G1902" s="36" t="s">
        <v>5228</v>
      </c>
    </row>
    <row r="1903" ht="15.75" customHeight="1" spans="6:7">
      <c r="F1903" s="36" t="s">
        <v>5189</v>
      </c>
      <c r="G1903" s="36" t="s">
        <v>5229</v>
      </c>
    </row>
    <row r="1904" ht="15.75" customHeight="1" spans="6:7">
      <c r="F1904" s="36" t="s">
        <v>5189</v>
      </c>
      <c r="G1904" s="36" t="s">
        <v>5230</v>
      </c>
    </row>
    <row r="1905" ht="15.75" customHeight="1" spans="6:7">
      <c r="F1905" s="36" t="s">
        <v>5189</v>
      </c>
      <c r="G1905" s="36" t="s">
        <v>5231</v>
      </c>
    </row>
    <row r="1906" ht="15.75" customHeight="1" spans="6:7">
      <c r="F1906" s="36" t="s">
        <v>5189</v>
      </c>
      <c r="G1906" s="36" t="s">
        <v>5232</v>
      </c>
    </row>
    <row r="1907" ht="15.75" customHeight="1" spans="6:7">
      <c r="F1907" s="36" t="s">
        <v>5189</v>
      </c>
      <c r="G1907" s="36" t="s">
        <v>5233</v>
      </c>
    </row>
    <row r="1908" ht="15.75" customHeight="1" spans="6:7">
      <c r="F1908" s="36" t="s">
        <v>5189</v>
      </c>
      <c r="G1908" s="36" t="s">
        <v>5234</v>
      </c>
    </row>
    <row r="1909" ht="15.75" customHeight="1" spans="6:7">
      <c r="F1909" s="36" t="s">
        <v>5189</v>
      </c>
      <c r="G1909" s="36" t="s">
        <v>5235</v>
      </c>
    </row>
    <row r="1910" ht="15.75" customHeight="1" spans="6:7">
      <c r="F1910" s="36" t="s">
        <v>5189</v>
      </c>
      <c r="G1910" s="36" t="s">
        <v>5236</v>
      </c>
    </row>
    <row r="1911" ht="15.75" customHeight="1" spans="6:7">
      <c r="F1911" s="36" t="s">
        <v>5189</v>
      </c>
      <c r="G1911" s="36" t="s">
        <v>5237</v>
      </c>
    </row>
    <row r="1912" ht="15.75" customHeight="1" spans="6:7">
      <c r="F1912" s="36" t="s">
        <v>5189</v>
      </c>
      <c r="G1912" s="36" t="s">
        <v>5238</v>
      </c>
    </row>
    <row r="1913" ht="15.75" customHeight="1" spans="6:7">
      <c r="F1913" s="36" t="s">
        <v>5189</v>
      </c>
      <c r="G1913" s="36" t="s">
        <v>5239</v>
      </c>
    </row>
    <row r="1914" ht="15.75" customHeight="1" spans="6:7">
      <c r="F1914" s="36" t="s">
        <v>5189</v>
      </c>
      <c r="G1914" s="36" t="s">
        <v>5240</v>
      </c>
    </row>
    <row r="1915" ht="15.75" customHeight="1" spans="6:7">
      <c r="F1915" s="36" t="s">
        <v>5189</v>
      </c>
      <c r="G1915" s="36" t="s">
        <v>5241</v>
      </c>
    </row>
    <row r="1916" ht="15.75" customHeight="1" spans="6:7">
      <c r="F1916" s="36" t="s">
        <v>5189</v>
      </c>
      <c r="G1916" s="36" t="s">
        <v>5242</v>
      </c>
    </row>
    <row r="1917" ht="15.75" customHeight="1" spans="6:7">
      <c r="F1917" s="36" t="s">
        <v>5189</v>
      </c>
      <c r="G1917" s="36" t="s">
        <v>5243</v>
      </c>
    </row>
    <row r="1918" ht="15.75" customHeight="1" spans="6:7">
      <c r="F1918" s="36" t="s">
        <v>5189</v>
      </c>
      <c r="G1918" s="36" t="s">
        <v>5244</v>
      </c>
    </row>
    <row r="1919" ht="15.75" customHeight="1" spans="6:7">
      <c r="F1919" s="36" t="s">
        <v>5189</v>
      </c>
      <c r="G1919" s="36" t="s">
        <v>5245</v>
      </c>
    </row>
    <row r="1920" ht="15.75" customHeight="1" spans="6:7">
      <c r="F1920" s="36" t="s">
        <v>5189</v>
      </c>
      <c r="G1920" s="36" t="s">
        <v>5246</v>
      </c>
    </row>
    <row r="1921" ht="15.75" customHeight="1" spans="6:7">
      <c r="F1921" s="36" t="s">
        <v>5189</v>
      </c>
      <c r="G1921" s="36" t="s">
        <v>5247</v>
      </c>
    </row>
    <row r="1922" ht="15.75" customHeight="1" spans="6:7">
      <c r="F1922" s="36" t="s">
        <v>5189</v>
      </c>
      <c r="G1922" s="36" t="s">
        <v>5248</v>
      </c>
    </row>
    <row r="1923" ht="15.75" customHeight="1" spans="6:7">
      <c r="F1923" s="36" t="s">
        <v>5189</v>
      </c>
      <c r="G1923" s="36" t="s">
        <v>5249</v>
      </c>
    </row>
    <row r="1924" ht="15.75" customHeight="1" spans="6:7">
      <c r="F1924" s="36" t="s">
        <v>5189</v>
      </c>
      <c r="G1924" s="36" t="s">
        <v>5250</v>
      </c>
    </row>
    <row r="1925" ht="15.75" customHeight="1" spans="6:7">
      <c r="F1925" s="36" t="s">
        <v>5189</v>
      </c>
      <c r="G1925" s="36" t="s">
        <v>5251</v>
      </c>
    </row>
    <row r="1926" ht="15.75" customHeight="1" spans="6:7">
      <c r="F1926" s="36" t="s">
        <v>5189</v>
      </c>
      <c r="G1926" s="36" t="s">
        <v>5252</v>
      </c>
    </row>
    <row r="1927" ht="15.75" customHeight="1" spans="6:7">
      <c r="F1927" s="36" t="s">
        <v>5189</v>
      </c>
      <c r="G1927" s="36" t="s">
        <v>5253</v>
      </c>
    </row>
    <row r="1928" ht="15.75" customHeight="1" spans="6:7">
      <c r="F1928" s="36" t="s">
        <v>5189</v>
      </c>
      <c r="G1928" s="36" t="s">
        <v>5254</v>
      </c>
    </row>
    <row r="1929" ht="15.75" customHeight="1" spans="6:7">
      <c r="F1929" s="36" t="s">
        <v>5189</v>
      </c>
      <c r="G1929" s="36" t="s">
        <v>5255</v>
      </c>
    </row>
    <row r="1930" ht="15.75" customHeight="1" spans="6:7">
      <c r="F1930" s="36" t="s">
        <v>5189</v>
      </c>
      <c r="G1930" s="36" t="s">
        <v>5256</v>
      </c>
    </row>
    <row r="1931" ht="15.75" customHeight="1" spans="6:7">
      <c r="F1931" s="36" t="s">
        <v>5189</v>
      </c>
      <c r="G1931" s="36" t="s">
        <v>5257</v>
      </c>
    </row>
    <row r="1932" ht="15.75" customHeight="1" spans="6:7">
      <c r="F1932" s="36" t="s">
        <v>5258</v>
      </c>
      <c r="G1932" s="36" t="s">
        <v>5258</v>
      </c>
    </row>
    <row r="1933" ht="15.75" customHeight="1" spans="6:7">
      <c r="F1933" s="36" t="s">
        <v>5258</v>
      </c>
      <c r="G1933" s="36" t="s">
        <v>5259</v>
      </c>
    </row>
    <row r="1934" ht="15.75" customHeight="1" spans="6:7">
      <c r="F1934" s="36" t="s">
        <v>5258</v>
      </c>
      <c r="G1934" s="36" t="s">
        <v>5260</v>
      </c>
    </row>
    <row r="1935" ht="15.75" customHeight="1" spans="6:7">
      <c r="F1935" s="36" t="s">
        <v>5261</v>
      </c>
      <c r="G1935" s="36" t="s">
        <v>5261</v>
      </c>
    </row>
    <row r="1936" ht="15.75" customHeight="1" spans="6:7">
      <c r="F1936" s="36" t="s">
        <v>5261</v>
      </c>
      <c r="G1936" s="36" t="s">
        <v>5262</v>
      </c>
    </row>
    <row r="1937" ht="15.75" customHeight="1" spans="6:7">
      <c r="F1937" s="36" t="s">
        <v>5261</v>
      </c>
      <c r="G1937" s="36" t="s">
        <v>5263</v>
      </c>
    </row>
    <row r="1938" ht="15.75" customHeight="1" spans="6:7">
      <c r="F1938" s="36" t="s">
        <v>5264</v>
      </c>
      <c r="G1938" s="36" t="s">
        <v>57</v>
      </c>
    </row>
    <row r="1939" ht="15.75" customHeight="1" spans="6:7">
      <c r="F1939" s="36" t="s">
        <v>5264</v>
      </c>
      <c r="G1939" s="36" t="s">
        <v>5264</v>
      </c>
    </row>
    <row r="1940" ht="15.75" customHeight="1" spans="6:7">
      <c r="F1940" s="36" t="s">
        <v>63</v>
      </c>
      <c r="G1940" s="36" t="s">
        <v>5265</v>
      </c>
    </row>
    <row r="1941" ht="15.75" customHeight="1" spans="6:7">
      <c r="F1941" s="36" t="s">
        <v>63</v>
      </c>
      <c r="G1941" s="36" t="s">
        <v>5266</v>
      </c>
    </row>
    <row r="1942" ht="15.75" customHeight="1" spans="6:7">
      <c r="F1942" s="36" t="s">
        <v>63</v>
      </c>
      <c r="G1942" s="36" t="s">
        <v>5267</v>
      </c>
    </row>
    <row r="1943" ht="15.75" customHeight="1" spans="6:7">
      <c r="F1943" s="36" t="s">
        <v>63</v>
      </c>
      <c r="G1943" s="36" t="s">
        <v>5268</v>
      </c>
    </row>
    <row r="1944" ht="15.75" customHeight="1" spans="6:7">
      <c r="F1944" s="36" t="s">
        <v>5269</v>
      </c>
      <c r="G1944" s="36" t="s">
        <v>5270</v>
      </c>
    </row>
    <row r="1945" ht="15.75" customHeight="1" spans="6:7">
      <c r="F1945" s="36" t="s">
        <v>5269</v>
      </c>
      <c r="G1945" s="36" t="s">
        <v>81</v>
      </c>
    </row>
    <row r="1946" ht="15.75" customHeight="1" spans="6:7">
      <c r="F1946" s="36" t="s">
        <v>5269</v>
      </c>
      <c r="G1946" s="36" t="s">
        <v>5269</v>
      </c>
    </row>
    <row r="1947" ht="15.75" customHeight="1" spans="6:7">
      <c r="F1947" s="36" t="s">
        <v>5269</v>
      </c>
      <c r="G1947" s="36" t="s">
        <v>5271</v>
      </c>
    </row>
    <row r="1948" ht="15.75" customHeight="1" spans="6:7">
      <c r="F1948" s="36" t="s">
        <v>5269</v>
      </c>
      <c r="G1948" s="36" t="s">
        <v>5272</v>
      </c>
    </row>
    <row r="1949" ht="15.75" customHeight="1" spans="6:7">
      <c r="F1949" s="36" t="s">
        <v>5269</v>
      </c>
      <c r="G1949" s="36" t="s">
        <v>5273</v>
      </c>
    </row>
    <row r="1950" ht="15.75" customHeight="1" spans="6:7">
      <c r="F1950" s="36" t="s">
        <v>5269</v>
      </c>
      <c r="G1950" s="36" t="s">
        <v>5274</v>
      </c>
    </row>
    <row r="1951" ht="15.75" customHeight="1" spans="6:7">
      <c r="F1951" s="36" t="s">
        <v>5269</v>
      </c>
      <c r="G1951" s="36" t="s">
        <v>5275</v>
      </c>
    </row>
    <row r="1952" ht="15.75" customHeight="1" spans="6:7">
      <c r="F1952" s="36" t="s">
        <v>5269</v>
      </c>
      <c r="G1952" s="36" t="s">
        <v>5276</v>
      </c>
    </row>
    <row r="1953" ht="15.75" customHeight="1" spans="6:7">
      <c r="F1953" s="36" t="s">
        <v>5269</v>
      </c>
      <c r="G1953" s="36" t="s">
        <v>5277</v>
      </c>
    </row>
    <row r="1954" ht="15.75" customHeight="1" spans="6:7">
      <c r="F1954" s="36" t="s">
        <v>5269</v>
      </c>
      <c r="G1954" s="36" t="s">
        <v>5278</v>
      </c>
    </row>
    <row r="1955" ht="15.75" customHeight="1" spans="6:7">
      <c r="F1955" s="36" t="s">
        <v>5269</v>
      </c>
      <c r="G1955" s="36" t="s">
        <v>5279</v>
      </c>
    </row>
    <row r="1956" ht="15.75" customHeight="1" spans="6:7">
      <c r="F1956" s="36" t="s">
        <v>5269</v>
      </c>
      <c r="G1956" s="36" t="s">
        <v>5280</v>
      </c>
    </row>
    <row r="1957" ht="15.75" customHeight="1" spans="6:7">
      <c r="F1957" s="36" t="s">
        <v>5269</v>
      </c>
      <c r="G1957" s="36" t="s">
        <v>5281</v>
      </c>
    </row>
    <row r="1958" ht="15.75" customHeight="1" spans="6:7">
      <c r="F1958" s="36" t="s">
        <v>5269</v>
      </c>
      <c r="G1958" s="36" t="s">
        <v>5282</v>
      </c>
    </row>
    <row r="1959" ht="15.75" customHeight="1" spans="6:7">
      <c r="F1959" s="36" t="s">
        <v>5269</v>
      </c>
      <c r="G1959" s="36" t="s">
        <v>5283</v>
      </c>
    </row>
    <row r="1960" ht="15.75" customHeight="1" spans="6:7">
      <c r="F1960" s="36" t="s">
        <v>5269</v>
      </c>
      <c r="G1960" s="36" t="s">
        <v>5284</v>
      </c>
    </row>
    <row r="1961" ht="15.75" customHeight="1" spans="6:7">
      <c r="F1961" s="36" t="s">
        <v>5269</v>
      </c>
      <c r="G1961" s="36" t="s">
        <v>5285</v>
      </c>
    </row>
    <row r="1962" ht="15.75" customHeight="1" spans="6:7">
      <c r="F1962" s="36" t="s">
        <v>5269</v>
      </c>
      <c r="G1962" s="36" t="s">
        <v>5286</v>
      </c>
    </row>
    <row r="1963" ht="15.75" customHeight="1" spans="6:7">
      <c r="F1963" s="36" t="s">
        <v>5269</v>
      </c>
      <c r="G1963" s="36" t="s">
        <v>5287</v>
      </c>
    </row>
    <row r="1964" ht="15.75" customHeight="1" spans="6:7">
      <c r="F1964" s="36" t="s">
        <v>5269</v>
      </c>
      <c r="G1964" s="36" t="s">
        <v>5288</v>
      </c>
    </row>
    <row r="1965" ht="15.75" customHeight="1" spans="6:7">
      <c r="F1965" s="36" t="s">
        <v>5269</v>
      </c>
      <c r="G1965" s="36" t="s">
        <v>5289</v>
      </c>
    </row>
    <row r="1966" ht="15.75" customHeight="1" spans="6:7">
      <c r="F1966" s="36" t="s">
        <v>5269</v>
      </c>
      <c r="G1966" s="36" t="s">
        <v>5290</v>
      </c>
    </row>
    <row r="1967" ht="15.75" customHeight="1" spans="6:7">
      <c r="F1967" s="36" t="s">
        <v>5269</v>
      </c>
      <c r="G1967" s="36" t="s">
        <v>5291</v>
      </c>
    </row>
    <row r="1968" ht="15.75" customHeight="1" spans="6:7">
      <c r="F1968" s="36" t="s">
        <v>5269</v>
      </c>
      <c r="G1968" s="36" t="s">
        <v>5292</v>
      </c>
    </row>
    <row r="1969" ht="15.75" customHeight="1" spans="6:7">
      <c r="F1969" s="36" t="s">
        <v>5269</v>
      </c>
      <c r="G1969" s="36" t="s">
        <v>5293</v>
      </c>
    </row>
    <row r="1970" ht="15.75" customHeight="1" spans="6:7">
      <c r="F1970" s="36" t="s">
        <v>5269</v>
      </c>
      <c r="G1970" s="36" t="s">
        <v>5294</v>
      </c>
    </row>
    <row r="1971" ht="15.75" customHeight="1" spans="6:7">
      <c r="F1971" s="36" t="s">
        <v>5269</v>
      </c>
      <c r="G1971" s="36" t="s">
        <v>5295</v>
      </c>
    </row>
    <row r="1972" ht="15.75" customHeight="1" spans="6:7">
      <c r="F1972" s="36" t="s">
        <v>5269</v>
      </c>
      <c r="G1972" s="36" t="s">
        <v>5296</v>
      </c>
    </row>
    <row r="1973" ht="15.75" customHeight="1" spans="6:7">
      <c r="F1973" s="36" t="s">
        <v>5269</v>
      </c>
      <c r="G1973" s="36" t="s">
        <v>5297</v>
      </c>
    </row>
    <row r="1974" ht="15.75" customHeight="1" spans="6:7">
      <c r="F1974" s="36" t="s">
        <v>5269</v>
      </c>
      <c r="G1974" s="36" t="s">
        <v>5298</v>
      </c>
    </row>
    <row r="1975" ht="15.75" customHeight="1" spans="6:7">
      <c r="F1975" s="36" t="s">
        <v>5269</v>
      </c>
      <c r="G1975" s="36" t="s">
        <v>5299</v>
      </c>
    </row>
    <row r="1976" ht="15.75" customHeight="1" spans="6:7">
      <c r="F1976" s="36" t="s">
        <v>5269</v>
      </c>
      <c r="G1976" s="36" t="s">
        <v>5300</v>
      </c>
    </row>
    <row r="1977" ht="15.75" customHeight="1" spans="6:7">
      <c r="F1977" s="36" t="s">
        <v>5269</v>
      </c>
      <c r="G1977" s="36" t="s">
        <v>5301</v>
      </c>
    </row>
    <row r="1978" ht="15.75" customHeight="1" spans="6:7">
      <c r="F1978" s="36" t="s">
        <v>5269</v>
      </c>
      <c r="G1978" s="36" t="s">
        <v>5302</v>
      </c>
    </row>
    <row r="1979" ht="15.75" customHeight="1" spans="6:7">
      <c r="F1979" s="36" t="s">
        <v>5269</v>
      </c>
      <c r="G1979" s="36" t="s">
        <v>5303</v>
      </c>
    </row>
    <row r="1980" ht="15.75" customHeight="1" spans="6:7">
      <c r="F1980" s="36" t="s">
        <v>5269</v>
      </c>
      <c r="G1980" s="36" t="s">
        <v>5304</v>
      </c>
    </row>
    <row r="1981" ht="15.75" customHeight="1" spans="6:7">
      <c r="F1981" s="36" t="s">
        <v>5269</v>
      </c>
      <c r="G1981" s="36" t="s">
        <v>5305</v>
      </c>
    </row>
    <row r="1982" ht="15.75" customHeight="1" spans="6:7">
      <c r="F1982" s="36" t="s">
        <v>5269</v>
      </c>
      <c r="G1982" s="36" t="s">
        <v>5306</v>
      </c>
    </row>
    <row r="1983" ht="15.75" customHeight="1" spans="6:7">
      <c r="F1983" s="36" t="s">
        <v>5269</v>
      </c>
      <c r="G1983" s="36" t="s">
        <v>5307</v>
      </c>
    </row>
    <row r="1984" ht="15.75" customHeight="1" spans="6:7">
      <c r="F1984" s="36" t="s">
        <v>5269</v>
      </c>
      <c r="G1984" s="36" t="s">
        <v>5308</v>
      </c>
    </row>
    <row r="1985" ht="15.75" customHeight="1" spans="6:7">
      <c r="F1985" s="36" t="s">
        <v>5269</v>
      </c>
      <c r="G1985" s="36" t="s">
        <v>5309</v>
      </c>
    </row>
    <row r="1986" ht="15.75" customHeight="1" spans="6:7">
      <c r="F1986" s="36" t="s">
        <v>5269</v>
      </c>
      <c r="G1986" s="36" t="s">
        <v>5310</v>
      </c>
    </row>
    <row r="1987" ht="15.75" customHeight="1" spans="6:7">
      <c r="F1987" s="36" t="s">
        <v>5269</v>
      </c>
      <c r="G1987" s="36" t="s">
        <v>5311</v>
      </c>
    </row>
    <row r="1988" ht="15.75" customHeight="1" spans="6:7">
      <c r="F1988" s="36" t="s">
        <v>5312</v>
      </c>
      <c r="G1988" s="36" t="s">
        <v>5313</v>
      </c>
    </row>
    <row r="1989" ht="15.75" customHeight="1" spans="6:7">
      <c r="F1989" s="36" t="s">
        <v>5312</v>
      </c>
      <c r="G1989" s="36" t="s">
        <v>5314</v>
      </c>
    </row>
    <row r="1990" ht="15.75" customHeight="1" spans="6:7">
      <c r="F1990" s="36" t="s">
        <v>5312</v>
      </c>
      <c r="G1990" s="36" t="s">
        <v>5315</v>
      </c>
    </row>
    <row r="1991" ht="15.75" customHeight="1" spans="6:7">
      <c r="F1991" s="36" t="s">
        <v>5312</v>
      </c>
      <c r="G1991" s="36" t="s">
        <v>5316</v>
      </c>
    </row>
    <row r="1992" ht="15.75" customHeight="1" spans="6:7">
      <c r="F1992" s="36" t="s">
        <v>5312</v>
      </c>
      <c r="G1992" s="36" t="s">
        <v>5317</v>
      </c>
    </row>
    <row r="1993" ht="15.75" customHeight="1" spans="6:7">
      <c r="F1993" s="36" t="s">
        <v>5312</v>
      </c>
      <c r="G1993" s="36" t="s">
        <v>5318</v>
      </c>
    </row>
    <row r="1994" ht="15.75" customHeight="1" spans="6:7">
      <c r="F1994" s="36" t="s">
        <v>5312</v>
      </c>
      <c r="G1994" s="36" t="s">
        <v>5319</v>
      </c>
    </row>
    <row r="1995" ht="15.75" customHeight="1" spans="6:7">
      <c r="F1995" s="36" t="s">
        <v>5312</v>
      </c>
      <c r="G1995" s="36" t="s">
        <v>5320</v>
      </c>
    </row>
    <row r="1996" ht="15.75" customHeight="1" spans="6:7">
      <c r="F1996" s="36" t="s">
        <v>5312</v>
      </c>
      <c r="G1996" s="36" t="s">
        <v>5321</v>
      </c>
    </row>
    <row r="1997" ht="15.75" customHeight="1" spans="6:7">
      <c r="F1997" s="36" t="s">
        <v>5312</v>
      </c>
      <c r="G1997" s="36" t="s">
        <v>5322</v>
      </c>
    </row>
    <row r="1998" ht="15.75" customHeight="1" spans="6:7">
      <c r="F1998" s="36" t="s">
        <v>5312</v>
      </c>
      <c r="G1998" s="36" t="s">
        <v>5323</v>
      </c>
    </row>
    <row r="1999" ht="15.75" customHeight="1" spans="6:7">
      <c r="F1999" s="36" t="s">
        <v>5312</v>
      </c>
      <c r="G1999" s="36" t="s">
        <v>5324</v>
      </c>
    </row>
    <row r="2000" ht="15.75" customHeight="1" spans="6:7">
      <c r="F2000" s="36" t="s">
        <v>5312</v>
      </c>
      <c r="G2000" s="36" t="s">
        <v>5325</v>
      </c>
    </row>
    <row r="2001" ht="15.75" customHeight="1" spans="6:7">
      <c r="F2001" s="36" t="s">
        <v>5312</v>
      </c>
      <c r="G2001" s="36" t="s">
        <v>5326</v>
      </c>
    </row>
    <row r="2002" ht="15.75" customHeight="1" spans="6:7">
      <c r="F2002" s="36" t="s">
        <v>5312</v>
      </c>
      <c r="G2002" s="36" t="s">
        <v>5327</v>
      </c>
    </row>
    <row r="2003" ht="15.75" customHeight="1" spans="6:7">
      <c r="F2003" s="36" t="s">
        <v>5312</v>
      </c>
      <c r="G2003" s="36" t="s">
        <v>5328</v>
      </c>
    </row>
    <row r="2004" ht="15.75" customHeight="1" spans="6:7">
      <c r="F2004" s="36" t="s">
        <v>5312</v>
      </c>
      <c r="G2004" s="36" t="s">
        <v>5329</v>
      </c>
    </row>
    <row r="2005" ht="15.75" customHeight="1" spans="6:7">
      <c r="F2005" s="36" t="s">
        <v>5312</v>
      </c>
      <c r="G2005" s="36" t="s">
        <v>5330</v>
      </c>
    </row>
    <row r="2006" ht="15.75" customHeight="1" spans="6:7">
      <c r="F2006" s="36" t="s">
        <v>5312</v>
      </c>
      <c r="G2006" s="36" t="s">
        <v>5331</v>
      </c>
    </row>
    <row r="2007" ht="15.75" customHeight="1" spans="6:7">
      <c r="F2007" s="36" t="s">
        <v>5312</v>
      </c>
      <c r="G2007" s="36" t="s">
        <v>5332</v>
      </c>
    </row>
    <row r="2008" ht="15.75" customHeight="1" spans="6:7">
      <c r="F2008" s="36" t="s">
        <v>5312</v>
      </c>
      <c r="G2008" s="36" t="s">
        <v>5333</v>
      </c>
    </row>
    <row r="2009" ht="15.75" customHeight="1" spans="6:7">
      <c r="F2009" s="36" t="s">
        <v>5312</v>
      </c>
      <c r="G2009" s="36" t="s">
        <v>5334</v>
      </c>
    </row>
    <row r="2010" ht="15.75" customHeight="1" spans="6:7">
      <c r="F2010" s="36" t="s">
        <v>5312</v>
      </c>
      <c r="G2010" s="36" t="s">
        <v>5335</v>
      </c>
    </row>
    <row r="2011" ht="15.75" customHeight="1" spans="6:7">
      <c r="F2011" s="36" t="s">
        <v>5312</v>
      </c>
      <c r="G2011" s="36" t="s">
        <v>5336</v>
      </c>
    </row>
    <row r="2012" ht="15.75" customHeight="1" spans="6:7">
      <c r="F2012" s="36" t="s">
        <v>5312</v>
      </c>
      <c r="G2012" s="36" t="s">
        <v>5337</v>
      </c>
    </row>
    <row r="2013" ht="15.75" customHeight="1" spans="6:7">
      <c r="F2013" s="36" t="s">
        <v>5312</v>
      </c>
      <c r="G2013" s="36" t="s">
        <v>5338</v>
      </c>
    </row>
    <row r="2014" ht="15.75" customHeight="1" spans="6:7">
      <c r="F2014" s="36" t="s">
        <v>5312</v>
      </c>
      <c r="G2014" s="36" t="s">
        <v>5339</v>
      </c>
    </row>
    <row r="2015" ht="15.75" customHeight="1" spans="6:7">
      <c r="F2015" s="36" t="s">
        <v>5312</v>
      </c>
      <c r="G2015" s="36" t="s">
        <v>5340</v>
      </c>
    </row>
    <row r="2016" ht="15.75" customHeight="1" spans="6:7">
      <c r="F2016" s="36" t="s">
        <v>5312</v>
      </c>
      <c r="G2016" s="36" t="s">
        <v>5341</v>
      </c>
    </row>
    <row r="2017" ht="15.75" customHeight="1" spans="6:7">
      <c r="F2017" s="36" t="s">
        <v>5312</v>
      </c>
      <c r="G2017" s="36" t="s">
        <v>5342</v>
      </c>
    </row>
    <row r="2018" ht="15.75" customHeight="1" spans="6:7">
      <c r="F2018" s="36" t="s">
        <v>5312</v>
      </c>
      <c r="G2018" s="36" t="s">
        <v>5343</v>
      </c>
    </row>
  </sheetData>
  <hyperlinks>
    <hyperlink ref="G158" r:id="rId1" display="Inv.No"/>
  </hyperlinks>
  <pageMargins left="0.7" right="0.7" top="0.75" bottom="0.75" header="0.511811023622047" footer="0.511811023622047"/>
  <pageSetup paperSize="1" orientation="landscape"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zoomScale="65" zoomScaleNormal="65" workbookViewId="0">
      <selection activeCell="A1" sqref="A1"/>
    </sheetView>
  </sheetViews>
  <sheetFormatPr defaultColWidth="14.5" defaultRowHeight="14" outlineLevelCol="1"/>
  <cols>
    <col min="1" max="1" width="32.1640625" customWidth="1"/>
    <col min="2" max="2" width="30" customWidth="1"/>
    <col min="3" max="26" width="8.6640625" customWidth="1"/>
  </cols>
  <sheetData>
    <row r="1" ht="14.75" spans="1:1">
      <c r="A1" s="34" t="s">
        <v>5344</v>
      </c>
    </row>
    <row r="2" ht="14.75" spans="1:2">
      <c r="A2" s="35" t="s">
        <v>3415</v>
      </c>
      <c r="B2" s="35" t="s">
        <v>3416</v>
      </c>
    </row>
    <row r="3" ht="14.75" spans="1:2">
      <c r="A3" s="36" t="s">
        <v>14</v>
      </c>
      <c r="B3" s="36" t="s">
        <v>3418</v>
      </c>
    </row>
    <row r="4" ht="14.75" spans="1:2">
      <c r="A4" s="36" t="s">
        <v>14</v>
      </c>
      <c r="B4" s="36" t="s">
        <v>14</v>
      </c>
    </row>
    <row r="5" ht="14.75" spans="1:2">
      <c r="A5" s="36" t="s">
        <v>14</v>
      </c>
      <c r="B5" s="36" t="s">
        <v>3419</v>
      </c>
    </row>
    <row r="6" ht="14.75" spans="1:2">
      <c r="A6" s="36" t="s">
        <v>14</v>
      </c>
      <c r="B6" s="36" t="s">
        <v>3420</v>
      </c>
    </row>
    <row r="7" ht="14.75" spans="1:2">
      <c r="A7" s="36" t="s">
        <v>14</v>
      </c>
      <c r="B7" s="36" t="s">
        <v>3421</v>
      </c>
    </row>
    <row r="8" ht="14.75" spans="1:2">
      <c r="A8" s="36" t="s">
        <v>14</v>
      </c>
      <c r="B8" s="36" t="s">
        <v>3417</v>
      </c>
    </row>
    <row r="9" ht="14.75" spans="1:2">
      <c r="A9" s="36" t="s">
        <v>14</v>
      </c>
      <c r="B9" s="36" t="s">
        <v>3422</v>
      </c>
    </row>
    <row r="10" ht="14.75" spans="1:2">
      <c r="A10" s="36" t="s">
        <v>14</v>
      </c>
      <c r="B10" s="36" t="s">
        <v>3423</v>
      </c>
    </row>
    <row r="11" ht="14.75" spans="1:2">
      <c r="A11" s="36" t="s">
        <v>14</v>
      </c>
      <c r="B11" s="36" t="s">
        <v>3424</v>
      </c>
    </row>
    <row r="12" ht="14.75" spans="1:2">
      <c r="A12" s="36" t="s">
        <v>14</v>
      </c>
      <c r="B12" s="36" t="s">
        <v>3425</v>
      </c>
    </row>
    <row r="13" ht="14.75" spans="1:2">
      <c r="A13" s="36" t="s">
        <v>14</v>
      </c>
      <c r="B13" s="36" t="s">
        <v>3426</v>
      </c>
    </row>
    <row r="14" ht="14.75" spans="1:2">
      <c r="A14" s="36" t="s">
        <v>14</v>
      </c>
      <c r="B14" s="36" t="s">
        <v>3427</v>
      </c>
    </row>
    <row r="15" ht="14.75" spans="1:2">
      <c r="A15" s="36" t="s">
        <v>14</v>
      </c>
      <c r="B15" s="36" t="s">
        <v>3428</v>
      </c>
    </row>
    <row r="16" ht="14.75" spans="1:2">
      <c r="A16" s="36" t="s">
        <v>14</v>
      </c>
      <c r="B16" s="36" t="s">
        <v>3429</v>
      </c>
    </row>
    <row r="17" ht="14.75" spans="1:2">
      <c r="A17" s="36" t="s">
        <v>14</v>
      </c>
      <c r="B17" s="36" t="s">
        <v>3430</v>
      </c>
    </row>
    <row r="18" ht="14.75" spans="1:2">
      <c r="A18" s="36" t="s">
        <v>14</v>
      </c>
      <c r="B18" s="36" t="s">
        <v>3431</v>
      </c>
    </row>
    <row r="19" ht="14.75" spans="1:2">
      <c r="A19" s="36" t="s">
        <v>14</v>
      </c>
      <c r="B19" s="36" t="s">
        <v>3432</v>
      </c>
    </row>
    <row r="20" ht="24.75" spans="1:2">
      <c r="A20" s="36" t="s">
        <v>14</v>
      </c>
      <c r="B20" s="36" t="s">
        <v>3433</v>
      </c>
    </row>
    <row r="21" ht="15.75" customHeight="1" spans="1:2">
      <c r="A21" s="36" t="s">
        <v>14</v>
      </c>
      <c r="B21" s="36" t="s">
        <v>3434</v>
      </c>
    </row>
    <row r="22" ht="15.75" customHeight="1" spans="1:2">
      <c r="A22" s="36" t="s">
        <v>14</v>
      </c>
      <c r="B22" s="36" t="s">
        <v>3435</v>
      </c>
    </row>
    <row r="23" ht="15.75" customHeight="1" spans="1:2">
      <c r="A23" s="36" t="s">
        <v>14</v>
      </c>
      <c r="B23" s="36" t="s">
        <v>3436</v>
      </c>
    </row>
    <row r="24" ht="15.75" customHeight="1" spans="1:2">
      <c r="A24" s="36" t="s">
        <v>14</v>
      </c>
      <c r="B24" s="36" t="s">
        <v>3437</v>
      </c>
    </row>
    <row r="25" ht="15.75" customHeight="1" spans="1:2">
      <c r="A25" s="36" t="s">
        <v>14</v>
      </c>
      <c r="B25" s="36" t="s">
        <v>3438</v>
      </c>
    </row>
    <row r="26" ht="15.75" customHeight="1" spans="1:2">
      <c r="A26" s="36" t="s">
        <v>14</v>
      </c>
      <c r="B26" s="36" t="s">
        <v>3439</v>
      </c>
    </row>
    <row r="27" ht="15.75" customHeight="1" spans="1:2">
      <c r="A27" s="36" t="s">
        <v>14</v>
      </c>
      <c r="B27" s="36" t="s">
        <v>3440</v>
      </c>
    </row>
    <row r="28" ht="15.75" customHeight="1" spans="1:2">
      <c r="A28" s="36" t="s">
        <v>14</v>
      </c>
      <c r="B28" s="36" t="s">
        <v>3441</v>
      </c>
    </row>
    <row r="29" ht="15.75" customHeight="1" spans="1:2">
      <c r="A29" s="36" t="s">
        <v>14</v>
      </c>
      <c r="B29" s="36" t="s">
        <v>3442</v>
      </c>
    </row>
    <row r="30" ht="15.75" customHeight="1" spans="1:2">
      <c r="A30" s="36" t="s">
        <v>14</v>
      </c>
      <c r="B30" s="36" t="s">
        <v>3443</v>
      </c>
    </row>
    <row r="31" ht="15.75" customHeight="1" spans="1:2">
      <c r="A31" s="36" t="s">
        <v>14</v>
      </c>
      <c r="B31" s="36" t="s">
        <v>3444</v>
      </c>
    </row>
    <row r="32" ht="15.75" customHeight="1" spans="1:2">
      <c r="A32" s="36" t="s">
        <v>14</v>
      </c>
      <c r="B32" s="36" t="s">
        <v>3445</v>
      </c>
    </row>
    <row r="33" ht="15.75" customHeight="1" spans="1:2">
      <c r="A33" s="36" t="s">
        <v>14</v>
      </c>
      <c r="B33" s="36" t="s">
        <v>3446</v>
      </c>
    </row>
    <row r="34" ht="15.75" customHeight="1" spans="1:2">
      <c r="A34" s="36" t="s">
        <v>14</v>
      </c>
      <c r="B34" s="36" t="s">
        <v>3447</v>
      </c>
    </row>
    <row r="35" ht="15.75" customHeight="1" spans="1:2">
      <c r="A35" s="36" t="s">
        <v>14</v>
      </c>
      <c r="B35" s="36" t="s">
        <v>3448</v>
      </c>
    </row>
    <row r="36" ht="15.75" customHeight="1" spans="1:2">
      <c r="A36" s="36" t="s">
        <v>14</v>
      </c>
      <c r="B36" s="36" t="s">
        <v>3449</v>
      </c>
    </row>
    <row r="37" ht="15.75" customHeight="1" spans="1:2">
      <c r="A37" s="36" t="s">
        <v>14</v>
      </c>
      <c r="B37" s="36" t="s">
        <v>3450</v>
      </c>
    </row>
    <row r="38" ht="15.75" customHeight="1" spans="1:2">
      <c r="A38" s="36" t="s">
        <v>14</v>
      </c>
      <c r="B38" s="36" t="s">
        <v>3451</v>
      </c>
    </row>
    <row r="39" ht="15.75" customHeight="1" spans="1:2">
      <c r="A39" s="36" t="s">
        <v>14</v>
      </c>
      <c r="B39" s="36" t="s">
        <v>3452</v>
      </c>
    </row>
    <row r="40" ht="15.75" customHeight="1" spans="1:2">
      <c r="A40" s="36" t="s">
        <v>14</v>
      </c>
      <c r="B40" s="36" t="s">
        <v>3453</v>
      </c>
    </row>
    <row r="41" ht="15.75" customHeight="1" spans="1:2">
      <c r="A41" s="36" t="s">
        <v>14</v>
      </c>
      <c r="B41" s="36" t="s">
        <v>3454</v>
      </c>
    </row>
    <row r="42" ht="15.75" customHeight="1" spans="1:2">
      <c r="A42" s="36" t="s">
        <v>14</v>
      </c>
      <c r="B42" s="36" t="s">
        <v>3455</v>
      </c>
    </row>
    <row r="43" ht="15.75" customHeight="1" spans="1:2">
      <c r="A43" s="36" t="s">
        <v>14</v>
      </c>
      <c r="B43" s="36" t="s">
        <v>3456</v>
      </c>
    </row>
    <row r="44" ht="15.75" customHeight="1" spans="1:2">
      <c r="A44" s="36" t="s">
        <v>99</v>
      </c>
      <c r="B44" s="36" t="s">
        <v>5313</v>
      </c>
    </row>
    <row r="45" ht="15.75" customHeight="1" spans="1:2">
      <c r="A45" s="36" t="s">
        <v>99</v>
      </c>
      <c r="B45" s="36" t="s">
        <v>5314</v>
      </c>
    </row>
    <row r="46" ht="15.75" customHeight="1" spans="1:2">
      <c r="A46" s="36" t="s">
        <v>99</v>
      </c>
      <c r="B46" s="36" t="s">
        <v>5315</v>
      </c>
    </row>
    <row r="47" ht="15.75" customHeight="1" spans="1:2">
      <c r="A47" s="36" t="s">
        <v>99</v>
      </c>
      <c r="B47" s="36" t="s">
        <v>5316</v>
      </c>
    </row>
    <row r="48" ht="15.75" customHeight="1" spans="1:2">
      <c r="A48" s="36" t="s">
        <v>99</v>
      </c>
      <c r="B48" s="36" t="s">
        <v>5317</v>
      </c>
    </row>
    <row r="49" ht="15.75" customHeight="1" spans="1:2">
      <c r="A49" s="36" t="s">
        <v>99</v>
      </c>
      <c r="B49" s="36" t="s">
        <v>5318</v>
      </c>
    </row>
    <row r="50" ht="15.75" customHeight="1" spans="1:2">
      <c r="A50" s="36" t="s">
        <v>99</v>
      </c>
      <c r="B50" s="36" t="s">
        <v>5319</v>
      </c>
    </row>
    <row r="51" ht="15.75" customHeight="1" spans="1:2">
      <c r="A51" s="36" t="s">
        <v>99</v>
      </c>
      <c r="B51" s="36" t="s">
        <v>5320</v>
      </c>
    </row>
    <row r="52" ht="15.75" customHeight="1" spans="1:2">
      <c r="A52" s="36" t="s">
        <v>99</v>
      </c>
      <c r="B52" s="36" t="s">
        <v>5321</v>
      </c>
    </row>
    <row r="53" ht="15.75" customHeight="1" spans="1:2">
      <c r="A53" s="36" t="s">
        <v>99</v>
      </c>
      <c r="B53" s="36" t="s">
        <v>5322</v>
      </c>
    </row>
    <row r="54" ht="15.75" customHeight="1" spans="1:2">
      <c r="A54" s="36" t="s">
        <v>99</v>
      </c>
      <c r="B54" s="36" t="s">
        <v>5323</v>
      </c>
    </row>
    <row r="55" ht="15.75" customHeight="1" spans="1:2">
      <c r="A55" s="36" t="s">
        <v>99</v>
      </c>
      <c r="B55" s="36" t="s">
        <v>5324</v>
      </c>
    </row>
    <row r="56" ht="15.75" customHeight="1" spans="1:2">
      <c r="A56" s="36" t="s">
        <v>99</v>
      </c>
      <c r="B56" s="36" t="s">
        <v>5325</v>
      </c>
    </row>
    <row r="57" ht="15.75" customHeight="1" spans="1:2">
      <c r="A57" s="36" t="s">
        <v>99</v>
      </c>
      <c r="B57" s="36" t="s">
        <v>5326</v>
      </c>
    </row>
    <row r="58" ht="15.75" customHeight="1" spans="1:2">
      <c r="A58" s="36" t="s">
        <v>99</v>
      </c>
      <c r="B58" s="36" t="s">
        <v>5327</v>
      </c>
    </row>
    <row r="59" ht="15.75" customHeight="1" spans="1:2">
      <c r="A59" s="36" t="s">
        <v>99</v>
      </c>
      <c r="B59" s="36" t="s">
        <v>5328</v>
      </c>
    </row>
    <row r="60" ht="15.75" customHeight="1" spans="1:2">
      <c r="A60" s="36" t="s">
        <v>99</v>
      </c>
      <c r="B60" s="36" t="s">
        <v>5329</v>
      </c>
    </row>
    <row r="61" ht="15.75" customHeight="1" spans="1:2">
      <c r="A61" s="36" t="s">
        <v>99</v>
      </c>
      <c r="B61" s="36" t="s">
        <v>5330</v>
      </c>
    </row>
    <row r="62" ht="15.75" customHeight="1" spans="1:2">
      <c r="A62" s="36" t="s">
        <v>99</v>
      </c>
      <c r="B62" s="36" t="s">
        <v>5331</v>
      </c>
    </row>
    <row r="63" ht="15.75" customHeight="1" spans="1:2">
      <c r="A63" s="36" t="s">
        <v>99</v>
      </c>
      <c r="B63" s="36" t="s">
        <v>5332</v>
      </c>
    </row>
    <row r="64" ht="15.75" customHeight="1" spans="1:2">
      <c r="A64" s="36" t="s">
        <v>99</v>
      </c>
      <c r="B64" s="36" t="s">
        <v>5333</v>
      </c>
    </row>
    <row r="65" ht="15.75" customHeight="1" spans="1:2">
      <c r="A65" s="36" t="s">
        <v>99</v>
      </c>
      <c r="B65" s="36" t="s">
        <v>5334</v>
      </c>
    </row>
    <row r="66" ht="15.75" customHeight="1" spans="1:2">
      <c r="A66" s="36" t="s">
        <v>99</v>
      </c>
      <c r="B66" s="36" t="s">
        <v>5335</v>
      </c>
    </row>
    <row r="67" ht="15.75" customHeight="1" spans="1:2">
      <c r="A67" s="36" t="s">
        <v>99</v>
      </c>
      <c r="B67" s="36" t="s">
        <v>5336</v>
      </c>
    </row>
    <row r="68" ht="15.75" customHeight="1" spans="1:2">
      <c r="A68" s="36" t="s">
        <v>99</v>
      </c>
      <c r="B68" s="36" t="s">
        <v>5337</v>
      </c>
    </row>
    <row r="69" ht="15.75" customHeight="1" spans="1:2">
      <c r="A69" s="36" t="s">
        <v>99</v>
      </c>
      <c r="B69" s="36" t="s">
        <v>5338</v>
      </c>
    </row>
    <row r="70" ht="15.75" customHeight="1" spans="1:2">
      <c r="A70" s="36" t="s">
        <v>99</v>
      </c>
      <c r="B70" s="36" t="s">
        <v>5339</v>
      </c>
    </row>
    <row r="71" ht="15.75" customHeight="1" spans="1:2">
      <c r="A71" s="36" t="s">
        <v>99</v>
      </c>
      <c r="B71" s="36" t="s">
        <v>5340</v>
      </c>
    </row>
    <row r="72" ht="15.75" customHeight="1" spans="1:2">
      <c r="A72" s="36" t="s">
        <v>99</v>
      </c>
      <c r="B72" s="36" t="s">
        <v>5341</v>
      </c>
    </row>
    <row r="73" ht="15.75" customHeight="1" spans="1:2">
      <c r="A73" s="36" t="s">
        <v>99</v>
      </c>
      <c r="B73" s="36" t="s">
        <v>5342</v>
      </c>
    </row>
    <row r="74" ht="15.75" customHeight="1" spans="1:2">
      <c r="A74" s="36" t="s">
        <v>99</v>
      </c>
      <c r="B74" s="36" t="s">
        <v>5343</v>
      </c>
    </row>
    <row r="75" ht="15.75" customHeight="1" spans="1:2">
      <c r="A75" s="36" t="s">
        <v>3457</v>
      </c>
      <c r="B75" s="36" t="s">
        <v>3458</v>
      </c>
    </row>
    <row r="76" ht="15.75" customHeight="1" spans="1:2">
      <c r="A76" s="36" t="s">
        <v>3457</v>
      </c>
      <c r="B76" s="36" t="s">
        <v>102</v>
      </c>
    </row>
    <row r="77" ht="15.75" customHeight="1" spans="1:2">
      <c r="A77" s="36" t="s">
        <v>3457</v>
      </c>
      <c r="B77" s="36" t="s">
        <v>3459</v>
      </c>
    </row>
    <row r="78" ht="15.75" customHeight="1" spans="1:2">
      <c r="A78" s="36" t="s">
        <v>3457</v>
      </c>
      <c r="B78" s="36" t="s">
        <v>3460</v>
      </c>
    </row>
    <row r="79" ht="15.75" customHeight="1" spans="1:2">
      <c r="A79" s="36" t="s">
        <v>3457</v>
      </c>
      <c r="B79" s="36" t="s">
        <v>3457</v>
      </c>
    </row>
    <row r="80" ht="15.75" customHeight="1" spans="1:2">
      <c r="A80" s="36" t="s">
        <v>3457</v>
      </c>
      <c r="B80" s="36" t="s">
        <v>3461</v>
      </c>
    </row>
    <row r="81" ht="15.75" customHeight="1" spans="1:2">
      <c r="A81" s="36" t="s">
        <v>3457</v>
      </c>
      <c r="B81" s="36" t="s">
        <v>3462</v>
      </c>
    </row>
    <row r="82" ht="15.75" customHeight="1" spans="1:2">
      <c r="A82" s="36" t="s">
        <v>3457</v>
      </c>
      <c r="B82" s="36" t="s">
        <v>3463</v>
      </c>
    </row>
    <row r="83" ht="15.75" customHeight="1" spans="1:2">
      <c r="A83" s="36" t="s">
        <v>3457</v>
      </c>
      <c r="B83" s="36" t="s">
        <v>3464</v>
      </c>
    </row>
    <row r="84" ht="15.75" customHeight="1" spans="1:2">
      <c r="A84" s="36" t="s">
        <v>3457</v>
      </c>
      <c r="B84" s="36" t="s">
        <v>3465</v>
      </c>
    </row>
    <row r="85" ht="15.75" customHeight="1" spans="1:2">
      <c r="A85" s="36" t="s">
        <v>3457</v>
      </c>
      <c r="B85" s="36" t="s">
        <v>3466</v>
      </c>
    </row>
    <row r="86" ht="15.75" customHeight="1" spans="1:2">
      <c r="A86" s="36" t="s">
        <v>3457</v>
      </c>
      <c r="B86" s="36" t="s">
        <v>3467</v>
      </c>
    </row>
    <row r="87" ht="15.75" customHeight="1" spans="1:2">
      <c r="A87" s="36" t="s">
        <v>3457</v>
      </c>
      <c r="B87" s="36" t="s">
        <v>3468</v>
      </c>
    </row>
    <row r="88" ht="15.75" customHeight="1" spans="1:2">
      <c r="A88" s="36" t="s">
        <v>3457</v>
      </c>
      <c r="B88" s="36" t="s">
        <v>3469</v>
      </c>
    </row>
    <row r="89" ht="15.75" customHeight="1" spans="1:2">
      <c r="A89" s="36" t="s">
        <v>3457</v>
      </c>
      <c r="B89" s="36" t="s">
        <v>3470</v>
      </c>
    </row>
    <row r="90" ht="15.75" customHeight="1" spans="1:2">
      <c r="A90" s="36" t="s">
        <v>3457</v>
      </c>
      <c r="B90" s="36" t="s">
        <v>3471</v>
      </c>
    </row>
    <row r="91" ht="15.75" customHeight="1" spans="1:2">
      <c r="A91" s="36" t="s">
        <v>3457</v>
      </c>
      <c r="B91" s="36" t="s">
        <v>3472</v>
      </c>
    </row>
    <row r="92" ht="15.75" customHeight="1" spans="1:2">
      <c r="A92" s="36" t="s">
        <v>3457</v>
      </c>
      <c r="B92" s="36" t="s">
        <v>3473</v>
      </c>
    </row>
    <row r="93" ht="15.75" customHeight="1" spans="1:2">
      <c r="A93" s="36" t="s">
        <v>3457</v>
      </c>
      <c r="B93" s="36" t="s">
        <v>3474</v>
      </c>
    </row>
    <row r="94" ht="15.75" customHeight="1" spans="1:2">
      <c r="A94" s="36" t="s">
        <v>3457</v>
      </c>
      <c r="B94" s="36" t="s">
        <v>3475</v>
      </c>
    </row>
    <row r="95" ht="15.75" customHeight="1" spans="1:2">
      <c r="A95" s="36" t="s">
        <v>3457</v>
      </c>
      <c r="B95" s="36" t="s">
        <v>3476</v>
      </c>
    </row>
    <row r="96" ht="15.75" customHeight="1" spans="1:2">
      <c r="A96" s="36" t="s">
        <v>3457</v>
      </c>
      <c r="B96" s="36" t="s">
        <v>3477</v>
      </c>
    </row>
    <row r="97" ht="15.75" customHeight="1" spans="1:2">
      <c r="A97" s="36" t="s">
        <v>3457</v>
      </c>
      <c r="B97" s="36" t="s">
        <v>3478</v>
      </c>
    </row>
    <row r="98" ht="15.75" customHeight="1" spans="1:2">
      <c r="A98" s="36" t="s">
        <v>3457</v>
      </c>
      <c r="B98" s="36" t="s">
        <v>3479</v>
      </c>
    </row>
    <row r="99" ht="15.75" customHeight="1" spans="1:2">
      <c r="A99" s="36" t="s">
        <v>3457</v>
      </c>
      <c r="B99" s="36" t="s">
        <v>3480</v>
      </c>
    </row>
    <row r="100" ht="15.75" customHeight="1" spans="1:2">
      <c r="A100" s="36" t="s">
        <v>3457</v>
      </c>
      <c r="B100" s="36" t="s">
        <v>3481</v>
      </c>
    </row>
    <row r="101" ht="15.75" customHeight="1" spans="1:2">
      <c r="A101" s="36" t="s">
        <v>3457</v>
      </c>
      <c r="B101" s="36" t="s">
        <v>3482</v>
      </c>
    </row>
    <row r="102" ht="15.75" customHeight="1" spans="1:2">
      <c r="A102" s="36" t="s">
        <v>3457</v>
      </c>
      <c r="B102" s="36" t="s">
        <v>3483</v>
      </c>
    </row>
    <row r="103" ht="15.75" customHeight="1" spans="1:2">
      <c r="A103" s="36" t="s">
        <v>3457</v>
      </c>
      <c r="B103" s="36" t="s">
        <v>3484</v>
      </c>
    </row>
    <row r="104" ht="15.75" customHeight="1" spans="1:2">
      <c r="A104" s="36" t="s">
        <v>3457</v>
      </c>
      <c r="B104" s="36" t="s">
        <v>3485</v>
      </c>
    </row>
    <row r="105" ht="15.75" customHeight="1" spans="1:2">
      <c r="A105" s="36" t="s">
        <v>3457</v>
      </c>
      <c r="B105" s="36" t="s">
        <v>3486</v>
      </c>
    </row>
    <row r="106" ht="15.75" customHeight="1" spans="1:2">
      <c r="A106" s="36" t="s">
        <v>3457</v>
      </c>
      <c r="B106" s="36" t="s">
        <v>3487</v>
      </c>
    </row>
    <row r="107" ht="15.75" customHeight="1" spans="1:2">
      <c r="A107" s="36" t="s">
        <v>3457</v>
      </c>
      <c r="B107" s="36" t="s">
        <v>3488</v>
      </c>
    </row>
    <row r="108" ht="15.75" customHeight="1" spans="1:2">
      <c r="A108" s="36" t="s">
        <v>3457</v>
      </c>
      <c r="B108" s="36" t="s">
        <v>3489</v>
      </c>
    </row>
    <row r="109" ht="15.75" customHeight="1" spans="1:2">
      <c r="A109" s="36" t="s">
        <v>3457</v>
      </c>
      <c r="B109" s="36" t="s">
        <v>3490</v>
      </c>
    </row>
    <row r="110" ht="15.75" customHeight="1" spans="1:2">
      <c r="A110" s="36" t="s">
        <v>3457</v>
      </c>
      <c r="B110" s="36" t="s">
        <v>3491</v>
      </c>
    </row>
    <row r="111" ht="15.75" customHeight="1" spans="1:2">
      <c r="A111" s="36" t="s">
        <v>3457</v>
      </c>
      <c r="B111" s="36" t="s">
        <v>3492</v>
      </c>
    </row>
    <row r="112" ht="15.75" customHeight="1" spans="1:2">
      <c r="A112" s="36" t="s">
        <v>3457</v>
      </c>
      <c r="B112" s="36" t="s">
        <v>3493</v>
      </c>
    </row>
    <row r="113" ht="15.75" customHeight="1" spans="1:2">
      <c r="A113" s="36" t="s">
        <v>3457</v>
      </c>
      <c r="B113" s="36" t="s">
        <v>3494</v>
      </c>
    </row>
    <row r="114" ht="15.75" customHeight="1" spans="1:2">
      <c r="A114" s="36" t="s">
        <v>3457</v>
      </c>
      <c r="B114" s="36" t="s">
        <v>3495</v>
      </c>
    </row>
    <row r="115" ht="15.75" customHeight="1" spans="1:2">
      <c r="A115" s="36" t="s">
        <v>3457</v>
      </c>
      <c r="B115" s="36" t="s">
        <v>3496</v>
      </c>
    </row>
    <row r="116" ht="15.75" customHeight="1" spans="1:2">
      <c r="A116" s="36" t="s">
        <v>3457</v>
      </c>
      <c r="B116" s="36" t="s">
        <v>3497</v>
      </c>
    </row>
    <row r="117" ht="15.75" customHeight="1" spans="1:2">
      <c r="A117" s="36" t="s">
        <v>3457</v>
      </c>
      <c r="B117" s="36" t="s">
        <v>3498</v>
      </c>
    </row>
    <row r="118" ht="15.75" customHeight="1" spans="1:2">
      <c r="A118" s="36" t="s">
        <v>3457</v>
      </c>
      <c r="B118" s="36" t="s">
        <v>3499</v>
      </c>
    </row>
    <row r="119" ht="15.75" customHeight="1" spans="1:2">
      <c r="A119" s="36" t="s">
        <v>3457</v>
      </c>
      <c r="B119" s="36" t="s">
        <v>3500</v>
      </c>
    </row>
    <row r="120" ht="15.75" customHeight="1" spans="1:2">
      <c r="A120" s="36" t="s">
        <v>3457</v>
      </c>
      <c r="B120" s="36" t="s">
        <v>3501</v>
      </c>
    </row>
    <row r="121" ht="15.75" customHeight="1" spans="1:2">
      <c r="A121" s="36" t="s">
        <v>3457</v>
      </c>
      <c r="B121" s="36" t="s">
        <v>3502</v>
      </c>
    </row>
    <row r="122" ht="15.75" customHeight="1" spans="1:2">
      <c r="A122" s="36" t="s">
        <v>3457</v>
      </c>
      <c r="B122" s="36" t="s">
        <v>3503</v>
      </c>
    </row>
    <row r="123" ht="15.75" customHeight="1" spans="1:2">
      <c r="A123" s="36" t="s">
        <v>3457</v>
      </c>
      <c r="B123" s="36" t="s">
        <v>3504</v>
      </c>
    </row>
    <row r="124" ht="15.75" customHeight="1" spans="1:2">
      <c r="A124" s="36" t="s">
        <v>3457</v>
      </c>
      <c r="B124" s="36" t="s">
        <v>3505</v>
      </c>
    </row>
    <row r="125" ht="15.75" customHeight="1" spans="1:2">
      <c r="A125" s="36" t="s">
        <v>3457</v>
      </c>
      <c r="B125" s="36" t="s">
        <v>3506</v>
      </c>
    </row>
    <row r="126" ht="15.75" customHeight="1" spans="1:2">
      <c r="A126" s="36" t="s">
        <v>3457</v>
      </c>
      <c r="B126" s="36" t="s">
        <v>3507</v>
      </c>
    </row>
    <row r="127" ht="15.75" customHeight="1" spans="1:2">
      <c r="A127" s="36" t="s">
        <v>3457</v>
      </c>
      <c r="B127" s="36" t="s">
        <v>3508</v>
      </c>
    </row>
    <row r="128" ht="15.75" customHeight="1" spans="1:2">
      <c r="A128" s="36" t="s">
        <v>3509</v>
      </c>
      <c r="B128" s="36" t="s">
        <v>3510</v>
      </c>
    </row>
    <row r="129" ht="15.75" customHeight="1" spans="1:2">
      <c r="A129" s="36" t="s">
        <v>3509</v>
      </c>
      <c r="B129" s="36" t="s">
        <v>105</v>
      </c>
    </row>
    <row r="130" ht="15.75" customHeight="1" spans="1:2">
      <c r="A130" s="36" t="s">
        <v>3509</v>
      </c>
      <c r="B130" s="36" t="s">
        <v>3511</v>
      </c>
    </row>
    <row r="131" ht="15.75" customHeight="1" spans="1:2">
      <c r="A131" s="36" t="s">
        <v>3509</v>
      </c>
      <c r="B131" s="36" t="s">
        <v>3512</v>
      </c>
    </row>
    <row r="132" ht="15.75" customHeight="1" spans="1:2">
      <c r="A132" s="36" t="s">
        <v>3509</v>
      </c>
      <c r="B132" s="36" t="s">
        <v>3513</v>
      </c>
    </row>
    <row r="133" ht="15.75" customHeight="1" spans="1:2">
      <c r="A133" s="36" t="s">
        <v>3509</v>
      </c>
      <c r="B133" s="36" t="s">
        <v>3514</v>
      </c>
    </row>
    <row r="134" ht="15.75" customHeight="1" spans="1:2">
      <c r="A134" s="36" t="s">
        <v>3509</v>
      </c>
      <c r="B134" s="36" t="s">
        <v>3515</v>
      </c>
    </row>
    <row r="135" ht="15.75" customHeight="1" spans="1:2">
      <c r="A135" s="36" t="s">
        <v>3509</v>
      </c>
      <c r="B135" s="36" t="s">
        <v>3509</v>
      </c>
    </row>
    <row r="136" ht="15.75" customHeight="1" spans="1:2">
      <c r="A136" s="36" t="s">
        <v>3509</v>
      </c>
      <c r="B136" s="36" t="s">
        <v>3516</v>
      </c>
    </row>
    <row r="137" ht="15.75" customHeight="1" spans="1:2">
      <c r="A137" s="36" t="s">
        <v>3509</v>
      </c>
      <c r="B137" s="36" t="s">
        <v>3517</v>
      </c>
    </row>
    <row r="138" ht="15.75" customHeight="1" spans="1:2">
      <c r="A138" s="36" t="s">
        <v>3509</v>
      </c>
      <c r="B138" s="36" t="s">
        <v>3518</v>
      </c>
    </row>
    <row r="139" ht="15.75" customHeight="1" spans="1:2">
      <c r="A139" s="36" t="s">
        <v>3509</v>
      </c>
      <c r="B139" s="36" t="s">
        <v>3519</v>
      </c>
    </row>
    <row r="140" ht="15.75" customHeight="1" spans="1:2">
      <c r="A140" s="36" t="s">
        <v>3509</v>
      </c>
      <c r="B140" s="36" t="s">
        <v>3520</v>
      </c>
    </row>
    <row r="141" ht="15.75" customHeight="1" spans="1:2">
      <c r="A141" s="36" t="s">
        <v>3509</v>
      </c>
      <c r="B141" s="36" t="s">
        <v>3521</v>
      </c>
    </row>
    <row r="142" ht="15.75" customHeight="1" spans="1:2">
      <c r="A142" s="36" t="s">
        <v>3509</v>
      </c>
      <c r="B142" s="36" t="s">
        <v>3522</v>
      </c>
    </row>
    <row r="143" ht="15.75" customHeight="1" spans="1:2">
      <c r="A143" s="36" t="s">
        <v>3509</v>
      </c>
      <c r="B143" s="36" t="s">
        <v>3523</v>
      </c>
    </row>
    <row r="144" ht="15.75" customHeight="1" spans="1:2">
      <c r="A144" s="36" t="s">
        <v>3509</v>
      </c>
      <c r="B144" s="36" t="s">
        <v>3524</v>
      </c>
    </row>
    <row r="145" ht="15.75" customHeight="1" spans="1:2">
      <c r="A145" s="36" t="s">
        <v>3509</v>
      </c>
      <c r="B145" s="36" t="s">
        <v>3525</v>
      </c>
    </row>
    <row r="146" ht="15.75" customHeight="1" spans="1:2">
      <c r="A146" s="36" t="s">
        <v>3509</v>
      </c>
      <c r="B146" s="36" t="s">
        <v>3526</v>
      </c>
    </row>
    <row r="147" ht="15.75" customHeight="1" spans="1:2">
      <c r="A147" s="36" t="s">
        <v>3509</v>
      </c>
      <c r="B147" s="36" t="s">
        <v>3527</v>
      </c>
    </row>
    <row r="148" ht="15.75" customHeight="1" spans="1:2">
      <c r="A148" s="36" t="s">
        <v>3509</v>
      </c>
      <c r="B148" s="36" t="s">
        <v>3528</v>
      </c>
    </row>
    <row r="149" ht="15.75" customHeight="1" spans="1:2">
      <c r="A149" s="36" t="s">
        <v>3509</v>
      </c>
      <c r="B149" s="36" t="s">
        <v>3529</v>
      </c>
    </row>
    <row r="150" ht="15.75" customHeight="1" spans="1:2">
      <c r="A150" s="36" t="s">
        <v>3509</v>
      </c>
      <c r="B150" s="36" t="s">
        <v>3530</v>
      </c>
    </row>
    <row r="151" ht="15.75" customHeight="1" spans="1:2">
      <c r="A151" s="36" t="s">
        <v>3509</v>
      </c>
      <c r="B151" s="36" t="s">
        <v>3531</v>
      </c>
    </row>
    <row r="152" ht="15.75" customHeight="1" spans="1:2">
      <c r="A152" s="36" t="s">
        <v>3509</v>
      </c>
      <c r="B152" s="36" t="s">
        <v>3532</v>
      </c>
    </row>
    <row r="153" ht="15.75" customHeight="1" spans="1:2">
      <c r="A153" s="36" t="s">
        <v>3509</v>
      </c>
      <c r="B153" s="36" t="s">
        <v>3533</v>
      </c>
    </row>
    <row r="154" ht="15.75" customHeight="1" spans="1:2">
      <c r="A154" s="36" t="s">
        <v>3509</v>
      </c>
      <c r="B154" s="36" t="s">
        <v>3534</v>
      </c>
    </row>
    <row r="155" ht="15.75" customHeight="1" spans="1:2">
      <c r="A155" s="36" t="s">
        <v>3509</v>
      </c>
      <c r="B155" s="36" t="s">
        <v>3535</v>
      </c>
    </row>
    <row r="156" ht="15.75" customHeight="1" spans="1:2">
      <c r="A156" s="36" t="s">
        <v>3509</v>
      </c>
      <c r="B156" s="36" t="s">
        <v>3536</v>
      </c>
    </row>
    <row r="157" ht="15.75" customHeight="1" spans="1:2">
      <c r="A157" s="36" t="s">
        <v>3509</v>
      </c>
      <c r="B157" s="36" t="s">
        <v>3537</v>
      </c>
    </row>
    <row r="158" ht="15.75" customHeight="1" spans="1:2">
      <c r="A158" s="36" t="s">
        <v>3509</v>
      </c>
      <c r="B158" s="36" t="s">
        <v>3538</v>
      </c>
    </row>
    <row r="159" ht="15.75" customHeight="1" spans="1:2">
      <c r="A159" s="36" t="s">
        <v>3509</v>
      </c>
      <c r="B159" s="36" t="s">
        <v>3539</v>
      </c>
    </row>
    <row r="160" ht="15.75" customHeight="1" spans="1:2">
      <c r="A160" s="36" t="s">
        <v>3509</v>
      </c>
      <c r="B160" s="36" t="s">
        <v>3540</v>
      </c>
    </row>
    <row r="161" ht="15.75" customHeight="1" spans="1:2">
      <c r="A161" s="36" t="s">
        <v>3509</v>
      </c>
      <c r="B161" s="36" t="s">
        <v>3541</v>
      </c>
    </row>
    <row r="162" ht="15.75" customHeight="1" spans="1:2">
      <c r="A162" s="36" t="s">
        <v>3509</v>
      </c>
      <c r="B162" s="36" t="s">
        <v>3542</v>
      </c>
    </row>
    <row r="163" ht="15.75" customHeight="1" spans="1:2">
      <c r="A163" s="36" t="s">
        <v>3509</v>
      </c>
      <c r="B163" s="36" t="s">
        <v>3543</v>
      </c>
    </row>
    <row r="164" ht="15.75" customHeight="1" spans="1:2">
      <c r="A164" s="36" t="s">
        <v>3509</v>
      </c>
      <c r="B164" s="36" t="s">
        <v>3544</v>
      </c>
    </row>
    <row r="165" ht="15.75" customHeight="1" spans="1:2">
      <c r="A165" s="36" t="s">
        <v>3509</v>
      </c>
      <c r="B165" s="36" t="s">
        <v>3545</v>
      </c>
    </row>
    <row r="166" ht="15.75" customHeight="1" spans="1:2">
      <c r="A166" s="36" t="s">
        <v>3509</v>
      </c>
      <c r="B166" s="36" t="s">
        <v>3546</v>
      </c>
    </row>
    <row r="167" ht="15.75" customHeight="1" spans="1:2">
      <c r="A167" s="36" t="s">
        <v>3509</v>
      </c>
      <c r="B167" s="36" t="s">
        <v>3547</v>
      </c>
    </row>
    <row r="168" ht="15.75" customHeight="1" spans="1:2">
      <c r="A168" s="36" t="s">
        <v>3509</v>
      </c>
      <c r="B168" s="36" t="s">
        <v>3548</v>
      </c>
    </row>
    <row r="169" ht="15.75" customHeight="1" spans="1:2">
      <c r="A169" s="36" t="s">
        <v>3509</v>
      </c>
      <c r="B169" s="36" t="s">
        <v>3549</v>
      </c>
    </row>
    <row r="170" ht="15.75" customHeight="1" spans="1:2">
      <c r="A170" s="36" t="s">
        <v>3509</v>
      </c>
      <c r="B170" s="36" t="s">
        <v>3550</v>
      </c>
    </row>
    <row r="171" ht="15.75" customHeight="1" spans="1:2">
      <c r="A171" s="36" t="s">
        <v>3509</v>
      </c>
      <c r="B171" s="36" t="s">
        <v>3551</v>
      </c>
    </row>
    <row r="172" ht="15.75" customHeight="1" spans="1:2">
      <c r="A172" s="36" t="s">
        <v>3509</v>
      </c>
      <c r="B172" s="36" t="s">
        <v>3552</v>
      </c>
    </row>
    <row r="173" ht="15.75" customHeight="1" spans="1:2">
      <c r="A173" s="36" t="s">
        <v>3509</v>
      </c>
      <c r="B173" s="36" t="s">
        <v>3553</v>
      </c>
    </row>
    <row r="174" ht="15.75" customHeight="1" spans="1:2">
      <c r="A174" s="36" t="s">
        <v>3509</v>
      </c>
      <c r="B174" s="36" t="s">
        <v>3554</v>
      </c>
    </row>
    <row r="175" ht="15.75" customHeight="1" spans="1:2">
      <c r="A175" s="36" t="s">
        <v>3509</v>
      </c>
      <c r="B175" s="36" t="s">
        <v>3555</v>
      </c>
    </row>
    <row r="176" ht="15.75" customHeight="1" spans="1:2">
      <c r="A176" s="36" t="s">
        <v>3509</v>
      </c>
      <c r="B176" s="36" t="s">
        <v>3556</v>
      </c>
    </row>
    <row r="177" ht="15.75" customHeight="1" spans="1:2">
      <c r="A177" s="36" t="s">
        <v>3509</v>
      </c>
      <c r="B177" s="36" t="s">
        <v>3557</v>
      </c>
    </row>
    <row r="178" ht="15.75" customHeight="1" spans="1:2">
      <c r="A178" s="36" t="s">
        <v>3509</v>
      </c>
      <c r="B178" s="36" t="s">
        <v>3558</v>
      </c>
    </row>
    <row r="179" ht="15.75" customHeight="1" spans="1:2">
      <c r="A179" s="36" t="s">
        <v>3509</v>
      </c>
      <c r="B179" s="36" t="s">
        <v>3559</v>
      </c>
    </row>
    <row r="180" ht="15.75" customHeight="1" spans="1:2">
      <c r="A180" s="36" t="s">
        <v>3509</v>
      </c>
      <c r="B180" s="36" t="s">
        <v>3560</v>
      </c>
    </row>
    <row r="181" ht="15.75" customHeight="1" spans="1:2">
      <c r="A181" s="36" t="s">
        <v>3509</v>
      </c>
      <c r="B181" s="36" t="s">
        <v>3561</v>
      </c>
    </row>
    <row r="182" ht="15.75" customHeight="1" spans="1:2">
      <c r="A182" s="36" t="s">
        <v>3509</v>
      </c>
      <c r="B182" s="36" t="s">
        <v>3562</v>
      </c>
    </row>
    <row r="183" ht="15.75" customHeight="1" spans="1:2">
      <c r="A183" s="36" t="s">
        <v>3509</v>
      </c>
      <c r="B183" s="36" t="s">
        <v>3563</v>
      </c>
    </row>
    <row r="184" ht="15.75" customHeight="1" spans="1:2">
      <c r="A184" s="36" t="s">
        <v>3509</v>
      </c>
      <c r="B184" s="36" t="s">
        <v>3564</v>
      </c>
    </row>
    <row r="185" ht="15.75" customHeight="1" spans="1:2">
      <c r="A185" s="36" t="s">
        <v>3509</v>
      </c>
      <c r="B185" s="36" t="s">
        <v>3565</v>
      </c>
    </row>
    <row r="186" ht="15.75" customHeight="1" spans="1:2">
      <c r="A186" s="36" t="s">
        <v>3509</v>
      </c>
      <c r="B186" s="36" t="s">
        <v>3566</v>
      </c>
    </row>
    <row r="187" ht="15.75" customHeight="1" spans="1:2">
      <c r="A187" s="36" t="s">
        <v>3509</v>
      </c>
      <c r="B187" s="36" t="s">
        <v>3567</v>
      </c>
    </row>
    <row r="188" ht="15.75" customHeight="1" spans="1:2">
      <c r="A188" s="36" t="s">
        <v>3509</v>
      </c>
      <c r="B188" s="37" t="s">
        <v>3568</v>
      </c>
    </row>
    <row r="189" ht="15.75" customHeight="1" spans="1:2">
      <c r="A189" s="36" t="s">
        <v>3509</v>
      </c>
      <c r="B189" s="36" t="s">
        <v>3569</v>
      </c>
    </row>
    <row r="190" ht="15.75" customHeight="1" spans="1:2">
      <c r="A190" s="36" t="s">
        <v>3509</v>
      </c>
      <c r="B190" s="36" t="s">
        <v>3570</v>
      </c>
    </row>
    <row r="191" ht="15.75" customHeight="1" spans="1:2">
      <c r="A191" s="36" t="s">
        <v>3509</v>
      </c>
      <c r="B191" s="36" t="s">
        <v>3571</v>
      </c>
    </row>
    <row r="192" ht="15.75" customHeight="1" spans="1:2">
      <c r="A192" s="36" t="s">
        <v>3509</v>
      </c>
      <c r="B192" s="36" t="s">
        <v>3572</v>
      </c>
    </row>
    <row r="193" ht="15.75" customHeight="1" spans="1:2">
      <c r="A193" s="36" t="s">
        <v>3509</v>
      </c>
      <c r="B193" s="36" t="s">
        <v>3573</v>
      </c>
    </row>
    <row r="194" ht="15.75" customHeight="1" spans="1:2">
      <c r="A194" s="36" t="s">
        <v>3509</v>
      </c>
      <c r="B194" s="36" t="s">
        <v>3574</v>
      </c>
    </row>
    <row r="195" ht="15.75" customHeight="1" spans="1:2">
      <c r="A195" s="36" t="s">
        <v>3509</v>
      </c>
      <c r="B195" s="36" t="s">
        <v>3575</v>
      </c>
    </row>
    <row r="196" ht="15.75" customHeight="1" spans="1:2">
      <c r="A196" s="36" t="s">
        <v>3509</v>
      </c>
      <c r="B196" s="36" t="s">
        <v>3576</v>
      </c>
    </row>
    <row r="197" ht="15.75" customHeight="1" spans="1:2">
      <c r="A197" s="36" t="s">
        <v>3509</v>
      </c>
      <c r="B197" s="36" t="s">
        <v>3577</v>
      </c>
    </row>
    <row r="198" ht="15.75" customHeight="1" spans="1:2">
      <c r="A198" s="36" t="s">
        <v>3509</v>
      </c>
      <c r="B198" s="36" t="s">
        <v>3578</v>
      </c>
    </row>
    <row r="199" ht="15.75" customHeight="1" spans="1:2">
      <c r="A199" s="36" t="s">
        <v>3509</v>
      </c>
      <c r="B199" s="36" t="s">
        <v>3579</v>
      </c>
    </row>
    <row r="200" ht="15.75" customHeight="1" spans="1:2">
      <c r="A200" s="36" t="s">
        <v>3580</v>
      </c>
      <c r="B200" s="36" t="s">
        <v>117</v>
      </c>
    </row>
    <row r="201" ht="15.75" customHeight="1" spans="1:2">
      <c r="A201" s="36" t="s">
        <v>3580</v>
      </c>
      <c r="B201" s="36" t="s">
        <v>3581</v>
      </c>
    </row>
    <row r="202" ht="15.75" customHeight="1" spans="1:2">
      <c r="A202" s="36" t="s">
        <v>3580</v>
      </c>
      <c r="B202" s="36" t="s">
        <v>3582</v>
      </c>
    </row>
    <row r="203" ht="15.75" customHeight="1" spans="1:2">
      <c r="A203" s="36" t="s">
        <v>3580</v>
      </c>
      <c r="B203" s="36" t="s">
        <v>3583</v>
      </c>
    </row>
    <row r="204" ht="15.75" customHeight="1" spans="1:2">
      <c r="A204" s="36" t="s">
        <v>3580</v>
      </c>
      <c r="B204" s="36" t="s">
        <v>3584</v>
      </c>
    </row>
    <row r="205" ht="15.75" customHeight="1" spans="1:2">
      <c r="A205" s="36" t="s">
        <v>3580</v>
      </c>
      <c r="B205" s="36" t="s">
        <v>304</v>
      </c>
    </row>
    <row r="206" ht="15.75" customHeight="1" spans="1:2">
      <c r="A206" s="36" t="s">
        <v>3580</v>
      </c>
      <c r="B206" s="36" t="s">
        <v>3585</v>
      </c>
    </row>
    <row r="207" ht="15.75" customHeight="1" spans="1:2">
      <c r="A207" s="36" t="s">
        <v>3580</v>
      </c>
      <c r="B207" s="36" t="s">
        <v>3586</v>
      </c>
    </row>
    <row r="208" ht="15.75" customHeight="1" spans="1:2">
      <c r="A208" s="36" t="s">
        <v>3580</v>
      </c>
      <c r="B208" s="36" t="s">
        <v>3587</v>
      </c>
    </row>
    <row r="209" ht="15.75" customHeight="1" spans="1:2">
      <c r="A209" s="36" t="s">
        <v>3580</v>
      </c>
      <c r="B209" s="36" t="s">
        <v>3588</v>
      </c>
    </row>
    <row r="210" ht="15.75" customHeight="1" spans="1:2">
      <c r="A210" s="36" t="s">
        <v>3580</v>
      </c>
      <c r="B210" s="36" t="s">
        <v>3589</v>
      </c>
    </row>
    <row r="211" ht="15.75" customHeight="1" spans="1:2">
      <c r="A211" s="36" t="s">
        <v>3580</v>
      </c>
      <c r="B211" s="36" t="s">
        <v>3590</v>
      </c>
    </row>
    <row r="212" ht="15.75" customHeight="1" spans="1:2">
      <c r="A212" s="36" t="s">
        <v>3580</v>
      </c>
      <c r="B212" s="36" t="s">
        <v>3591</v>
      </c>
    </row>
    <row r="213" ht="15.75" customHeight="1" spans="1:2">
      <c r="A213" s="36" t="s">
        <v>3580</v>
      </c>
      <c r="B213" s="36" t="s">
        <v>3592</v>
      </c>
    </row>
    <row r="214" ht="15.75" customHeight="1" spans="1:2">
      <c r="A214" s="36" t="s">
        <v>3580</v>
      </c>
      <c r="B214" s="36" t="s">
        <v>3593</v>
      </c>
    </row>
    <row r="215" ht="15.75" customHeight="1" spans="1:2">
      <c r="A215" s="36" t="s">
        <v>3580</v>
      </c>
      <c r="B215" s="36" t="s">
        <v>3594</v>
      </c>
    </row>
    <row r="216" ht="15.75" customHeight="1" spans="1:2">
      <c r="A216" s="36" t="s">
        <v>3580</v>
      </c>
      <c r="B216" s="36" t="s">
        <v>3595</v>
      </c>
    </row>
    <row r="217" ht="15.75" customHeight="1" spans="1:2">
      <c r="A217" s="36" t="s">
        <v>3580</v>
      </c>
      <c r="B217" s="36" t="s">
        <v>3596</v>
      </c>
    </row>
    <row r="218" ht="15.75" customHeight="1" spans="1:2">
      <c r="A218" s="36" t="s">
        <v>3580</v>
      </c>
      <c r="B218" s="36" t="s">
        <v>3597</v>
      </c>
    </row>
    <row r="219" ht="15.75" customHeight="1" spans="1:2">
      <c r="A219" s="36" t="s">
        <v>3580</v>
      </c>
      <c r="B219" s="36" t="s">
        <v>3598</v>
      </c>
    </row>
    <row r="220" ht="15.75" customHeight="1" spans="1:2">
      <c r="A220" s="36" t="s">
        <v>3580</v>
      </c>
      <c r="B220" s="36" t="s">
        <v>3599</v>
      </c>
    </row>
    <row r="221" ht="15.75" customHeight="1" spans="1:2">
      <c r="A221" s="36" t="s">
        <v>3580</v>
      </c>
      <c r="B221" s="36" t="s">
        <v>3580</v>
      </c>
    </row>
    <row r="222" ht="15.75" customHeight="1" spans="1:2">
      <c r="A222" s="36" t="s">
        <v>3580</v>
      </c>
      <c r="B222" s="36" t="s">
        <v>3600</v>
      </c>
    </row>
    <row r="223" ht="15.75" customHeight="1" spans="1:2">
      <c r="A223" s="36" t="s">
        <v>3580</v>
      </c>
      <c r="B223" s="36" t="s">
        <v>3601</v>
      </c>
    </row>
    <row r="224" ht="15.75" customHeight="1" spans="1:2">
      <c r="A224" s="36" t="s">
        <v>3580</v>
      </c>
      <c r="B224" s="36" t="s">
        <v>3602</v>
      </c>
    </row>
    <row r="225" ht="15.75" customHeight="1" spans="1:2">
      <c r="A225" s="36" t="s">
        <v>3580</v>
      </c>
      <c r="B225" s="36" t="s">
        <v>3603</v>
      </c>
    </row>
    <row r="226" ht="15.75" customHeight="1" spans="1:2">
      <c r="A226" s="36" t="s">
        <v>3580</v>
      </c>
      <c r="B226" s="36" t="s">
        <v>3604</v>
      </c>
    </row>
    <row r="227" ht="15.75" customHeight="1" spans="1:2">
      <c r="A227" s="36" t="s">
        <v>3580</v>
      </c>
      <c r="B227" s="36" t="s">
        <v>3605</v>
      </c>
    </row>
    <row r="228" ht="15.75" customHeight="1" spans="1:2">
      <c r="A228" s="36" t="s">
        <v>3580</v>
      </c>
      <c r="B228" s="36" t="s">
        <v>3606</v>
      </c>
    </row>
    <row r="229" ht="15.75" customHeight="1" spans="1:2">
      <c r="A229" s="36" t="s">
        <v>3580</v>
      </c>
      <c r="B229" s="36" t="s">
        <v>3607</v>
      </c>
    </row>
    <row r="230" ht="15.75" customHeight="1" spans="1:2">
      <c r="A230" s="36" t="s">
        <v>3580</v>
      </c>
      <c r="B230" s="36" t="s">
        <v>3608</v>
      </c>
    </row>
    <row r="231" ht="15.75" customHeight="1" spans="1:2">
      <c r="A231" s="36" t="s">
        <v>3580</v>
      </c>
      <c r="B231" s="36" t="s">
        <v>3609</v>
      </c>
    </row>
    <row r="232" ht="15.75" customHeight="1" spans="1:2">
      <c r="A232" s="36" t="s">
        <v>3580</v>
      </c>
      <c r="B232" s="36" t="s">
        <v>3610</v>
      </c>
    </row>
    <row r="233" ht="15.75" customHeight="1" spans="1:2">
      <c r="A233" s="36" t="s">
        <v>3580</v>
      </c>
      <c r="B233" s="36" t="s">
        <v>3611</v>
      </c>
    </row>
    <row r="234" ht="15.75" customHeight="1" spans="1:2">
      <c r="A234" s="36" t="s">
        <v>3580</v>
      </c>
      <c r="B234" s="36" t="s">
        <v>3612</v>
      </c>
    </row>
    <row r="235" ht="15.75" customHeight="1" spans="1:2">
      <c r="A235" s="36" t="s">
        <v>3580</v>
      </c>
      <c r="B235" s="36" t="s">
        <v>3613</v>
      </c>
    </row>
    <row r="236" ht="15.75" customHeight="1" spans="1:2">
      <c r="A236" s="36" t="s">
        <v>3580</v>
      </c>
      <c r="B236" s="36" t="s">
        <v>3614</v>
      </c>
    </row>
    <row r="237" ht="15.75" customHeight="1" spans="1:2">
      <c r="A237" s="36" t="s">
        <v>3580</v>
      </c>
      <c r="B237" s="36" t="s">
        <v>3615</v>
      </c>
    </row>
    <row r="238" ht="15.75" customHeight="1" spans="1:2">
      <c r="A238" s="36" t="s">
        <v>3580</v>
      </c>
      <c r="B238" s="36" t="s">
        <v>3616</v>
      </c>
    </row>
    <row r="239" ht="15.75" customHeight="1" spans="1:2">
      <c r="A239" s="36" t="s">
        <v>3580</v>
      </c>
      <c r="B239" s="36" t="s">
        <v>3617</v>
      </c>
    </row>
    <row r="240" ht="15.75" customHeight="1" spans="1:2">
      <c r="A240" s="36" t="s">
        <v>3580</v>
      </c>
      <c r="B240" s="36" t="s">
        <v>3618</v>
      </c>
    </row>
    <row r="241" ht="15.75" customHeight="1" spans="1:2">
      <c r="A241" s="36" t="s">
        <v>3580</v>
      </c>
      <c r="B241" s="36" t="s">
        <v>3619</v>
      </c>
    </row>
    <row r="242" ht="15.75" customHeight="1" spans="1:2">
      <c r="A242" s="36" t="s">
        <v>3580</v>
      </c>
      <c r="B242" s="36" t="s">
        <v>3620</v>
      </c>
    </row>
    <row r="243" ht="15.75" customHeight="1" spans="1:2">
      <c r="A243" s="36" t="s">
        <v>3580</v>
      </c>
      <c r="B243" s="36" t="s">
        <v>3621</v>
      </c>
    </row>
    <row r="244" ht="15.75" customHeight="1" spans="1:2">
      <c r="A244" s="36" t="s">
        <v>3580</v>
      </c>
      <c r="B244" s="36" t="s">
        <v>3622</v>
      </c>
    </row>
    <row r="245" ht="15.75" customHeight="1" spans="1:2">
      <c r="A245" s="36" t="s">
        <v>3580</v>
      </c>
      <c r="B245" s="36" t="s">
        <v>3623</v>
      </c>
    </row>
    <row r="246" ht="15.75" customHeight="1" spans="1:2">
      <c r="A246" s="36" t="s">
        <v>3580</v>
      </c>
      <c r="B246" s="36" t="s">
        <v>3624</v>
      </c>
    </row>
    <row r="247" ht="15.75" customHeight="1" spans="1:2">
      <c r="A247" s="36" t="s">
        <v>3580</v>
      </c>
      <c r="B247" s="36" t="s">
        <v>3625</v>
      </c>
    </row>
    <row r="248" ht="15.75" customHeight="1" spans="1:2">
      <c r="A248" s="36" t="s">
        <v>3580</v>
      </c>
      <c r="B248" s="36" t="s">
        <v>3626</v>
      </c>
    </row>
    <row r="249" ht="15.75" customHeight="1" spans="1:2">
      <c r="A249" s="36" t="s">
        <v>3580</v>
      </c>
      <c r="B249" s="36" t="s">
        <v>3627</v>
      </c>
    </row>
    <row r="250" ht="15.75" customHeight="1" spans="1:2">
      <c r="A250" s="36" t="s">
        <v>3580</v>
      </c>
      <c r="B250" s="36" t="s">
        <v>3628</v>
      </c>
    </row>
    <row r="251" ht="15.75" customHeight="1" spans="1:2">
      <c r="A251" s="36" t="s">
        <v>3580</v>
      </c>
      <c r="B251" s="36" t="s">
        <v>3629</v>
      </c>
    </row>
    <row r="252" ht="15.75" customHeight="1" spans="1:2">
      <c r="A252" s="36" t="s">
        <v>3580</v>
      </c>
      <c r="B252" s="36" t="s">
        <v>3630</v>
      </c>
    </row>
    <row r="253" ht="15.75" customHeight="1" spans="1:2">
      <c r="A253" s="36" t="s">
        <v>3580</v>
      </c>
      <c r="B253" s="36" t="s">
        <v>3631</v>
      </c>
    </row>
    <row r="254" ht="15.75" customHeight="1" spans="1:2">
      <c r="A254" s="36" t="s">
        <v>3580</v>
      </c>
      <c r="B254" s="36" t="s">
        <v>3632</v>
      </c>
    </row>
    <row r="255" ht="15.75" customHeight="1" spans="1:2">
      <c r="A255" s="36" t="s">
        <v>3580</v>
      </c>
      <c r="B255" s="36" t="s">
        <v>3633</v>
      </c>
    </row>
    <row r="256" ht="15.75" customHeight="1" spans="1:2">
      <c r="A256" s="36" t="s">
        <v>3580</v>
      </c>
      <c r="B256" s="36" t="s">
        <v>3634</v>
      </c>
    </row>
    <row r="257" ht="15.75" customHeight="1" spans="1:2">
      <c r="A257" s="36" t="s">
        <v>3580</v>
      </c>
      <c r="B257" s="36" t="s">
        <v>3635</v>
      </c>
    </row>
    <row r="258" ht="15.75" customHeight="1" spans="1:2">
      <c r="A258" s="36" t="s">
        <v>3580</v>
      </c>
      <c r="B258" s="36" t="s">
        <v>3636</v>
      </c>
    </row>
    <row r="259" ht="15.75" customHeight="1" spans="1:2">
      <c r="A259" s="36" t="s">
        <v>3580</v>
      </c>
      <c r="B259" s="36" t="s">
        <v>3637</v>
      </c>
    </row>
    <row r="260" ht="15.75" customHeight="1" spans="1:2">
      <c r="A260" s="36" t="s">
        <v>3580</v>
      </c>
      <c r="B260" s="36" t="s">
        <v>3638</v>
      </c>
    </row>
    <row r="261" ht="15.75" customHeight="1" spans="1:2">
      <c r="A261" s="36" t="s">
        <v>3580</v>
      </c>
      <c r="B261" s="36" t="s">
        <v>3639</v>
      </c>
    </row>
    <row r="262" ht="15.75" customHeight="1" spans="1:2">
      <c r="A262" s="36" t="s">
        <v>3580</v>
      </c>
      <c r="B262" s="36" t="s">
        <v>3640</v>
      </c>
    </row>
    <row r="263" ht="15.75" customHeight="1" spans="1:2">
      <c r="A263" s="36" t="s">
        <v>3580</v>
      </c>
      <c r="B263" s="36" t="s">
        <v>3641</v>
      </c>
    </row>
    <row r="264" ht="15.75" customHeight="1" spans="1:2">
      <c r="A264" s="36" t="s">
        <v>3580</v>
      </c>
      <c r="B264" s="36" t="s">
        <v>3642</v>
      </c>
    </row>
    <row r="265" ht="15.75" customHeight="1" spans="1:2">
      <c r="A265" s="36" t="s">
        <v>3580</v>
      </c>
      <c r="B265" s="36" t="s">
        <v>3643</v>
      </c>
    </row>
    <row r="266" ht="15.75" customHeight="1" spans="1:2">
      <c r="A266" s="36" t="s">
        <v>3580</v>
      </c>
      <c r="B266" s="36" t="s">
        <v>3644</v>
      </c>
    </row>
    <row r="267" ht="15.75" customHeight="1" spans="1:2">
      <c r="A267" s="36" t="s">
        <v>3580</v>
      </c>
      <c r="B267" s="36" t="s">
        <v>3645</v>
      </c>
    </row>
    <row r="268" ht="15.75" customHeight="1" spans="1:2">
      <c r="A268" s="36" t="s">
        <v>3580</v>
      </c>
      <c r="B268" s="36" t="s">
        <v>3646</v>
      </c>
    </row>
    <row r="269" ht="15.75" customHeight="1" spans="1:2">
      <c r="A269" s="36" t="s">
        <v>3580</v>
      </c>
      <c r="B269" s="36" t="s">
        <v>3647</v>
      </c>
    </row>
    <row r="270" ht="15.75" customHeight="1" spans="1:2">
      <c r="A270" s="36" t="s">
        <v>3580</v>
      </c>
      <c r="B270" s="36" t="s">
        <v>3648</v>
      </c>
    </row>
    <row r="271" ht="15.75" customHeight="1" spans="1:2">
      <c r="A271" s="36" t="s">
        <v>3580</v>
      </c>
      <c r="B271" s="36" t="s">
        <v>3649</v>
      </c>
    </row>
    <row r="272" ht="15.75" customHeight="1" spans="1:2">
      <c r="A272" s="36" t="s">
        <v>3580</v>
      </c>
      <c r="B272" s="36" t="s">
        <v>3650</v>
      </c>
    </row>
    <row r="273" ht="15.75" customHeight="1" spans="1:2">
      <c r="A273" s="36" t="s">
        <v>3580</v>
      </c>
      <c r="B273" s="36" t="s">
        <v>3651</v>
      </c>
    </row>
    <row r="274" ht="15.75" customHeight="1" spans="1:2">
      <c r="A274" s="36" t="s">
        <v>3580</v>
      </c>
      <c r="B274" s="36" t="s">
        <v>3652</v>
      </c>
    </row>
    <row r="275" ht="15.75" customHeight="1" spans="1:2">
      <c r="A275" s="36" t="s">
        <v>3580</v>
      </c>
      <c r="B275" s="36" t="s">
        <v>3653</v>
      </c>
    </row>
    <row r="276" ht="15.75" customHeight="1" spans="1:2">
      <c r="A276" s="36" t="s">
        <v>3580</v>
      </c>
      <c r="B276" s="36" t="s">
        <v>3654</v>
      </c>
    </row>
    <row r="277" ht="15.75" customHeight="1" spans="1:2">
      <c r="A277" s="36" t="s">
        <v>3580</v>
      </c>
      <c r="B277" s="36" t="s">
        <v>3655</v>
      </c>
    </row>
    <row r="278" ht="15.75" customHeight="1" spans="1:2">
      <c r="A278" s="36" t="s">
        <v>3580</v>
      </c>
      <c r="B278" s="36" t="s">
        <v>3656</v>
      </c>
    </row>
    <row r="279" ht="15.75" customHeight="1" spans="1:2">
      <c r="A279" s="36" t="s">
        <v>3580</v>
      </c>
      <c r="B279" s="36" t="s">
        <v>3657</v>
      </c>
    </row>
    <row r="280" ht="15.75" customHeight="1" spans="1:2">
      <c r="A280" s="36" t="s">
        <v>3580</v>
      </c>
      <c r="B280" s="36" t="s">
        <v>3658</v>
      </c>
    </row>
    <row r="281" ht="15.75" customHeight="1" spans="1:2">
      <c r="A281" s="36" t="s">
        <v>3580</v>
      </c>
      <c r="B281" s="36" t="s">
        <v>3659</v>
      </c>
    </row>
    <row r="282" ht="15.75" customHeight="1" spans="1:2">
      <c r="A282" s="36" t="s">
        <v>3580</v>
      </c>
      <c r="B282" s="36" t="s">
        <v>3660</v>
      </c>
    </row>
    <row r="283" ht="15.75" customHeight="1" spans="1:2">
      <c r="A283" s="36" t="s">
        <v>3580</v>
      </c>
      <c r="B283" s="36" t="s">
        <v>3661</v>
      </c>
    </row>
    <row r="284" ht="15.75" customHeight="1" spans="1:2">
      <c r="A284" s="36" t="s">
        <v>3580</v>
      </c>
      <c r="B284" s="36" t="s">
        <v>3662</v>
      </c>
    </row>
    <row r="285" ht="15.75" customHeight="1" spans="1:2">
      <c r="A285" s="36" t="s">
        <v>3580</v>
      </c>
      <c r="B285" s="36" t="s">
        <v>3663</v>
      </c>
    </row>
    <row r="286" ht="15.75" customHeight="1" spans="1:2">
      <c r="A286" s="36" t="s">
        <v>3580</v>
      </c>
      <c r="B286" s="36" t="s">
        <v>3664</v>
      </c>
    </row>
    <row r="287" ht="15.75" customHeight="1" spans="1:2">
      <c r="A287" s="36" t="s">
        <v>3580</v>
      </c>
      <c r="B287" s="36" t="s">
        <v>3665</v>
      </c>
    </row>
    <row r="288" ht="15.75" customHeight="1" spans="1:2">
      <c r="A288" s="36" t="s">
        <v>3580</v>
      </c>
      <c r="B288" s="36" t="s">
        <v>3666</v>
      </c>
    </row>
    <row r="289" ht="15.75" customHeight="1" spans="1:2">
      <c r="A289" s="36" t="s">
        <v>3580</v>
      </c>
      <c r="B289" s="36" t="s">
        <v>3667</v>
      </c>
    </row>
    <row r="290" ht="15.75" customHeight="1" spans="1:2">
      <c r="A290" s="36" t="s">
        <v>3580</v>
      </c>
      <c r="B290" s="36" t="s">
        <v>3668</v>
      </c>
    </row>
    <row r="291" ht="15.75" customHeight="1" spans="1:2">
      <c r="A291" s="36" t="s">
        <v>3580</v>
      </c>
      <c r="B291" s="36" t="s">
        <v>3669</v>
      </c>
    </row>
    <row r="292" ht="15.75" customHeight="1" spans="1:2">
      <c r="A292" s="36" t="s">
        <v>3580</v>
      </c>
      <c r="B292" s="36" t="s">
        <v>3670</v>
      </c>
    </row>
    <row r="293" ht="15.75" customHeight="1" spans="1:2">
      <c r="A293" s="36" t="s">
        <v>3580</v>
      </c>
      <c r="B293" s="36" t="s">
        <v>3671</v>
      </c>
    </row>
    <row r="294" ht="15.75" customHeight="1" spans="1:2">
      <c r="A294" s="36" t="s">
        <v>3580</v>
      </c>
      <c r="B294" s="36" t="s">
        <v>3672</v>
      </c>
    </row>
    <row r="295" ht="15.75" customHeight="1" spans="1:2">
      <c r="A295" s="36" t="s">
        <v>3580</v>
      </c>
      <c r="B295" s="36" t="s">
        <v>3673</v>
      </c>
    </row>
    <row r="296" ht="15.75" customHeight="1" spans="1:2">
      <c r="A296" s="36" t="s">
        <v>3580</v>
      </c>
      <c r="B296" s="36" t="s">
        <v>3674</v>
      </c>
    </row>
    <row r="297" ht="15.75" customHeight="1" spans="1:2">
      <c r="A297" s="36" t="s">
        <v>3580</v>
      </c>
      <c r="B297" s="36" t="s">
        <v>3675</v>
      </c>
    </row>
    <row r="298" ht="15.75" customHeight="1" spans="1:2">
      <c r="A298" s="36" t="s">
        <v>3580</v>
      </c>
      <c r="B298" s="36" t="s">
        <v>3676</v>
      </c>
    </row>
    <row r="299" ht="15.75" customHeight="1" spans="1:2">
      <c r="A299" s="36" t="s">
        <v>3580</v>
      </c>
      <c r="B299" s="36" t="s">
        <v>3677</v>
      </c>
    </row>
    <row r="300" ht="15.75" customHeight="1" spans="1:2">
      <c r="A300" s="36" t="s">
        <v>3580</v>
      </c>
      <c r="B300" s="36" t="s">
        <v>3678</v>
      </c>
    </row>
    <row r="301" ht="15.75" customHeight="1" spans="1:2">
      <c r="A301" s="36" t="s">
        <v>3580</v>
      </c>
      <c r="B301" s="36" t="s">
        <v>3679</v>
      </c>
    </row>
    <row r="302" ht="15.75" customHeight="1" spans="1:2">
      <c r="A302" s="36" t="s">
        <v>3580</v>
      </c>
      <c r="B302" s="36" t="s">
        <v>3680</v>
      </c>
    </row>
    <row r="303" ht="15.75" customHeight="1" spans="1:2">
      <c r="A303" s="36" t="s">
        <v>3580</v>
      </c>
      <c r="B303" s="36" t="s">
        <v>3681</v>
      </c>
    </row>
    <row r="304" ht="15.75" customHeight="1" spans="1:2">
      <c r="A304" s="36" t="s">
        <v>3580</v>
      </c>
      <c r="B304" s="36" t="s">
        <v>3682</v>
      </c>
    </row>
    <row r="305" ht="15.75" customHeight="1" spans="1:2">
      <c r="A305" s="36" t="s">
        <v>3683</v>
      </c>
      <c r="B305" s="36" t="s">
        <v>3684</v>
      </c>
    </row>
    <row r="306" ht="15.75" customHeight="1" spans="1:2">
      <c r="A306" s="36" t="s">
        <v>3683</v>
      </c>
      <c r="B306" s="36" t="s">
        <v>20</v>
      </c>
    </row>
    <row r="307" ht="15.75" customHeight="1" spans="1:2">
      <c r="A307" s="36" t="s">
        <v>3683</v>
      </c>
      <c r="B307" s="36" t="s">
        <v>3685</v>
      </c>
    </row>
    <row r="308" ht="15.75" customHeight="1" spans="1:2">
      <c r="A308" s="36" t="s">
        <v>3683</v>
      </c>
      <c r="B308" s="36" t="s">
        <v>3686</v>
      </c>
    </row>
    <row r="309" ht="15.75" customHeight="1" spans="1:2">
      <c r="A309" s="36" t="s">
        <v>3683</v>
      </c>
      <c r="B309" s="36" t="s">
        <v>3687</v>
      </c>
    </row>
    <row r="310" ht="15.75" customHeight="1" spans="1:2">
      <c r="A310" s="36" t="s">
        <v>3683</v>
      </c>
      <c r="B310" s="36" t="s">
        <v>3688</v>
      </c>
    </row>
    <row r="311" ht="15.75" customHeight="1" spans="1:2">
      <c r="A311" s="36" t="s">
        <v>3683</v>
      </c>
      <c r="B311" s="36" t="s">
        <v>3689</v>
      </c>
    </row>
    <row r="312" ht="15.75" customHeight="1" spans="1:2">
      <c r="A312" s="36" t="s">
        <v>3683</v>
      </c>
      <c r="B312" s="36" t="s">
        <v>3690</v>
      </c>
    </row>
    <row r="313" ht="15.75" customHeight="1" spans="1:2">
      <c r="A313" s="36" t="s">
        <v>3683</v>
      </c>
      <c r="B313" s="36" t="s">
        <v>3691</v>
      </c>
    </row>
    <row r="314" ht="15.75" customHeight="1" spans="1:2">
      <c r="A314" s="36" t="s">
        <v>3683</v>
      </c>
      <c r="B314" s="36" t="s">
        <v>3692</v>
      </c>
    </row>
    <row r="315" ht="15.75" customHeight="1" spans="1:2">
      <c r="A315" s="36" t="s">
        <v>3683</v>
      </c>
      <c r="B315" s="36" t="s">
        <v>3693</v>
      </c>
    </row>
    <row r="316" ht="15.75" customHeight="1" spans="1:2">
      <c r="A316" s="36" t="s">
        <v>3683</v>
      </c>
      <c r="B316" s="36" t="s">
        <v>3694</v>
      </c>
    </row>
    <row r="317" ht="15.75" customHeight="1" spans="1:2">
      <c r="A317" s="36" t="s">
        <v>3683</v>
      </c>
      <c r="B317" s="36" t="s">
        <v>3695</v>
      </c>
    </row>
    <row r="318" ht="15.75" customHeight="1" spans="1:2">
      <c r="A318" s="36" t="s">
        <v>3683</v>
      </c>
      <c r="B318" s="36" t="s">
        <v>3696</v>
      </c>
    </row>
    <row r="319" ht="15.75" customHeight="1" spans="1:2">
      <c r="A319" s="36" t="s">
        <v>3683</v>
      </c>
      <c r="B319" s="36" t="s">
        <v>3697</v>
      </c>
    </row>
    <row r="320" ht="15.75" customHeight="1" spans="1:2">
      <c r="A320" s="36" t="s">
        <v>3683</v>
      </c>
      <c r="B320" s="36" t="s">
        <v>3698</v>
      </c>
    </row>
    <row r="321" ht="15.75" customHeight="1" spans="1:2">
      <c r="A321" s="36" t="s">
        <v>3683</v>
      </c>
      <c r="B321" s="36" t="s">
        <v>3699</v>
      </c>
    </row>
    <row r="322" ht="15.75" customHeight="1" spans="1:2">
      <c r="A322" s="36" t="s">
        <v>3683</v>
      </c>
      <c r="B322" s="36" t="s">
        <v>3700</v>
      </c>
    </row>
    <row r="323" ht="15.75" customHeight="1" spans="1:2">
      <c r="A323" s="36" t="s">
        <v>3683</v>
      </c>
      <c r="B323" s="36" t="s">
        <v>3701</v>
      </c>
    </row>
    <row r="324" ht="15.75" customHeight="1" spans="1:2">
      <c r="A324" s="36" t="s">
        <v>3683</v>
      </c>
      <c r="B324" s="36" t="s">
        <v>3702</v>
      </c>
    </row>
    <row r="325" ht="15.75" customHeight="1" spans="1:2">
      <c r="A325" s="36" t="s">
        <v>3683</v>
      </c>
      <c r="B325" s="36" t="s">
        <v>3703</v>
      </c>
    </row>
    <row r="326" ht="15.75" customHeight="1" spans="1:2">
      <c r="A326" s="36" t="s">
        <v>3683</v>
      </c>
      <c r="B326" s="36" t="s">
        <v>3704</v>
      </c>
    </row>
    <row r="327" ht="15.75" customHeight="1" spans="1:2">
      <c r="A327" s="36" t="s">
        <v>3683</v>
      </c>
      <c r="B327" s="36" t="s">
        <v>3705</v>
      </c>
    </row>
    <row r="328" ht="15.75" customHeight="1" spans="1:2">
      <c r="A328" s="36" t="s">
        <v>3683</v>
      </c>
      <c r="B328" s="36" t="s">
        <v>3706</v>
      </c>
    </row>
    <row r="329" ht="15.75" customHeight="1" spans="1:2">
      <c r="A329" s="36" t="s">
        <v>3683</v>
      </c>
      <c r="B329" s="36" t="s">
        <v>3707</v>
      </c>
    </row>
    <row r="330" ht="15.75" customHeight="1" spans="1:2">
      <c r="A330" s="36" t="s">
        <v>3683</v>
      </c>
      <c r="B330" s="36" t="s">
        <v>3708</v>
      </c>
    </row>
    <row r="331" ht="15.75" customHeight="1" spans="1:2">
      <c r="A331" s="36" t="s">
        <v>3683</v>
      </c>
      <c r="B331" s="36" t="s">
        <v>3709</v>
      </c>
    </row>
    <row r="332" ht="15.75" customHeight="1" spans="1:2">
      <c r="A332" s="36" t="s">
        <v>3683</v>
      </c>
      <c r="B332" s="36" t="s">
        <v>3710</v>
      </c>
    </row>
    <row r="333" ht="15.75" customHeight="1" spans="1:2">
      <c r="A333" s="36" t="s">
        <v>3683</v>
      </c>
      <c r="B333" s="36" t="s">
        <v>3711</v>
      </c>
    </row>
    <row r="334" ht="15.75" customHeight="1" spans="1:2">
      <c r="A334" s="36" t="s">
        <v>3683</v>
      </c>
      <c r="B334" s="36" t="s">
        <v>3712</v>
      </c>
    </row>
    <row r="335" ht="15.75" customHeight="1" spans="1:2">
      <c r="A335" s="36" t="s">
        <v>3683</v>
      </c>
      <c r="B335" s="36" t="s">
        <v>3713</v>
      </c>
    </row>
    <row r="336" ht="15.75" customHeight="1" spans="1:2">
      <c r="A336" s="36" t="s">
        <v>3683</v>
      </c>
      <c r="B336" s="36" t="s">
        <v>3714</v>
      </c>
    </row>
    <row r="337" ht="15.75" customHeight="1" spans="1:2">
      <c r="A337" s="36" t="s">
        <v>3683</v>
      </c>
      <c r="B337" s="36" t="s">
        <v>3715</v>
      </c>
    </row>
    <row r="338" ht="15.75" customHeight="1" spans="1:2">
      <c r="A338" s="36" t="s">
        <v>3683</v>
      </c>
      <c r="B338" s="36" t="s">
        <v>3716</v>
      </c>
    </row>
    <row r="339" ht="15.75" customHeight="1" spans="1:2">
      <c r="A339" s="36" t="s">
        <v>3683</v>
      </c>
      <c r="B339" s="36" t="s">
        <v>3717</v>
      </c>
    </row>
    <row r="340" ht="15.75" customHeight="1" spans="1:2">
      <c r="A340" s="36" t="s">
        <v>3683</v>
      </c>
      <c r="B340" s="36" t="s">
        <v>3718</v>
      </c>
    </row>
    <row r="341" ht="15.75" customHeight="1" spans="1:2">
      <c r="A341" s="36" t="s">
        <v>3683</v>
      </c>
      <c r="B341" s="36" t="s">
        <v>3719</v>
      </c>
    </row>
    <row r="342" ht="15.75" customHeight="1" spans="1:2">
      <c r="A342" s="36" t="s">
        <v>3683</v>
      </c>
      <c r="B342" s="36" t="s">
        <v>3720</v>
      </c>
    </row>
    <row r="343" ht="15.75" customHeight="1" spans="1:2">
      <c r="A343" s="36" t="s">
        <v>3683</v>
      </c>
      <c r="B343" s="36" t="s">
        <v>3721</v>
      </c>
    </row>
    <row r="344" ht="15.75" customHeight="1" spans="1:2">
      <c r="A344" s="36" t="s">
        <v>3683</v>
      </c>
      <c r="B344" s="36" t="s">
        <v>3722</v>
      </c>
    </row>
    <row r="345" ht="15.75" customHeight="1" spans="1:2">
      <c r="A345" s="36" t="s">
        <v>3683</v>
      </c>
      <c r="B345" s="36" t="s">
        <v>3723</v>
      </c>
    </row>
    <row r="346" ht="15.75" customHeight="1" spans="1:2">
      <c r="A346" s="36" t="s">
        <v>3683</v>
      </c>
      <c r="B346" s="36" t="s">
        <v>3724</v>
      </c>
    </row>
    <row r="347" ht="15.75" customHeight="1" spans="1:2">
      <c r="A347" s="36" t="s">
        <v>3683</v>
      </c>
      <c r="B347" s="36" t="s">
        <v>3725</v>
      </c>
    </row>
    <row r="348" ht="15.75" customHeight="1" spans="1:2">
      <c r="A348" s="36" t="s">
        <v>3683</v>
      </c>
      <c r="B348" s="36" t="s">
        <v>3726</v>
      </c>
    </row>
    <row r="349" ht="15.75" customHeight="1" spans="1:2">
      <c r="A349" s="36" t="s">
        <v>3683</v>
      </c>
      <c r="B349" s="36" t="s">
        <v>3727</v>
      </c>
    </row>
    <row r="350" ht="15.75" customHeight="1" spans="1:2">
      <c r="A350" s="36" t="s">
        <v>3683</v>
      </c>
      <c r="B350" s="36" t="s">
        <v>3728</v>
      </c>
    </row>
    <row r="351" ht="15.75" customHeight="1" spans="1:2">
      <c r="A351" s="36" t="s">
        <v>3729</v>
      </c>
      <c r="B351" s="36" t="s">
        <v>21</v>
      </c>
    </row>
    <row r="352" ht="15.75" customHeight="1" spans="1:2">
      <c r="A352" s="36" t="s">
        <v>3729</v>
      </c>
      <c r="B352" s="36" t="s">
        <v>92</v>
      </c>
    </row>
    <row r="353" ht="15.75" customHeight="1" spans="1:2">
      <c r="A353" s="36" t="s">
        <v>3729</v>
      </c>
      <c r="B353" s="36" t="s">
        <v>3730</v>
      </c>
    </row>
    <row r="354" ht="15.75" customHeight="1" spans="1:2">
      <c r="A354" s="36" t="s">
        <v>3729</v>
      </c>
      <c r="B354" s="36" t="s">
        <v>3729</v>
      </c>
    </row>
    <row r="355" ht="15.75" customHeight="1" spans="1:2">
      <c r="A355" s="36" t="s">
        <v>3729</v>
      </c>
      <c r="B355" s="36" t="s">
        <v>3731</v>
      </c>
    </row>
    <row r="356" ht="15.75" customHeight="1" spans="1:2">
      <c r="A356" s="36" t="s">
        <v>3729</v>
      </c>
      <c r="B356" s="36" t="s">
        <v>3732</v>
      </c>
    </row>
    <row r="357" ht="15.75" customHeight="1" spans="1:2">
      <c r="A357" s="36" t="s">
        <v>3729</v>
      </c>
      <c r="B357" s="36" t="s">
        <v>3733</v>
      </c>
    </row>
    <row r="358" ht="15.75" customHeight="1" spans="1:2">
      <c r="A358" s="36" t="s">
        <v>3729</v>
      </c>
      <c r="B358" s="36" t="s">
        <v>3734</v>
      </c>
    </row>
    <row r="359" ht="15.75" customHeight="1" spans="1:2">
      <c r="A359" s="36" t="s">
        <v>3729</v>
      </c>
      <c r="B359" s="36" t="s">
        <v>3735</v>
      </c>
    </row>
    <row r="360" ht="15.75" customHeight="1" spans="1:2">
      <c r="A360" s="36" t="s">
        <v>3729</v>
      </c>
      <c r="B360" s="36" t="s">
        <v>3736</v>
      </c>
    </row>
    <row r="361" ht="15.75" customHeight="1" spans="1:2">
      <c r="A361" s="36" t="s">
        <v>3729</v>
      </c>
      <c r="B361" s="36" t="s">
        <v>3737</v>
      </c>
    </row>
    <row r="362" ht="15.75" customHeight="1" spans="1:2">
      <c r="A362" s="36" t="s">
        <v>3729</v>
      </c>
      <c r="B362" s="36" t="s">
        <v>3738</v>
      </c>
    </row>
    <row r="363" ht="15.75" customHeight="1" spans="1:2">
      <c r="A363" s="36" t="s">
        <v>3729</v>
      </c>
      <c r="B363" s="36" t="s">
        <v>3739</v>
      </c>
    </row>
    <row r="364" ht="15.75" customHeight="1" spans="1:2">
      <c r="A364" s="36" t="s">
        <v>3729</v>
      </c>
      <c r="B364" s="36" t="s">
        <v>3740</v>
      </c>
    </row>
    <row r="365" ht="15.75" customHeight="1" spans="1:2">
      <c r="A365" s="36" t="s">
        <v>3729</v>
      </c>
      <c r="B365" s="36" t="s">
        <v>3741</v>
      </c>
    </row>
    <row r="366" ht="15.75" customHeight="1" spans="1:2">
      <c r="A366" s="36" t="s">
        <v>3729</v>
      </c>
      <c r="B366" s="36" t="s">
        <v>3742</v>
      </c>
    </row>
    <row r="367" ht="15.75" customHeight="1" spans="1:2">
      <c r="A367" s="36" t="s">
        <v>3729</v>
      </c>
      <c r="B367" s="36" t="s">
        <v>3743</v>
      </c>
    </row>
    <row r="368" ht="15.75" customHeight="1" spans="1:2">
      <c r="A368" s="36" t="s">
        <v>3729</v>
      </c>
      <c r="B368" s="36" t="s">
        <v>3744</v>
      </c>
    </row>
    <row r="369" ht="15.75" customHeight="1" spans="1:2">
      <c r="A369" s="36" t="s">
        <v>3729</v>
      </c>
      <c r="B369" s="36" t="s">
        <v>3745</v>
      </c>
    </row>
    <row r="370" ht="15.75" customHeight="1" spans="1:2">
      <c r="A370" s="36" t="s">
        <v>3729</v>
      </c>
      <c r="B370" s="36" t="s">
        <v>3746</v>
      </c>
    </row>
    <row r="371" ht="15.75" customHeight="1" spans="1:2">
      <c r="A371" s="36" t="s">
        <v>3729</v>
      </c>
      <c r="B371" s="36" t="s">
        <v>3747</v>
      </c>
    </row>
    <row r="372" ht="15.75" customHeight="1" spans="1:2">
      <c r="A372" s="36" t="s">
        <v>3729</v>
      </c>
      <c r="B372" s="36" t="s">
        <v>3748</v>
      </c>
    </row>
    <row r="373" ht="15.75" customHeight="1" spans="1:2">
      <c r="A373" s="36" t="s">
        <v>3729</v>
      </c>
      <c r="B373" s="36" t="s">
        <v>3749</v>
      </c>
    </row>
    <row r="374" ht="15.75" customHeight="1" spans="1:2">
      <c r="A374" s="36" t="s">
        <v>3729</v>
      </c>
      <c r="B374" s="36" t="s">
        <v>3750</v>
      </c>
    </row>
    <row r="375" ht="15.75" customHeight="1" spans="1:2">
      <c r="A375" s="36" t="s">
        <v>3729</v>
      </c>
      <c r="B375" s="36" t="s">
        <v>3751</v>
      </c>
    </row>
    <row r="376" ht="15.75" customHeight="1" spans="1:2">
      <c r="A376" s="36" t="s">
        <v>3729</v>
      </c>
      <c r="B376" s="36" t="s">
        <v>3752</v>
      </c>
    </row>
    <row r="377" ht="15.75" customHeight="1" spans="1:2">
      <c r="A377" s="36" t="s">
        <v>3729</v>
      </c>
      <c r="B377" s="36" t="s">
        <v>3753</v>
      </c>
    </row>
    <row r="378" ht="15.75" customHeight="1" spans="1:2">
      <c r="A378" s="36" t="s">
        <v>3729</v>
      </c>
      <c r="B378" s="36" t="s">
        <v>3754</v>
      </c>
    </row>
    <row r="379" ht="15.75" customHeight="1" spans="1:2">
      <c r="A379" s="36" t="s">
        <v>3729</v>
      </c>
      <c r="B379" s="36" t="s">
        <v>3755</v>
      </c>
    </row>
    <row r="380" ht="15.75" customHeight="1" spans="1:2">
      <c r="A380" s="36" t="s">
        <v>3729</v>
      </c>
      <c r="B380" s="36" t="s">
        <v>3756</v>
      </c>
    </row>
    <row r="381" ht="15.75" customHeight="1" spans="1:2">
      <c r="A381" s="36" t="s">
        <v>3729</v>
      </c>
      <c r="B381" s="36" t="s">
        <v>3757</v>
      </c>
    </row>
    <row r="382" ht="15.75" customHeight="1" spans="1:2">
      <c r="A382" s="36" t="s">
        <v>3729</v>
      </c>
      <c r="B382" s="36" t="s">
        <v>3758</v>
      </c>
    </row>
    <row r="383" ht="15.75" customHeight="1" spans="1:2">
      <c r="A383" s="36" t="s">
        <v>3729</v>
      </c>
      <c r="B383" s="36" t="s">
        <v>3759</v>
      </c>
    </row>
    <row r="384" ht="15.75" customHeight="1" spans="1:2">
      <c r="A384" s="36" t="s">
        <v>3729</v>
      </c>
      <c r="B384" s="36" t="s">
        <v>3760</v>
      </c>
    </row>
    <row r="385" ht="15.75" customHeight="1" spans="1:2">
      <c r="A385" s="36" t="s">
        <v>3729</v>
      </c>
      <c r="B385" s="36" t="s">
        <v>3761</v>
      </c>
    </row>
    <row r="386" ht="15.75" customHeight="1" spans="1:2">
      <c r="A386" s="36" t="s">
        <v>3729</v>
      </c>
      <c r="B386" s="36" t="s">
        <v>3762</v>
      </c>
    </row>
    <row r="387" ht="15.75" customHeight="1" spans="1:2">
      <c r="A387" s="36" t="s">
        <v>3729</v>
      </c>
      <c r="B387" s="36" t="s">
        <v>3763</v>
      </c>
    </row>
    <row r="388" ht="15.75" customHeight="1" spans="1:2">
      <c r="A388" s="36" t="s">
        <v>3729</v>
      </c>
      <c r="B388" s="36" t="s">
        <v>3764</v>
      </c>
    </row>
    <row r="389" ht="15.75" customHeight="1" spans="1:2">
      <c r="A389" s="36" t="s">
        <v>3729</v>
      </c>
      <c r="B389" s="36" t="s">
        <v>3765</v>
      </c>
    </row>
    <row r="390" ht="15.75" customHeight="1" spans="1:2">
      <c r="A390" s="36" t="s">
        <v>3729</v>
      </c>
      <c r="B390" s="36" t="s">
        <v>3766</v>
      </c>
    </row>
    <row r="391" ht="15.75" customHeight="1" spans="1:2">
      <c r="A391" s="36" t="s">
        <v>3729</v>
      </c>
      <c r="B391" s="36" t="s">
        <v>3767</v>
      </c>
    </row>
    <row r="392" ht="15.75" customHeight="1" spans="1:2">
      <c r="A392" s="36" t="s">
        <v>3729</v>
      </c>
      <c r="B392" s="36" t="s">
        <v>3768</v>
      </c>
    </row>
    <row r="393" ht="15.75" customHeight="1" spans="1:2">
      <c r="A393" s="36" t="s">
        <v>3729</v>
      </c>
      <c r="B393" s="36" t="s">
        <v>3769</v>
      </c>
    </row>
    <row r="394" ht="15.75" customHeight="1" spans="1:2">
      <c r="A394" s="36" t="s">
        <v>3729</v>
      </c>
      <c r="B394" s="36" t="s">
        <v>3770</v>
      </c>
    </row>
    <row r="395" ht="15.75" customHeight="1" spans="1:2">
      <c r="A395" s="36" t="s">
        <v>3729</v>
      </c>
      <c r="B395" s="36" t="s">
        <v>3771</v>
      </c>
    </row>
    <row r="396" ht="15.75" customHeight="1" spans="1:2">
      <c r="A396" s="36" t="s">
        <v>3729</v>
      </c>
      <c r="B396" s="36" t="s">
        <v>3772</v>
      </c>
    </row>
    <row r="397" ht="15.75" customHeight="1" spans="1:2">
      <c r="A397" s="36" t="s">
        <v>3729</v>
      </c>
      <c r="B397" s="36" t="s">
        <v>3773</v>
      </c>
    </row>
    <row r="398" ht="15.75" customHeight="1" spans="1:2">
      <c r="A398" s="36" t="s">
        <v>3729</v>
      </c>
      <c r="B398" s="36" t="s">
        <v>3774</v>
      </c>
    </row>
    <row r="399" ht="15.75" customHeight="1" spans="1:2">
      <c r="A399" s="36" t="s">
        <v>3729</v>
      </c>
      <c r="B399" s="36" t="s">
        <v>3775</v>
      </c>
    </row>
    <row r="400" ht="15.75" customHeight="1" spans="1:2">
      <c r="A400" s="36" t="s">
        <v>3729</v>
      </c>
      <c r="B400" s="36" t="s">
        <v>3776</v>
      </c>
    </row>
    <row r="401" ht="15.75" customHeight="1" spans="1:2">
      <c r="A401" s="36" t="s">
        <v>3729</v>
      </c>
      <c r="B401" s="36" t="s">
        <v>3777</v>
      </c>
    </row>
    <row r="402" ht="15.75" customHeight="1" spans="1:2">
      <c r="A402" s="36" t="s">
        <v>3729</v>
      </c>
      <c r="B402" s="36" t="s">
        <v>3778</v>
      </c>
    </row>
    <row r="403" ht="15.75" customHeight="1" spans="1:2">
      <c r="A403" s="36" t="s">
        <v>3729</v>
      </c>
      <c r="B403" s="36" t="s">
        <v>3779</v>
      </c>
    </row>
    <row r="404" ht="15.75" customHeight="1" spans="1:2">
      <c r="A404" s="36" t="s">
        <v>3729</v>
      </c>
      <c r="B404" s="36" t="s">
        <v>3780</v>
      </c>
    </row>
    <row r="405" ht="15.75" customHeight="1" spans="1:2">
      <c r="A405" s="36" t="s">
        <v>3729</v>
      </c>
      <c r="B405" s="36" t="s">
        <v>3781</v>
      </c>
    </row>
    <row r="406" ht="15.75" customHeight="1" spans="1:2">
      <c r="A406" s="36" t="s">
        <v>3729</v>
      </c>
      <c r="B406" s="36" t="s">
        <v>3782</v>
      </c>
    </row>
    <row r="407" ht="15.75" customHeight="1" spans="1:2">
      <c r="A407" s="36" t="s">
        <v>3729</v>
      </c>
      <c r="B407" s="36" t="s">
        <v>3783</v>
      </c>
    </row>
    <row r="408" ht="15.75" customHeight="1" spans="1:2">
      <c r="A408" s="36" t="s">
        <v>3729</v>
      </c>
      <c r="B408" s="36" t="s">
        <v>3784</v>
      </c>
    </row>
    <row r="409" ht="15.75" customHeight="1" spans="1:2">
      <c r="A409" s="36" t="s">
        <v>3729</v>
      </c>
      <c r="B409" s="36" t="s">
        <v>3785</v>
      </c>
    </row>
    <row r="410" ht="15.75" customHeight="1" spans="1:2">
      <c r="A410" s="36" t="s">
        <v>3729</v>
      </c>
      <c r="B410" s="36" t="s">
        <v>3786</v>
      </c>
    </row>
    <row r="411" ht="15.75" customHeight="1" spans="1:2">
      <c r="A411" s="36" t="s">
        <v>3729</v>
      </c>
      <c r="B411" s="36" t="s">
        <v>3787</v>
      </c>
    </row>
    <row r="412" ht="15.75" customHeight="1" spans="1:2">
      <c r="A412" s="36" t="s">
        <v>3729</v>
      </c>
      <c r="B412" s="36" t="s">
        <v>3788</v>
      </c>
    </row>
    <row r="413" ht="15.75" customHeight="1" spans="1:2">
      <c r="A413" s="36" t="s">
        <v>3729</v>
      </c>
      <c r="B413" s="36" t="s">
        <v>3789</v>
      </c>
    </row>
    <row r="414" ht="15.75" customHeight="1" spans="1:2">
      <c r="A414" s="36" t="s">
        <v>3729</v>
      </c>
      <c r="B414" s="36" t="s">
        <v>3790</v>
      </c>
    </row>
    <row r="415" ht="15.75" customHeight="1" spans="1:2">
      <c r="A415" s="36" t="s">
        <v>3729</v>
      </c>
      <c r="B415" s="36" t="s">
        <v>3791</v>
      </c>
    </row>
    <row r="416" ht="15.75" customHeight="1" spans="1:2">
      <c r="A416" s="36" t="s">
        <v>3729</v>
      </c>
      <c r="B416" s="36" t="s">
        <v>3792</v>
      </c>
    </row>
    <row r="417" ht="15.75" customHeight="1" spans="1:2">
      <c r="A417" s="36" t="s">
        <v>3729</v>
      </c>
      <c r="B417" s="36" t="s">
        <v>3793</v>
      </c>
    </row>
    <row r="418" ht="15.75" customHeight="1" spans="1:2">
      <c r="A418" s="36" t="s">
        <v>3729</v>
      </c>
      <c r="B418" s="36" t="s">
        <v>3794</v>
      </c>
    </row>
    <row r="419" ht="15.75" customHeight="1" spans="1:2">
      <c r="A419" s="36" t="s">
        <v>3729</v>
      </c>
      <c r="B419" s="36" t="s">
        <v>3795</v>
      </c>
    </row>
    <row r="420" ht="15.75" customHeight="1" spans="1:2">
      <c r="A420" s="36" t="s">
        <v>3729</v>
      </c>
      <c r="B420" s="36" t="s">
        <v>3796</v>
      </c>
    </row>
    <row r="421" ht="15.75" customHeight="1" spans="1:2">
      <c r="A421" s="36" t="s">
        <v>3729</v>
      </c>
      <c r="B421" s="36" t="s">
        <v>3797</v>
      </c>
    </row>
    <row r="422" ht="15.75" customHeight="1" spans="1:2">
      <c r="A422" s="36" t="s">
        <v>3729</v>
      </c>
      <c r="B422" s="36" t="s">
        <v>3798</v>
      </c>
    </row>
    <row r="423" ht="15.75" customHeight="1" spans="1:2">
      <c r="A423" s="36" t="s">
        <v>3729</v>
      </c>
      <c r="B423" s="36" t="s">
        <v>3799</v>
      </c>
    </row>
    <row r="424" ht="15.75" customHeight="1" spans="1:2">
      <c r="A424" s="36" t="s">
        <v>3729</v>
      </c>
      <c r="B424" s="36" t="s">
        <v>3800</v>
      </c>
    </row>
    <row r="425" ht="15.75" customHeight="1" spans="1:2">
      <c r="A425" s="36" t="s">
        <v>3729</v>
      </c>
      <c r="B425" s="36" t="s">
        <v>3801</v>
      </c>
    </row>
    <row r="426" ht="15.75" customHeight="1" spans="1:2">
      <c r="A426" s="36" t="s">
        <v>3729</v>
      </c>
      <c r="B426" s="36" t="s">
        <v>3802</v>
      </c>
    </row>
    <row r="427" ht="15.75" customHeight="1" spans="1:2">
      <c r="A427" s="36" t="s">
        <v>3729</v>
      </c>
      <c r="B427" s="36" t="s">
        <v>3803</v>
      </c>
    </row>
    <row r="428" ht="15.75" customHeight="1" spans="1:2">
      <c r="A428" s="36" t="s">
        <v>3729</v>
      </c>
      <c r="B428" s="36" t="s">
        <v>3804</v>
      </c>
    </row>
    <row r="429" ht="15.75" customHeight="1" spans="1:2">
      <c r="A429" s="36" t="s">
        <v>3729</v>
      </c>
      <c r="B429" s="36" t="s">
        <v>3805</v>
      </c>
    </row>
    <row r="430" ht="15.75" customHeight="1" spans="1:2">
      <c r="A430" s="36" t="s">
        <v>3729</v>
      </c>
      <c r="B430" s="36" t="s">
        <v>3806</v>
      </c>
    </row>
    <row r="431" ht="15.75" customHeight="1" spans="1:2">
      <c r="A431" s="36" t="s">
        <v>3729</v>
      </c>
      <c r="B431" s="36" t="s">
        <v>3807</v>
      </c>
    </row>
    <row r="432" ht="15.75" customHeight="1" spans="1:2">
      <c r="A432" s="36" t="s">
        <v>3729</v>
      </c>
      <c r="B432" s="36" t="s">
        <v>3808</v>
      </c>
    </row>
    <row r="433" ht="15.75" customHeight="1" spans="1:2">
      <c r="A433" s="36" t="s">
        <v>3729</v>
      </c>
      <c r="B433" s="36" t="s">
        <v>3809</v>
      </c>
    </row>
    <row r="434" ht="15.75" customHeight="1" spans="1:2">
      <c r="A434" s="36" t="s">
        <v>3729</v>
      </c>
      <c r="B434" s="36" t="s">
        <v>3810</v>
      </c>
    </row>
    <row r="435" ht="15.75" customHeight="1" spans="1:2">
      <c r="A435" s="36" t="s">
        <v>3729</v>
      </c>
      <c r="B435" s="36" t="s">
        <v>3811</v>
      </c>
    </row>
    <row r="436" ht="15.75" customHeight="1" spans="1:2">
      <c r="A436" s="36" t="s">
        <v>3729</v>
      </c>
      <c r="B436" s="36" t="s">
        <v>3812</v>
      </c>
    </row>
    <row r="437" ht="15.75" customHeight="1" spans="1:2">
      <c r="A437" s="36" t="s">
        <v>3729</v>
      </c>
      <c r="B437" s="36" t="s">
        <v>3813</v>
      </c>
    </row>
    <row r="438" ht="15.75" customHeight="1" spans="1:2">
      <c r="A438" s="36" t="s">
        <v>3729</v>
      </c>
      <c r="B438" s="36" t="s">
        <v>3814</v>
      </c>
    </row>
    <row r="439" ht="15.75" customHeight="1" spans="1:2">
      <c r="A439" s="36" t="s">
        <v>3729</v>
      </c>
      <c r="B439" s="36" t="s">
        <v>3815</v>
      </c>
    </row>
    <row r="440" ht="15.75" customHeight="1" spans="1:2">
      <c r="A440" s="36" t="s">
        <v>3729</v>
      </c>
      <c r="B440" s="36" t="s">
        <v>3816</v>
      </c>
    </row>
    <row r="441" ht="15.75" customHeight="1" spans="1:2">
      <c r="A441" s="36" t="s">
        <v>3729</v>
      </c>
      <c r="B441" s="36" t="s">
        <v>3817</v>
      </c>
    </row>
    <row r="442" ht="15.75" customHeight="1" spans="1:2">
      <c r="A442" s="36" t="s">
        <v>3729</v>
      </c>
      <c r="B442" s="36" t="s">
        <v>3818</v>
      </c>
    </row>
    <row r="443" ht="15.75" customHeight="1" spans="1:2">
      <c r="A443" s="36" t="s">
        <v>3729</v>
      </c>
      <c r="B443" s="36" t="s">
        <v>3819</v>
      </c>
    </row>
    <row r="444" ht="15.75" customHeight="1" spans="1:2">
      <c r="A444" s="36" t="s">
        <v>3729</v>
      </c>
      <c r="B444" s="36" t="s">
        <v>3820</v>
      </c>
    </row>
    <row r="445" ht="15.75" customHeight="1" spans="1:2">
      <c r="A445" s="36" t="s">
        <v>3729</v>
      </c>
      <c r="B445" s="36" t="s">
        <v>3821</v>
      </c>
    </row>
    <row r="446" ht="15.75" customHeight="1" spans="1:2">
      <c r="A446" s="36" t="s">
        <v>3729</v>
      </c>
      <c r="B446" s="36" t="s">
        <v>3822</v>
      </c>
    </row>
    <row r="447" ht="15.75" customHeight="1" spans="1:2">
      <c r="A447" s="36" t="s">
        <v>3729</v>
      </c>
      <c r="B447" s="36" t="s">
        <v>3823</v>
      </c>
    </row>
    <row r="448" ht="15.75" customHeight="1" spans="1:2">
      <c r="A448" s="36" t="s">
        <v>3729</v>
      </c>
      <c r="B448" s="36" t="s">
        <v>3824</v>
      </c>
    </row>
    <row r="449" ht="15.75" customHeight="1" spans="1:2">
      <c r="A449" s="36" t="s">
        <v>3729</v>
      </c>
      <c r="B449" s="36" t="s">
        <v>3825</v>
      </c>
    </row>
    <row r="450" ht="15.75" customHeight="1" spans="1:2">
      <c r="A450" s="36" t="s">
        <v>3729</v>
      </c>
      <c r="B450" s="36" t="s">
        <v>3826</v>
      </c>
    </row>
    <row r="451" ht="15.75" customHeight="1" spans="1:2">
      <c r="A451" s="36" t="s">
        <v>3729</v>
      </c>
      <c r="B451" s="36" t="s">
        <v>3827</v>
      </c>
    </row>
    <row r="452" ht="15.75" customHeight="1" spans="1:2">
      <c r="A452" s="36" t="s">
        <v>3729</v>
      </c>
      <c r="B452" s="36" t="s">
        <v>3828</v>
      </c>
    </row>
    <row r="453" ht="15.75" customHeight="1" spans="1:2">
      <c r="A453" s="36" t="s">
        <v>3729</v>
      </c>
      <c r="B453" s="36" t="s">
        <v>3829</v>
      </c>
    </row>
    <row r="454" ht="15.75" customHeight="1" spans="1:2">
      <c r="A454" s="36" t="s">
        <v>3729</v>
      </c>
      <c r="B454" s="36" t="s">
        <v>3830</v>
      </c>
    </row>
    <row r="455" ht="15.75" customHeight="1" spans="1:2">
      <c r="A455" s="36" t="s">
        <v>3729</v>
      </c>
      <c r="B455" s="36" t="s">
        <v>3831</v>
      </c>
    </row>
    <row r="456" ht="15.75" customHeight="1" spans="1:2">
      <c r="A456" s="36" t="s">
        <v>3729</v>
      </c>
      <c r="B456" s="36" t="s">
        <v>3832</v>
      </c>
    </row>
    <row r="457" ht="15.75" customHeight="1" spans="1:2">
      <c r="A457" s="36" t="s">
        <v>3729</v>
      </c>
      <c r="B457" s="36" t="s">
        <v>3833</v>
      </c>
    </row>
    <row r="458" ht="15.75" customHeight="1" spans="1:2">
      <c r="A458" s="36" t="s">
        <v>3729</v>
      </c>
      <c r="B458" s="36" t="s">
        <v>3834</v>
      </c>
    </row>
    <row r="459" ht="15.75" customHeight="1" spans="1:2">
      <c r="A459" s="36" t="s">
        <v>3729</v>
      </c>
      <c r="B459" s="36" t="s">
        <v>3835</v>
      </c>
    </row>
    <row r="460" ht="15.75" customHeight="1" spans="1:2">
      <c r="A460" s="36" t="s">
        <v>3729</v>
      </c>
      <c r="B460" s="36" t="s">
        <v>3836</v>
      </c>
    </row>
    <row r="461" ht="15.75" customHeight="1" spans="1:2">
      <c r="A461" s="36" t="s">
        <v>3729</v>
      </c>
      <c r="B461" s="36" t="s">
        <v>3837</v>
      </c>
    </row>
    <row r="462" ht="15.75" customHeight="1" spans="1:2">
      <c r="A462" s="36" t="s">
        <v>3729</v>
      </c>
      <c r="B462" s="36" t="s">
        <v>3838</v>
      </c>
    </row>
    <row r="463" ht="15.75" customHeight="1" spans="1:2">
      <c r="A463" s="36" t="s">
        <v>3729</v>
      </c>
      <c r="B463" s="36" t="s">
        <v>3839</v>
      </c>
    </row>
    <row r="464" ht="15.75" customHeight="1" spans="1:2">
      <c r="A464" s="36" t="s">
        <v>3729</v>
      </c>
      <c r="B464" s="36" t="s">
        <v>3840</v>
      </c>
    </row>
    <row r="465" ht="15.75" customHeight="1" spans="1:2">
      <c r="A465" s="36" t="s">
        <v>3729</v>
      </c>
      <c r="B465" s="36" t="s">
        <v>3841</v>
      </c>
    </row>
    <row r="466" ht="15.75" customHeight="1" spans="1:2">
      <c r="A466" s="36" t="s">
        <v>3729</v>
      </c>
      <c r="B466" s="36" t="s">
        <v>3842</v>
      </c>
    </row>
    <row r="467" ht="15.75" customHeight="1" spans="1:2">
      <c r="A467" s="36" t="s">
        <v>3729</v>
      </c>
      <c r="B467" s="36" t="s">
        <v>3843</v>
      </c>
    </row>
    <row r="468" ht="15.75" customHeight="1" spans="1:2">
      <c r="A468" s="36" t="s">
        <v>3729</v>
      </c>
      <c r="B468" s="36" t="s">
        <v>3844</v>
      </c>
    </row>
    <row r="469" ht="15.75" customHeight="1" spans="1:2">
      <c r="A469" s="36" t="s">
        <v>3729</v>
      </c>
      <c r="B469" s="36" t="s">
        <v>3845</v>
      </c>
    </row>
    <row r="470" ht="15.75" customHeight="1" spans="1:2">
      <c r="A470" s="36" t="s">
        <v>3729</v>
      </c>
      <c r="B470" s="36" t="s">
        <v>3846</v>
      </c>
    </row>
    <row r="471" ht="15.75" customHeight="1" spans="1:2">
      <c r="A471" s="36" t="s">
        <v>3729</v>
      </c>
      <c r="B471" s="36" t="s">
        <v>3847</v>
      </c>
    </row>
    <row r="472" ht="15.75" customHeight="1" spans="1:2">
      <c r="A472" s="36" t="s">
        <v>3729</v>
      </c>
      <c r="B472" s="36" t="s">
        <v>3848</v>
      </c>
    </row>
    <row r="473" ht="15.75" customHeight="1" spans="1:2">
      <c r="A473" s="36" t="s">
        <v>3729</v>
      </c>
      <c r="B473" s="36" t="s">
        <v>3849</v>
      </c>
    </row>
    <row r="474" ht="15.75" customHeight="1" spans="1:2">
      <c r="A474" s="36" t="s">
        <v>3729</v>
      </c>
      <c r="B474" s="36" t="s">
        <v>3850</v>
      </c>
    </row>
    <row r="475" ht="15.75" customHeight="1" spans="1:2">
      <c r="A475" s="36" t="s">
        <v>3729</v>
      </c>
      <c r="B475" s="36" t="s">
        <v>3851</v>
      </c>
    </row>
    <row r="476" ht="15.75" customHeight="1" spans="1:2">
      <c r="A476" s="36" t="s">
        <v>3729</v>
      </c>
      <c r="B476" s="36" t="s">
        <v>3852</v>
      </c>
    </row>
    <row r="477" ht="15.75" customHeight="1" spans="1:2">
      <c r="A477" s="36" t="s">
        <v>3729</v>
      </c>
      <c r="B477" s="36" t="s">
        <v>3853</v>
      </c>
    </row>
    <row r="478" ht="15.75" customHeight="1" spans="1:2">
      <c r="A478" s="36" t="s">
        <v>3729</v>
      </c>
      <c r="B478" s="36" t="s">
        <v>3854</v>
      </c>
    </row>
    <row r="479" ht="15.75" customHeight="1" spans="1:2">
      <c r="A479" s="36" t="s">
        <v>3729</v>
      </c>
      <c r="B479" s="36" t="s">
        <v>3855</v>
      </c>
    </row>
    <row r="480" ht="15.75" customHeight="1" spans="1:2">
      <c r="A480" s="36" t="s">
        <v>3729</v>
      </c>
      <c r="B480" s="36" t="s">
        <v>3856</v>
      </c>
    </row>
    <row r="481" ht="15.75" customHeight="1" spans="1:2">
      <c r="A481" s="36" t="s">
        <v>3729</v>
      </c>
      <c r="B481" s="36" t="s">
        <v>3857</v>
      </c>
    </row>
    <row r="482" ht="15.75" customHeight="1" spans="1:2">
      <c r="A482" s="36" t="s">
        <v>3729</v>
      </c>
      <c r="B482" s="36" t="s">
        <v>3858</v>
      </c>
    </row>
    <row r="483" ht="15.75" customHeight="1" spans="1:2">
      <c r="A483" s="36" t="s">
        <v>3729</v>
      </c>
      <c r="B483" s="36" t="s">
        <v>3859</v>
      </c>
    </row>
    <row r="484" ht="15.75" customHeight="1" spans="1:2">
      <c r="A484" s="36" t="s">
        <v>3729</v>
      </c>
      <c r="B484" s="36" t="s">
        <v>3860</v>
      </c>
    </row>
    <row r="485" ht="15.75" customHeight="1" spans="1:2">
      <c r="A485" s="36" t="s">
        <v>3729</v>
      </c>
      <c r="B485" s="36" t="s">
        <v>3861</v>
      </c>
    </row>
    <row r="486" ht="15.75" customHeight="1" spans="1:2">
      <c r="A486" s="36" t="s">
        <v>3729</v>
      </c>
      <c r="B486" s="36" t="s">
        <v>3862</v>
      </c>
    </row>
    <row r="487" ht="15.75" customHeight="1" spans="1:2">
      <c r="A487" s="36" t="s">
        <v>3729</v>
      </c>
      <c r="B487" s="36" t="s">
        <v>3863</v>
      </c>
    </row>
    <row r="488" ht="15.75" customHeight="1" spans="1:2">
      <c r="A488" s="36" t="s">
        <v>3729</v>
      </c>
      <c r="B488" s="36" t="s">
        <v>3864</v>
      </c>
    </row>
    <row r="489" ht="15.75" customHeight="1" spans="1:2">
      <c r="A489" s="36" t="s">
        <v>3865</v>
      </c>
      <c r="B489" s="36" t="s">
        <v>3866</v>
      </c>
    </row>
    <row r="490" ht="15.75" customHeight="1" spans="1:2">
      <c r="A490" s="36" t="s">
        <v>3865</v>
      </c>
      <c r="B490" s="36" t="s">
        <v>22</v>
      </c>
    </row>
    <row r="491" ht="15.75" customHeight="1" spans="1:2">
      <c r="A491" s="36" t="s">
        <v>3865</v>
      </c>
      <c r="B491" s="36" t="s">
        <v>3867</v>
      </c>
    </row>
    <row r="492" ht="15.75" customHeight="1" spans="1:2">
      <c r="A492" s="36" t="s">
        <v>3865</v>
      </c>
      <c r="B492" s="36" t="s">
        <v>3868</v>
      </c>
    </row>
    <row r="493" ht="15.75" customHeight="1" spans="1:2">
      <c r="A493" s="36" t="s">
        <v>3865</v>
      </c>
      <c r="B493" s="36" t="s">
        <v>3869</v>
      </c>
    </row>
    <row r="494" ht="15.75" customHeight="1" spans="1:2">
      <c r="A494" s="36" t="s">
        <v>3865</v>
      </c>
      <c r="B494" s="36" t="s">
        <v>3870</v>
      </c>
    </row>
    <row r="495" ht="15.75" customHeight="1" spans="1:2">
      <c r="A495" s="36" t="s">
        <v>3865</v>
      </c>
      <c r="B495" s="36" t="s">
        <v>3871</v>
      </c>
    </row>
    <row r="496" ht="15.75" customHeight="1" spans="1:2">
      <c r="A496" s="36" t="s">
        <v>3865</v>
      </c>
      <c r="B496" s="36" t="s">
        <v>3865</v>
      </c>
    </row>
    <row r="497" ht="15.75" customHeight="1" spans="1:2">
      <c r="A497" s="36" t="s">
        <v>3865</v>
      </c>
      <c r="B497" s="36" t="s">
        <v>3872</v>
      </c>
    </row>
    <row r="498" ht="15.75" customHeight="1" spans="1:2">
      <c r="A498" s="36" t="s">
        <v>3865</v>
      </c>
      <c r="B498" s="36" t="s">
        <v>3873</v>
      </c>
    </row>
    <row r="499" ht="15.75" customHeight="1" spans="1:2">
      <c r="A499" s="36" t="s">
        <v>3865</v>
      </c>
      <c r="B499" s="36" t="s">
        <v>3874</v>
      </c>
    </row>
    <row r="500" ht="15.75" customHeight="1" spans="1:2">
      <c r="A500" s="36" t="s">
        <v>3865</v>
      </c>
      <c r="B500" s="36" t="s">
        <v>3875</v>
      </c>
    </row>
    <row r="501" ht="15.75" customHeight="1" spans="1:2">
      <c r="A501" s="36" t="s">
        <v>3865</v>
      </c>
      <c r="B501" s="36" t="s">
        <v>3876</v>
      </c>
    </row>
    <row r="502" ht="15.75" customHeight="1" spans="1:2">
      <c r="A502" s="36" t="s">
        <v>3865</v>
      </c>
      <c r="B502" s="36" t="s">
        <v>3877</v>
      </c>
    </row>
    <row r="503" ht="15.75" customHeight="1" spans="1:2">
      <c r="A503" s="36" t="s">
        <v>3865</v>
      </c>
      <c r="B503" s="36" t="s">
        <v>3878</v>
      </c>
    </row>
    <row r="504" ht="15.75" customHeight="1" spans="1:2">
      <c r="A504" s="36" t="s">
        <v>3865</v>
      </c>
      <c r="B504" s="36" t="s">
        <v>3879</v>
      </c>
    </row>
    <row r="505" ht="15.75" customHeight="1" spans="1:2">
      <c r="A505" s="36" t="s">
        <v>3865</v>
      </c>
      <c r="B505" s="36" t="s">
        <v>3880</v>
      </c>
    </row>
    <row r="506" ht="15.75" customHeight="1" spans="1:2">
      <c r="A506" s="36" t="s">
        <v>3865</v>
      </c>
      <c r="B506" s="36" t="s">
        <v>3881</v>
      </c>
    </row>
    <row r="507" ht="15.75" customHeight="1" spans="1:2">
      <c r="A507" s="36" t="s">
        <v>3865</v>
      </c>
      <c r="B507" s="36" t="s">
        <v>3882</v>
      </c>
    </row>
    <row r="508" ht="15.75" customHeight="1" spans="1:2">
      <c r="A508" s="36" t="s">
        <v>3865</v>
      </c>
      <c r="B508" s="36" t="s">
        <v>3883</v>
      </c>
    </row>
    <row r="509" ht="15.75" customHeight="1" spans="1:2">
      <c r="A509" s="36" t="s">
        <v>3865</v>
      </c>
      <c r="B509" s="36" t="s">
        <v>3884</v>
      </c>
    </row>
    <row r="510" ht="15.75" customHeight="1" spans="1:2">
      <c r="A510" s="36" t="s">
        <v>3865</v>
      </c>
      <c r="B510" s="36" t="s">
        <v>3885</v>
      </c>
    </row>
    <row r="511" ht="15.75" customHeight="1" spans="1:2">
      <c r="A511" s="36" t="s">
        <v>3865</v>
      </c>
      <c r="B511" s="36" t="s">
        <v>3886</v>
      </c>
    </row>
    <row r="512" ht="15.75" customHeight="1" spans="1:2">
      <c r="A512" s="36" t="s">
        <v>3865</v>
      </c>
      <c r="B512" s="36" t="s">
        <v>3887</v>
      </c>
    </row>
    <row r="513" ht="15.75" customHeight="1" spans="1:2">
      <c r="A513" s="36" t="s">
        <v>3865</v>
      </c>
      <c r="B513" s="36" t="s">
        <v>3888</v>
      </c>
    </row>
    <row r="514" ht="15.75" customHeight="1" spans="1:2">
      <c r="A514" s="36" t="s">
        <v>3865</v>
      </c>
      <c r="B514" s="36" t="s">
        <v>3889</v>
      </c>
    </row>
    <row r="515" ht="15.75" customHeight="1" spans="1:2">
      <c r="A515" s="36" t="s">
        <v>3865</v>
      </c>
      <c r="B515" s="36" t="s">
        <v>3890</v>
      </c>
    </row>
    <row r="516" ht="15.75" customHeight="1" spans="1:2">
      <c r="A516" s="36" t="s">
        <v>3865</v>
      </c>
      <c r="B516" s="36" t="s">
        <v>3891</v>
      </c>
    </row>
    <row r="517" ht="15.75" customHeight="1" spans="1:2">
      <c r="A517" s="36" t="s">
        <v>3865</v>
      </c>
      <c r="B517" s="36" t="s">
        <v>3892</v>
      </c>
    </row>
    <row r="518" ht="15.75" customHeight="1" spans="1:2">
      <c r="A518" s="36" t="s">
        <v>3865</v>
      </c>
      <c r="B518" s="36" t="s">
        <v>3893</v>
      </c>
    </row>
    <row r="519" ht="15.75" customHeight="1" spans="1:2">
      <c r="A519" s="36" t="s">
        <v>3865</v>
      </c>
      <c r="B519" s="36" t="s">
        <v>3894</v>
      </c>
    </row>
    <row r="520" ht="15.75" customHeight="1" spans="1:2">
      <c r="A520" s="36" t="s">
        <v>3865</v>
      </c>
      <c r="B520" s="36" t="s">
        <v>3895</v>
      </c>
    </row>
    <row r="521" ht="15.75" customHeight="1" spans="1:2">
      <c r="A521" s="36" t="s">
        <v>3865</v>
      </c>
      <c r="B521" s="36" t="s">
        <v>3896</v>
      </c>
    </row>
    <row r="522" ht="15.75" customHeight="1" spans="1:2">
      <c r="A522" s="36" t="s">
        <v>3865</v>
      </c>
      <c r="B522" s="36" t="s">
        <v>3897</v>
      </c>
    </row>
    <row r="523" ht="15.75" customHeight="1" spans="1:2">
      <c r="A523" s="36" t="s">
        <v>3865</v>
      </c>
      <c r="B523" s="36" t="s">
        <v>3898</v>
      </c>
    </row>
    <row r="524" ht="15.75" customHeight="1" spans="1:2">
      <c r="A524" s="36" t="s">
        <v>3865</v>
      </c>
      <c r="B524" s="36" t="s">
        <v>3899</v>
      </c>
    </row>
    <row r="525" ht="15.75" customHeight="1" spans="1:2">
      <c r="A525" s="36" t="s">
        <v>3865</v>
      </c>
      <c r="B525" s="36" t="s">
        <v>3900</v>
      </c>
    </row>
    <row r="526" ht="15.75" customHeight="1" spans="1:2">
      <c r="A526" s="36" t="s">
        <v>3865</v>
      </c>
      <c r="B526" s="36" t="s">
        <v>3871</v>
      </c>
    </row>
    <row r="527" ht="15.75" customHeight="1" spans="1:2">
      <c r="A527" s="36" t="s">
        <v>3865</v>
      </c>
      <c r="B527" s="36" t="s">
        <v>3901</v>
      </c>
    </row>
    <row r="528" ht="15.75" customHeight="1" spans="1:2">
      <c r="A528" s="36" t="s">
        <v>3865</v>
      </c>
      <c r="B528" s="36" t="s">
        <v>3869</v>
      </c>
    </row>
    <row r="529" ht="15.75" customHeight="1" spans="1:2">
      <c r="A529" s="36" t="s">
        <v>3865</v>
      </c>
      <c r="B529" s="36" t="s">
        <v>22</v>
      </c>
    </row>
    <row r="530" ht="15.75" customHeight="1" spans="1:2">
      <c r="A530" s="36" t="s">
        <v>3865</v>
      </c>
      <c r="B530" s="36" t="s">
        <v>3876</v>
      </c>
    </row>
    <row r="531" ht="15.75" customHeight="1" spans="1:2">
      <c r="A531" s="36" t="s">
        <v>3865</v>
      </c>
      <c r="B531" s="36" t="s">
        <v>3902</v>
      </c>
    </row>
    <row r="532" ht="15.75" customHeight="1" spans="1:2">
      <c r="A532" s="36" t="s">
        <v>3865</v>
      </c>
      <c r="B532" s="36" t="s">
        <v>3872</v>
      </c>
    </row>
    <row r="533" ht="15.75" customHeight="1" spans="1:2">
      <c r="A533" s="36" t="s">
        <v>3865</v>
      </c>
      <c r="B533" s="36" t="s">
        <v>3903</v>
      </c>
    </row>
    <row r="534" ht="15.75" customHeight="1" spans="1:2">
      <c r="A534" s="36" t="s">
        <v>3865</v>
      </c>
      <c r="B534" s="36" t="s">
        <v>3904</v>
      </c>
    </row>
    <row r="535" ht="15.75" customHeight="1" spans="1:2">
      <c r="A535" s="36" t="s">
        <v>3865</v>
      </c>
      <c r="B535" s="36" t="s">
        <v>3889</v>
      </c>
    </row>
    <row r="536" ht="15.75" customHeight="1" spans="1:2">
      <c r="A536" s="36" t="s">
        <v>3865</v>
      </c>
      <c r="B536" s="36" t="s">
        <v>3905</v>
      </c>
    </row>
    <row r="537" ht="15.75" customHeight="1" spans="1:2">
      <c r="A537" s="36" t="s">
        <v>3865</v>
      </c>
      <c r="B537" s="36" t="s">
        <v>3906</v>
      </c>
    </row>
    <row r="538" ht="15.75" customHeight="1" spans="1:2">
      <c r="A538" s="36" t="s">
        <v>3865</v>
      </c>
      <c r="B538" s="36" t="s">
        <v>3907</v>
      </c>
    </row>
    <row r="539" ht="15.75" customHeight="1" spans="1:2">
      <c r="A539" s="36" t="s">
        <v>3865</v>
      </c>
      <c r="B539" s="36" t="s">
        <v>3908</v>
      </c>
    </row>
    <row r="540" ht="15.75" customHeight="1" spans="1:2">
      <c r="A540" s="36" t="s">
        <v>3865</v>
      </c>
      <c r="B540" s="36" t="s">
        <v>3870</v>
      </c>
    </row>
    <row r="541" ht="15.75" customHeight="1" spans="1:2">
      <c r="A541" s="36" t="s">
        <v>3865</v>
      </c>
      <c r="B541" s="36" t="s">
        <v>3874</v>
      </c>
    </row>
    <row r="542" ht="15.75" customHeight="1" spans="1:2">
      <c r="A542" s="36" t="s">
        <v>3865</v>
      </c>
      <c r="B542" s="36" t="s">
        <v>3909</v>
      </c>
    </row>
    <row r="543" ht="15.75" customHeight="1" spans="1:2">
      <c r="A543" s="36" t="s">
        <v>3865</v>
      </c>
      <c r="B543" s="36" t="s">
        <v>3910</v>
      </c>
    </row>
    <row r="544" ht="15.75" customHeight="1" spans="1:2">
      <c r="A544" s="36" t="s">
        <v>3865</v>
      </c>
      <c r="B544" s="36" t="s">
        <v>3911</v>
      </c>
    </row>
    <row r="545" ht="15.75" customHeight="1" spans="1:2">
      <c r="A545" s="36" t="s">
        <v>3865</v>
      </c>
      <c r="B545" s="36" t="s">
        <v>3912</v>
      </c>
    </row>
    <row r="546" ht="15.75" customHeight="1" spans="1:2">
      <c r="A546" s="36" t="s">
        <v>3865</v>
      </c>
      <c r="B546" s="36" t="s">
        <v>3913</v>
      </c>
    </row>
    <row r="547" ht="15.75" customHeight="1" spans="1:2">
      <c r="A547" s="36" t="s">
        <v>3865</v>
      </c>
      <c r="B547" s="36" t="s">
        <v>3914</v>
      </c>
    </row>
    <row r="548" ht="15.75" customHeight="1" spans="1:2">
      <c r="A548" s="36" t="s">
        <v>3865</v>
      </c>
      <c r="B548" s="36" t="s">
        <v>3915</v>
      </c>
    </row>
    <row r="549" ht="15.75" customHeight="1" spans="1:2">
      <c r="A549" s="36" t="s">
        <v>3865</v>
      </c>
      <c r="B549" s="36" t="s">
        <v>3916</v>
      </c>
    </row>
    <row r="550" ht="15.75" customHeight="1" spans="1:2">
      <c r="A550" s="36" t="s">
        <v>3865</v>
      </c>
      <c r="B550" s="36" t="s">
        <v>3917</v>
      </c>
    </row>
    <row r="551" ht="15.75" customHeight="1" spans="1:2">
      <c r="A551" s="36" t="s">
        <v>3865</v>
      </c>
      <c r="B551" s="36" t="s">
        <v>3918</v>
      </c>
    </row>
    <row r="552" ht="15.75" customHeight="1" spans="1:2">
      <c r="A552" s="36" t="s">
        <v>3865</v>
      </c>
      <c r="B552" s="36" t="s">
        <v>3919</v>
      </c>
    </row>
    <row r="553" ht="15.75" customHeight="1" spans="1:2">
      <c r="A553" s="36" t="s">
        <v>3865</v>
      </c>
      <c r="B553" s="36" t="s">
        <v>3920</v>
      </c>
    </row>
    <row r="554" ht="15.75" customHeight="1" spans="1:2">
      <c r="A554" s="36" t="s">
        <v>3865</v>
      </c>
      <c r="B554" s="36" t="s">
        <v>3921</v>
      </c>
    </row>
    <row r="555" ht="15.75" customHeight="1" spans="1:2">
      <c r="A555" s="36" t="s">
        <v>3865</v>
      </c>
      <c r="B555" s="36" t="s">
        <v>3922</v>
      </c>
    </row>
    <row r="556" ht="15.75" customHeight="1" spans="1:2">
      <c r="A556" s="36" t="s">
        <v>3865</v>
      </c>
      <c r="B556" s="36" t="s">
        <v>3923</v>
      </c>
    </row>
    <row r="557" ht="15.75" customHeight="1" spans="1:2">
      <c r="A557" s="36" t="s">
        <v>3865</v>
      </c>
      <c r="B557" s="36" t="s">
        <v>3924</v>
      </c>
    </row>
    <row r="558" ht="15.75" customHeight="1" spans="1:2">
      <c r="A558" s="36" t="s">
        <v>3865</v>
      </c>
      <c r="B558" s="36" t="s">
        <v>3925</v>
      </c>
    </row>
    <row r="559" ht="15.75" customHeight="1" spans="1:2">
      <c r="A559" s="36" t="s">
        <v>3865</v>
      </c>
      <c r="B559" s="36" t="s">
        <v>3926</v>
      </c>
    </row>
    <row r="560" ht="15.75" customHeight="1" spans="1:2">
      <c r="A560" s="36" t="s">
        <v>3865</v>
      </c>
      <c r="B560" s="36" t="s">
        <v>3927</v>
      </c>
    </row>
    <row r="561" ht="15.75" customHeight="1" spans="1:2">
      <c r="A561" s="36" t="s">
        <v>3865</v>
      </c>
      <c r="B561" s="36" t="s">
        <v>3928</v>
      </c>
    </row>
    <row r="562" ht="15.75" customHeight="1" spans="1:2">
      <c r="A562" s="36" t="s">
        <v>3865</v>
      </c>
      <c r="B562" s="36" t="s">
        <v>3929</v>
      </c>
    </row>
    <row r="563" ht="15.75" customHeight="1" spans="1:2">
      <c r="A563" s="36" t="s">
        <v>3865</v>
      </c>
      <c r="B563" s="36" t="s">
        <v>3930</v>
      </c>
    </row>
    <row r="564" ht="15.75" customHeight="1" spans="1:2">
      <c r="A564" s="36" t="s">
        <v>3865</v>
      </c>
      <c r="B564" s="36" t="s">
        <v>3931</v>
      </c>
    </row>
    <row r="565" ht="15.75" customHeight="1" spans="1:2">
      <c r="A565" s="36" t="s">
        <v>3865</v>
      </c>
      <c r="B565" s="36" t="s">
        <v>3932</v>
      </c>
    </row>
    <row r="566" ht="15.75" customHeight="1" spans="1:2">
      <c r="A566" s="36" t="s">
        <v>3865</v>
      </c>
      <c r="B566" s="36" t="s">
        <v>3933</v>
      </c>
    </row>
    <row r="567" ht="15.75" customHeight="1" spans="1:2">
      <c r="A567" s="36" t="s">
        <v>3865</v>
      </c>
      <c r="B567" s="36" t="s">
        <v>3934</v>
      </c>
    </row>
    <row r="568" ht="15.75" customHeight="1" spans="1:2">
      <c r="A568" s="36" t="s">
        <v>3865</v>
      </c>
      <c r="B568" s="36" t="s">
        <v>3935</v>
      </c>
    </row>
    <row r="569" ht="15.75" customHeight="1" spans="1:2">
      <c r="A569" s="36" t="s">
        <v>3865</v>
      </c>
      <c r="B569" s="36" t="s">
        <v>3936</v>
      </c>
    </row>
    <row r="570" ht="15.75" customHeight="1" spans="1:2">
      <c r="A570" s="36" t="s">
        <v>3865</v>
      </c>
      <c r="B570" s="36" t="s">
        <v>3937</v>
      </c>
    </row>
    <row r="571" ht="15.75" customHeight="1" spans="1:2">
      <c r="A571" s="36" t="s">
        <v>3865</v>
      </c>
      <c r="B571" s="36" t="s">
        <v>3938</v>
      </c>
    </row>
    <row r="572" ht="15.75" customHeight="1" spans="1:2">
      <c r="A572" s="36" t="s">
        <v>3865</v>
      </c>
      <c r="B572" s="36" t="s">
        <v>3939</v>
      </c>
    </row>
    <row r="573" ht="15.75" customHeight="1" spans="1:2">
      <c r="A573" s="36" t="s">
        <v>3865</v>
      </c>
      <c r="B573" s="36" t="s">
        <v>3940</v>
      </c>
    </row>
    <row r="574" ht="15.75" customHeight="1" spans="1:2">
      <c r="A574" s="36" t="s">
        <v>3865</v>
      </c>
      <c r="B574" s="36" t="s">
        <v>3941</v>
      </c>
    </row>
    <row r="575" ht="15.75" customHeight="1" spans="1:2">
      <c r="A575" s="36" t="s">
        <v>3865</v>
      </c>
      <c r="B575" s="36" t="s">
        <v>3942</v>
      </c>
    </row>
    <row r="576" ht="15.75" customHeight="1" spans="1:2">
      <c r="A576" s="36" t="s">
        <v>3865</v>
      </c>
      <c r="B576" s="36" t="s">
        <v>3943</v>
      </c>
    </row>
    <row r="577" ht="15.75" customHeight="1" spans="1:2">
      <c r="A577" s="36" t="s">
        <v>3865</v>
      </c>
      <c r="B577" s="36" t="s">
        <v>3944</v>
      </c>
    </row>
    <row r="578" ht="15.75" customHeight="1" spans="1:2">
      <c r="A578" s="36" t="s">
        <v>23</v>
      </c>
      <c r="B578" s="36" t="s">
        <v>23</v>
      </c>
    </row>
    <row r="579" ht="15.75" customHeight="1" spans="1:2">
      <c r="A579" s="36" t="s">
        <v>23</v>
      </c>
      <c r="B579" s="36" t="s">
        <v>3945</v>
      </c>
    </row>
    <row r="580" ht="15.75" customHeight="1" spans="1:2">
      <c r="A580" s="36" t="s">
        <v>23</v>
      </c>
      <c r="B580" s="36" t="s">
        <v>3946</v>
      </c>
    </row>
    <row r="581" ht="15.75" customHeight="1" spans="1:2">
      <c r="A581" s="36" t="s">
        <v>23</v>
      </c>
      <c r="B581" s="36" t="s">
        <v>3947</v>
      </c>
    </row>
    <row r="582" ht="15.75" customHeight="1" spans="1:2">
      <c r="A582" s="36" t="s">
        <v>23</v>
      </c>
      <c r="B582" s="36" t="s">
        <v>3948</v>
      </c>
    </row>
    <row r="583" ht="15.75" customHeight="1" spans="1:2">
      <c r="A583" s="36" t="s">
        <v>23</v>
      </c>
      <c r="B583" s="36" t="s">
        <v>3949</v>
      </c>
    </row>
    <row r="584" ht="15.75" customHeight="1" spans="1:2">
      <c r="A584" s="36" t="s">
        <v>23</v>
      </c>
      <c r="B584" s="36" t="s">
        <v>3950</v>
      </c>
    </row>
    <row r="585" ht="15.75" customHeight="1" spans="1:2">
      <c r="A585" s="36" t="s">
        <v>23</v>
      </c>
      <c r="B585" s="36" t="s">
        <v>3951</v>
      </c>
    </row>
    <row r="586" ht="15.75" customHeight="1" spans="1:2">
      <c r="A586" s="36" t="s">
        <v>23</v>
      </c>
      <c r="B586" s="36" t="s">
        <v>3952</v>
      </c>
    </row>
    <row r="587" ht="15.75" customHeight="1" spans="1:2">
      <c r="A587" s="36" t="s">
        <v>23</v>
      </c>
      <c r="B587" s="36" t="s">
        <v>3953</v>
      </c>
    </row>
    <row r="588" ht="15.75" customHeight="1" spans="1:2">
      <c r="A588" s="36" t="s">
        <v>23</v>
      </c>
      <c r="B588" s="36" t="s">
        <v>3954</v>
      </c>
    </row>
    <row r="589" ht="15.75" customHeight="1" spans="1:2">
      <c r="A589" s="36" t="s">
        <v>23</v>
      </c>
      <c r="B589" s="36" t="s">
        <v>3955</v>
      </c>
    </row>
    <row r="590" ht="15.75" customHeight="1" spans="1:2">
      <c r="A590" s="36" t="s">
        <v>23</v>
      </c>
      <c r="B590" s="36" t="s">
        <v>3956</v>
      </c>
    </row>
    <row r="591" ht="15.75" customHeight="1" spans="1:2">
      <c r="A591" s="36" t="s">
        <v>23</v>
      </c>
      <c r="B591" s="36" t="s">
        <v>3957</v>
      </c>
    </row>
    <row r="592" ht="15.75" customHeight="1" spans="1:2">
      <c r="A592" s="36" t="s">
        <v>23</v>
      </c>
      <c r="B592" s="36" t="s">
        <v>3958</v>
      </c>
    </row>
    <row r="593" ht="15.75" customHeight="1" spans="1:2">
      <c r="A593" s="36" t="s">
        <v>23</v>
      </c>
      <c r="B593" s="36" t="s">
        <v>3959</v>
      </c>
    </row>
    <row r="594" ht="15.75" customHeight="1" spans="1:2">
      <c r="A594" s="36" t="s">
        <v>23</v>
      </c>
      <c r="B594" s="36" t="s">
        <v>3960</v>
      </c>
    </row>
    <row r="595" ht="15.75" customHeight="1" spans="1:2">
      <c r="A595" s="36" t="s">
        <v>23</v>
      </c>
      <c r="B595" s="36" t="s">
        <v>3961</v>
      </c>
    </row>
    <row r="596" ht="15.75" customHeight="1" spans="1:2">
      <c r="A596" s="36" t="s">
        <v>23</v>
      </c>
      <c r="B596" s="36" t="s">
        <v>3962</v>
      </c>
    </row>
    <row r="597" ht="15.75" customHeight="1" spans="1:2">
      <c r="A597" s="36" t="s">
        <v>23</v>
      </c>
      <c r="B597" s="36" t="s">
        <v>3963</v>
      </c>
    </row>
    <row r="598" ht="15.75" customHeight="1" spans="1:2">
      <c r="A598" s="36" t="s">
        <v>23</v>
      </c>
      <c r="B598" s="36" t="s">
        <v>3964</v>
      </c>
    </row>
    <row r="599" ht="15.75" customHeight="1" spans="1:2">
      <c r="A599" s="36" t="s">
        <v>23</v>
      </c>
      <c r="B599" s="36" t="s">
        <v>3965</v>
      </c>
    </row>
    <row r="600" ht="15.75" customHeight="1" spans="1:2">
      <c r="A600" s="36" t="s">
        <v>23</v>
      </c>
      <c r="B600" s="36" t="s">
        <v>3966</v>
      </c>
    </row>
    <row r="601" ht="15.75" customHeight="1" spans="1:2">
      <c r="A601" s="36" t="s">
        <v>23</v>
      </c>
      <c r="B601" s="36" t="s">
        <v>3967</v>
      </c>
    </row>
    <row r="602" ht="15.75" customHeight="1" spans="1:2">
      <c r="A602" s="36" t="s">
        <v>23</v>
      </c>
      <c r="B602" s="36" t="s">
        <v>3968</v>
      </c>
    </row>
    <row r="603" ht="15.75" customHeight="1" spans="1:2">
      <c r="A603" s="36" t="s">
        <v>23</v>
      </c>
      <c r="B603" s="36" t="s">
        <v>3969</v>
      </c>
    </row>
    <row r="604" ht="15.75" customHeight="1" spans="1:2">
      <c r="A604" s="36" t="s">
        <v>23</v>
      </c>
      <c r="B604" s="36" t="s">
        <v>3970</v>
      </c>
    </row>
    <row r="605" ht="15.75" customHeight="1" spans="1:2">
      <c r="A605" s="36" t="s">
        <v>23</v>
      </c>
      <c r="B605" s="36" t="s">
        <v>3971</v>
      </c>
    </row>
    <row r="606" ht="15.75" customHeight="1" spans="1:2">
      <c r="A606" s="36" t="s">
        <v>23</v>
      </c>
      <c r="B606" s="36" t="s">
        <v>3972</v>
      </c>
    </row>
    <row r="607" ht="15.75" customHeight="1" spans="1:2">
      <c r="A607" s="36" t="s">
        <v>23</v>
      </c>
      <c r="B607" s="36" t="s">
        <v>3973</v>
      </c>
    </row>
    <row r="608" ht="15.75" customHeight="1" spans="1:2">
      <c r="A608" s="36" t="s">
        <v>23</v>
      </c>
      <c r="B608" s="36" t="s">
        <v>3974</v>
      </c>
    </row>
    <row r="609" ht="15.75" customHeight="1" spans="1:2">
      <c r="A609" s="36" t="s">
        <v>23</v>
      </c>
      <c r="B609" s="36" t="s">
        <v>3975</v>
      </c>
    </row>
    <row r="610" ht="15.75" customHeight="1" spans="1:2">
      <c r="A610" s="36" t="s">
        <v>23</v>
      </c>
      <c r="B610" s="36" t="s">
        <v>3976</v>
      </c>
    </row>
    <row r="611" ht="15.75" customHeight="1" spans="1:2">
      <c r="A611" s="36" t="s">
        <v>23</v>
      </c>
      <c r="B611" s="36" t="s">
        <v>3977</v>
      </c>
    </row>
    <row r="612" ht="15.75" customHeight="1" spans="1:2">
      <c r="A612" s="36" t="s">
        <v>23</v>
      </c>
      <c r="B612" s="36" t="s">
        <v>3978</v>
      </c>
    </row>
    <row r="613" ht="15.75" customHeight="1" spans="1:2">
      <c r="A613" s="36" t="s">
        <v>23</v>
      </c>
      <c r="B613" s="36" t="s">
        <v>3979</v>
      </c>
    </row>
    <row r="614" ht="15.75" customHeight="1" spans="1:2">
      <c r="A614" s="36" t="s">
        <v>23</v>
      </c>
      <c r="B614" s="36" t="s">
        <v>3980</v>
      </c>
    </row>
    <row r="615" ht="15.75" customHeight="1" spans="1:2">
      <c r="A615" s="36" t="s">
        <v>23</v>
      </c>
      <c r="B615" s="36" t="s">
        <v>3981</v>
      </c>
    </row>
    <row r="616" ht="15.75" customHeight="1" spans="1:2">
      <c r="A616" s="36" t="s">
        <v>23</v>
      </c>
      <c r="B616" s="36" t="s">
        <v>3982</v>
      </c>
    </row>
    <row r="617" ht="15.75" customHeight="1" spans="1:2">
      <c r="A617" s="36" t="s">
        <v>23</v>
      </c>
      <c r="B617" s="36" t="s">
        <v>3983</v>
      </c>
    </row>
    <row r="618" ht="15.75" customHeight="1" spans="1:2">
      <c r="A618" s="36" t="s">
        <v>23</v>
      </c>
      <c r="B618" s="36" t="s">
        <v>3984</v>
      </c>
    </row>
    <row r="619" ht="15.75" customHeight="1" spans="1:2">
      <c r="A619" s="36" t="s">
        <v>23</v>
      </c>
      <c r="B619" s="36" t="s">
        <v>3985</v>
      </c>
    </row>
    <row r="620" ht="15.75" customHeight="1" spans="1:2">
      <c r="A620" s="36" t="s">
        <v>23</v>
      </c>
      <c r="B620" s="36" t="s">
        <v>3986</v>
      </c>
    </row>
    <row r="621" ht="15.75" customHeight="1" spans="1:2">
      <c r="A621" s="36" t="s">
        <v>23</v>
      </c>
      <c r="B621" s="36" t="s">
        <v>3987</v>
      </c>
    </row>
    <row r="622" ht="15.75" customHeight="1" spans="1:2">
      <c r="A622" s="36" t="s">
        <v>23</v>
      </c>
      <c r="B622" s="36" t="s">
        <v>3988</v>
      </c>
    </row>
    <row r="623" ht="15.75" customHeight="1" spans="1:2">
      <c r="A623" s="36" t="s">
        <v>23</v>
      </c>
      <c r="B623" s="36" t="s">
        <v>3989</v>
      </c>
    </row>
    <row r="624" ht="15.75" customHeight="1" spans="1:2">
      <c r="A624" s="36" t="s">
        <v>23</v>
      </c>
      <c r="B624" s="36" t="s">
        <v>3990</v>
      </c>
    </row>
    <row r="625" ht="15.75" customHeight="1" spans="1:2">
      <c r="A625" s="36" t="s">
        <v>23</v>
      </c>
      <c r="B625" s="36" t="s">
        <v>3991</v>
      </c>
    </row>
    <row r="626" ht="15.75" customHeight="1" spans="1:2">
      <c r="A626" s="36" t="s">
        <v>23</v>
      </c>
      <c r="B626" s="36" t="s">
        <v>3992</v>
      </c>
    </row>
    <row r="627" ht="15.75" customHeight="1" spans="1:2">
      <c r="A627" s="36" t="s">
        <v>23</v>
      </c>
      <c r="B627" s="36" t="s">
        <v>3993</v>
      </c>
    </row>
    <row r="628" ht="15.75" customHeight="1" spans="1:2">
      <c r="A628" s="36" t="s">
        <v>23</v>
      </c>
      <c r="B628" s="36" t="s">
        <v>3994</v>
      </c>
    </row>
    <row r="629" ht="15.75" customHeight="1" spans="1:2">
      <c r="A629" s="36" t="s">
        <v>23</v>
      </c>
      <c r="B629" s="36" t="s">
        <v>3995</v>
      </c>
    </row>
    <row r="630" ht="15.75" customHeight="1" spans="1:2">
      <c r="A630" s="36" t="s">
        <v>23</v>
      </c>
      <c r="B630" s="36" t="s">
        <v>3996</v>
      </c>
    </row>
    <row r="631" ht="15.75" customHeight="1" spans="1:2">
      <c r="A631" s="36" t="s">
        <v>23</v>
      </c>
      <c r="B631" s="36" t="s">
        <v>3997</v>
      </c>
    </row>
    <row r="632" ht="15.75" customHeight="1" spans="1:2">
      <c r="A632" s="36" t="s">
        <v>23</v>
      </c>
      <c r="B632" s="36" t="s">
        <v>3998</v>
      </c>
    </row>
    <row r="633" ht="15.75" customHeight="1" spans="1:2">
      <c r="A633" s="36" t="s">
        <v>23</v>
      </c>
      <c r="B633" s="36" t="s">
        <v>3999</v>
      </c>
    </row>
    <row r="634" ht="15.75" customHeight="1" spans="1:2">
      <c r="A634" s="36" t="s">
        <v>23</v>
      </c>
      <c r="B634" s="36" t="s">
        <v>4000</v>
      </c>
    </row>
    <row r="635" ht="15.75" customHeight="1" spans="1:2">
      <c r="A635" s="36" t="s">
        <v>23</v>
      </c>
      <c r="B635" s="36" t="s">
        <v>4001</v>
      </c>
    </row>
    <row r="636" ht="15.75" customHeight="1" spans="1:2">
      <c r="A636" s="36" t="s">
        <v>23</v>
      </c>
      <c r="B636" s="36" t="s">
        <v>4002</v>
      </c>
    </row>
    <row r="637" ht="15.75" customHeight="1" spans="1:2">
      <c r="A637" s="36" t="s">
        <v>23</v>
      </c>
      <c r="B637" s="36" t="s">
        <v>4003</v>
      </c>
    </row>
    <row r="638" ht="15.75" customHeight="1" spans="1:2">
      <c r="A638" s="36" t="s">
        <v>23</v>
      </c>
      <c r="B638" s="36" t="s">
        <v>4004</v>
      </c>
    </row>
    <row r="639" ht="15.75" customHeight="1" spans="1:2">
      <c r="A639" s="36" t="s">
        <v>23</v>
      </c>
      <c r="B639" s="36" t="s">
        <v>4005</v>
      </c>
    </row>
    <row r="640" ht="15.75" customHeight="1" spans="1:2">
      <c r="A640" s="36" t="s">
        <v>23</v>
      </c>
      <c r="B640" s="36" t="s">
        <v>4006</v>
      </c>
    </row>
    <row r="641" ht="15.75" customHeight="1" spans="1:2">
      <c r="A641" s="36" t="s">
        <v>23</v>
      </c>
      <c r="B641" s="36" t="s">
        <v>4007</v>
      </c>
    </row>
    <row r="642" ht="15.75" customHeight="1" spans="1:2">
      <c r="A642" s="36" t="s">
        <v>23</v>
      </c>
      <c r="B642" s="36" t="s">
        <v>4008</v>
      </c>
    </row>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188" r:id="rId1" display="Inv.No"/>
  </hyperlinks>
  <pageMargins left="0.7" right="0.7" top="0.75" bottom="0.75" header="0.511811023622047" footer="0.511811023622047"/>
  <pageSetup paperSize="1" orientation="landscape"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zoomScale="65" zoomScaleNormal="65" workbookViewId="0">
      <selection activeCell="A1" sqref="A1"/>
    </sheetView>
  </sheetViews>
  <sheetFormatPr defaultColWidth="14.5" defaultRowHeight="14" outlineLevelCol="1"/>
  <cols>
    <col min="1" max="1" width="13.8359375" customWidth="1"/>
    <col min="2" max="2" width="20.8359375" customWidth="1"/>
    <col min="3" max="26" width="8.6640625" customWidth="1"/>
  </cols>
  <sheetData>
    <row r="1" ht="15.2" spans="1:2">
      <c r="A1" s="33" t="s">
        <v>5345</v>
      </c>
      <c r="B1" s="33" t="s">
        <v>5346</v>
      </c>
    </row>
    <row r="2" spans="1:2">
      <c r="A2" s="10" t="s">
        <v>5347</v>
      </c>
      <c r="B2" s="2" t="s">
        <v>5347</v>
      </c>
    </row>
    <row r="3" spans="1:2">
      <c r="A3" s="10" t="s">
        <v>5348</v>
      </c>
      <c r="B3" s="2" t="s">
        <v>5349</v>
      </c>
    </row>
    <row r="4" spans="1:2">
      <c r="A4" s="10" t="s">
        <v>5350</v>
      </c>
      <c r="B4" s="2" t="s">
        <v>5351</v>
      </c>
    </row>
    <row r="5" spans="1:2">
      <c r="A5" s="10" t="s">
        <v>5352</v>
      </c>
      <c r="B5" s="2" t="s">
        <v>5353</v>
      </c>
    </row>
    <row r="6" spans="1:2">
      <c r="A6" s="10" t="s">
        <v>5354</v>
      </c>
      <c r="B6" s="2" t="s">
        <v>5354</v>
      </c>
    </row>
    <row r="7" spans="1:2">
      <c r="A7" s="10" t="s">
        <v>5355</v>
      </c>
      <c r="B7" s="2" t="s">
        <v>5356</v>
      </c>
    </row>
    <row r="8" spans="1:2">
      <c r="A8" s="10" t="s">
        <v>5357</v>
      </c>
      <c r="B8" s="2" t="s">
        <v>5358</v>
      </c>
    </row>
    <row r="9" spans="1:2">
      <c r="A9" s="10" t="s">
        <v>5359</v>
      </c>
      <c r="B9" s="2" t="s">
        <v>5360</v>
      </c>
    </row>
    <row r="10" spans="1:2">
      <c r="A10" s="10" t="s">
        <v>5361</v>
      </c>
      <c r="B10" s="2" t="s">
        <v>5362</v>
      </c>
    </row>
    <row r="11" spans="1:2">
      <c r="A11" s="10" t="s">
        <v>5363</v>
      </c>
      <c r="B11" s="2" t="s">
        <v>5364</v>
      </c>
    </row>
    <row r="12" spans="1:2">
      <c r="A12" s="10" t="s">
        <v>5365</v>
      </c>
      <c r="B12" s="2" t="s">
        <v>5366</v>
      </c>
    </row>
    <row r="13" spans="1:2">
      <c r="A13" s="10" t="s">
        <v>5367</v>
      </c>
      <c r="B13" s="2" t="s">
        <v>5368</v>
      </c>
    </row>
    <row r="14" spans="1:2">
      <c r="A14" s="10" t="s">
        <v>5369</v>
      </c>
      <c r="B14" s="2" t="s">
        <v>5370</v>
      </c>
    </row>
    <row r="15" spans="1:2">
      <c r="A15" s="10" t="s">
        <v>5371</v>
      </c>
      <c r="B15" s="2" t="s">
        <v>5372</v>
      </c>
    </row>
    <row r="16" spans="1:2">
      <c r="A16" s="10" t="s">
        <v>5373</v>
      </c>
      <c r="B16" s="2" t="s">
        <v>5374</v>
      </c>
    </row>
    <row r="17" spans="1:2">
      <c r="A17" s="10" t="s">
        <v>5375</v>
      </c>
      <c r="B17" s="2" t="s">
        <v>5376</v>
      </c>
    </row>
    <row r="18" spans="1:2">
      <c r="A18" s="10" t="s">
        <v>5377</v>
      </c>
      <c r="B18" s="2" t="s">
        <v>5378</v>
      </c>
    </row>
    <row r="19" spans="1:2">
      <c r="A19" s="10" t="s">
        <v>5379</v>
      </c>
      <c r="B19" s="2" t="s">
        <v>5380</v>
      </c>
    </row>
    <row r="20" spans="1:2">
      <c r="A20" s="10" t="s">
        <v>5381</v>
      </c>
      <c r="B20" s="2" t="s">
        <v>5382</v>
      </c>
    </row>
    <row r="21" ht="15.75" customHeight="1" spans="1:2">
      <c r="A21" s="10" t="s">
        <v>5383</v>
      </c>
      <c r="B21" s="2" t="s">
        <v>5384</v>
      </c>
    </row>
    <row r="22" ht="15.75" customHeight="1" spans="1:2">
      <c r="A22" s="10" t="s">
        <v>5385</v>
      </c>
      <c r="B22" s="2" t="s">
        <v>5386</v>
      </c>
    </row>
    <row r="23" ht="15.75" customHeight="1" spans="1:2">
      <c r="A23" s="10" t="s">
        <v>5387</v>
      </c>
      <c r="B23" s="2" t="s">
        <v>5388</v>
      </c>
    </row>
    <row r="24" ht="15.75" customHeight="1" spans="1:2">
      <c r="A24" s="10" t="s">
        <v>5389</v>
      </c>
      <c r="B24" s="2" t="s">
        <v>5390</v>
      </c>
    </row>
    <row r="25" ht="15.75" customHeight="1" spans="1:2">
      <c r="A25" s="10" t="s">
        <v>5391</v>
      </c>
      <c r="B25" s="2" t="s">
        <v>5392</v>
      </c>
    </row>
    <row r="26" ht="15.75" customHeight="1" spans="1:2">
      <c r="A26" s="10" t="s">
        <v>5393</v>
      </c>
      <c r="B26" s="2" t="s">
        <v>5394</v>
      </c>
    </row>
    <row r="27" ht="15.75" customHeight="1" spans="1:2">
      <c r="A27" s="10" t="s">
        <v>5395</v>
      </c>
      <c r="B27" s="2" t="s">
        <v>5396</v>
      </c>
    </row>
    <row r="28" ht="15.75" customHeight="1" spans="1:2">
      <c r="A28" s="10" t="s">
        <v>5397</v>
      </c>
      <c r="B28" s="2" t="s">
        <v>5398</v>
      </c>
    </row>
    <row r="29" ht="15.75" customHeight="1" spans="1:2">
      <c r="A29" s="10" t="s">
        <v>5399</v>
      </c>
      <c r="B29" s="2" t="s">
        <v>5400</v>
      </c>
    </row>
    <row r="30" ht="15.75" customHeight="1" spans="1:2">
      <c r="A30" s="10" t="s">
        <v>5401</v>
      </c>
      <c r="B30" s="2" t="s">
        <v>5402</v>
      </c>
    </row>
    <row r="31" ht="15.75" customHeight="1" spans="1:2">
      <c r="A31" s="10" t="s">
        <v>5403</v>
      </c>
      <c r="B31" s="2" t="s">
        <v>5404</v>
      </c>
    </row>
    <row r="32" ht="15.75" customHeight="1" spans="1:2">
      <c r="A32" s="10" t="s">
        <v>5405</v>
      </c>
      <c r="B32" s="2" t="s">
        <v>5406</v>
      </c>
    </row>
    <row r="33" ht="15.75" customHeight="1" spans="1:2">
      <c r="A33" s="10" t="s">
        <v>5407</v>
      </c>
      <c r="B33" s="2" t="s">
        <v>5408</v>
      </c>
    </row>
    <row r="34" ht="15.75" customHeight="1" spans="1:2">
      <c r="A34" s="10" t="s">
        <v>5409</v>
      </c>
      <c r="B34" s="2" t="s">
        <v>5410</v>
      </c>
    </row>
    <row r="35" ht="15.75" customHeight="1" spans="1:2">
      <c r="A35" s="10" t="s">
        <v>5411</v>
      </c>
      <c r="B35" s="2" t="s">
        <v>5412</v>
      </c>
    </row>
    <row r="36" ht="15.75" customHeight="1" spans="1:2">
      <c r="A36" s="10" t="s">
        <v>5413</v>
      </c>
      <c r="B36" s="2" t="s">
        <v>5414</v>
      </c>
    </row>
    <row r="37" ht="15.75" customHeight="1" spans="1:2">
      <c r="A37" s="10" t="s">
        <v>5415</v>
      </c>
      <c r="B37" s="2" t="s">
        <v>5416</v>
      </c>
    </row>
    <row r="38" ht="15.75" customHeight="1" spans="1:2">
      <c r="A38" s="10" t="s">
        <v>5417</v>
      </c>
      <c r="B38" s="2" t="s">
        <v>5418</v>
      </c>
    </row>
    <row r="39" ht="15.75" customHeight="1" spans="1:2">
      <c r="A39" s="10" t="s">
        <v>5419</v>
      </c>
      <c r="B39" s="2" t="s">
        <v>5420</v>
      </c>
    </row>
    <row r="40" ht="15.75" customHeight="1" spans="1:2">
      <c r="A40" s="10" t="s">
        <v>5421</v>
      </c>
      <c r="B40" s="2" t="s">
        <v>5422</v>
      </c>
    </row>
    <row r="41" ht="15.75" customHeight="1" spans="1:2">
      <c r="A41" s="10" t="s">
        <v>5423</v>
      </c>
      <c r="B41" s="2" t="s">
        <v>5424</v>
      </c>
    </row>
    <row r="42" ht="15.75" customHeight="1" spans="1:2">
      <c r="A42" s="10" t="s">
        <v>5425</v>
      </c>
      <c r="B42" s="2" t="s">
        <v>5426</v>
      </c>
    </row>
    <row r="43" ht="15.75" customHeight="1" spans="1:2">
      <c r="A43" s="10" t="s">
        <v>5427</v>
      </c>
      <c r="B43" s="2" t="s">
        <v>5428</v>
      </c>
    </row>
    <row r="44" ht="15.75" customHeight="1" spans="1:2">
      <c r="A44" s="10" t="s">
        <v>5429</v>
      </c>
      <c r="B44" s="2" t="s">
        <v>5430</v>
      </c>
    </row>
    <row r="45" ht="15.75" customHeight="1" spans="1:2">
      <c r="A45" s="10" t="s">
        <v>5431</v>
      </c>
      <c r="B45" s="2" t="s">
        <v>5432</v>
      </c>
    </row>
    <row r="46" ht="15.75" customHeight="1" spans="1:2">
      <c r="A46" s="10" t="s">
        <v>5433</v>
      </c>
      <c r="B46" s="2" t="s">
        <v>5434</v>
      </c>
    </row>
    <row r="47" ht="15.75" customHeight="1" spans="1:2">
      <c r="A47" s="10" t="s">
        <v>5435</v>
      </c>
      <c r="B47" s="2" t="s">
        <v>5436</v>
      </c>
    </row>
    <row r="48" ht="15.75" customHeight="1" spans="1:2">
      <c r="A48" s="10" t="s">
        <v>5437</v>
      </c>
      <c r="B48" s="2" t="s">
        <v>5438</v>
      </c>
    </row>
    <row r="49" ht="15.75" customHeight="1" spans="1:2">
      <c r="A49" s="10" t="s">
        <v>5439</v>
      </c>
      <c r="B49" s="2" t="s">
        <v>5440</v>
      </c>
    </row>
    <row r="50" ht="15.75" customHeight="1" spans="1:2">
      <c r="A50" s="10" t="s">
        <v>5441</v>
      </c>
      <c r="B50" s="2" t="s">
        <v>5442</v>
      </c>
    </row>
    <row r="51" ht="15.75" customHeight="1" spans="1:2">
      <c r="A51" s="10" t="s">
        <v>5443</v>
      </c>
      <c r="B51" s="2" t="s">
        <v>5444</v>
      </c>
    </row>
    <row r="52" ht="15.75" customHeight="1" spans="1:2">
      <c r="A52" s="10" t="s">
        <v>5445</v>
      </c>
      <c r="B52" s="2" t="s">
        <v>5446</v>
      </c>
    </row>
    <row r="53" ht="15.75" customHeight="1" spans="1:2">
      <c r="A53" s="10" t="s">
        <v>5447</v>
      </c>
      <c r="B53" s="2" t="s">
        <v>5448</v>
      </c>
    </row>
    <row r="54" ht="15.75" customHeight="1" spans="1:2">
      <c r="A54" s="10" t="s">
        <v>5449</v>
      </c>
      <c r="B54" s="2" t="s">
        <v>5450</v>
      </c>
    </row>
    <row r="55" ht="15.75" customHeight="1" spans="1:2">
      <c r="A55" s="10" t="s">
        <v>5451</v>
      </c>
      <c r="B55" s="2" t="s">
        <v>5452</v>
      </c>
    </row>
    <row r="56" ht="15.75" customHeight="1" spans="1:2">
      <c r="A56" s="10" t="s">
        <v>5453</v>
      </c>
      <c r="B56" s="2" t="s">
        <v>5454</v>
      </c>
    </row>
    <row r="57" ht="15.75" customHeight="1" spans="1:2">
      <c r="A57" s="10" t="s">
        <v>5455</v>
      </c>
      <c r="B57" s="2" t="s">
        <v>5456</v>
      </c>
    </row>
    <row r="58" ht="15.75" customHeight="1" spans="1:2">
      <c r="A58" s="10" t="s">
        <v>5457</v>
      </c>
      <c r="B58" s="2" t="s">
        <v>5458</v>
      </c>
    </row>
    <row r="59" ht="15.75" customHeight="1" spans="1:2">
      <c r="A59" s="10" t="s">
        <v>5459</v>
      </c>
      <c r="B59" s="2" t="s">
        <v>5460</v>
      </c>
    </row>
    <row r="60" ht="15.75" customHeight="1" spans="1:2">
      <c r="A60" s="10" t="s">
        <v>5461</v>
      </c>
      <c r="B60" s="2" t="s">
        <v>5462</v>
      </c>
    </row>
    <row r="61" ht="15.75" customHeight="1" spans="1:2">
      <c r="A61" s="10" t="s">
        <v>5463</v>
      </c>
      <c r="B61" s="2" t="s">
        <v>5464</v>
      </c>
    </row>
    <row r="62" ht="15.75" customHeight="1" spans="1:2">
      <c r="A62" s="10" t="s">
        <v>5465</v>
      </c>
      <c r="B62" s="2" t="s">
        <v>5466</v>
      </c>
    </row>
    <row r="63" ht="15.75" customHeight="1" spans="1:2">
      <c r="A63" s="10" t="s">
        <v>5467</v>
      </c>
      <c r="B63" s="2" t="s">
        <v>5468</v>
      </c>
    </row>
    <row r="64" ht="15.75" customHeight="1" spans="1:2">
      <c r="A64" s="10" t="s">
        <v>5469</v>
      </c>
      <c r="B64" s="2" t="s">
        <v>5470</v>
      </c>
    </row>
    <row r="65" ht="15.75" customHeight="1" spans="1:2">
      <c r="A65" s="10" t="s">
        <v>5471</v>
      </c>
      <c r="B65" s="2" t="s">
        <v>5472</v>
      </c>
    </row>
    <row r="66" ht="15.75" customHeight="1" spans="1:2">
      <c r="A66" s="10" t="s">
        <v>5473</v>
      </c>
      <c r="B66" s="2" t="s">
        <v>5474</v>
      </c>
    </row>
    <row r="67" ht="15.75" customHeight="1" spans="1:2">
      <c r="A67" s="10" t="s">
        <v>5475</v>
      </c>
      <c r="B67" s="2" t="s">
        <v>5476</v>
      </c>
    </row>
    <row r="68" ht="15.75" customHeight="1" spans="1:2">
      <c r="A68" s="10" t="s">
        <v>5477</v>
      </c>
      <c r="B68" s="2" t="s">
        <v>5478</v>
      </c>
    </row>
    <row r="69" ht="15.75" customHeight="1" spans="1:2">
      <c r="A69" s="10" t="s">
        <v>5479</v>
      </c>
      <c r="B69" s="2" t="s">
        <v>5480</v>
      </c>
    </row>
    <row r="70" ht="15.75" customHeight="1" spans="1:2">
      <c r="A70" s="10" t="s">
        <v>5481</v>
      </c>
      <c r="B70" s="2" t="s">
        <v>5482</v>
      </c>
    </row>
    <row r="71" ht="15.75" customHeight="1" spans="1:2">
      <c r="A71" s="10" t="s">
        <v>5483</v>
      </c>
      <c r="B71" s="2" t="s">
        <v>5484</v>
      </c>
    </row>
    <row r="72" ht="15.75" customHeight="1" spans="1:2">
      <c r="A72" s="10" t="s">
        <v>5485</v>
      </c>
      <c r="B72" s="2" t="s">
        <v>5486</v>
      </c>
    </row>
    <row r="73" ht="15.75" customHeight="1" spans="1:2">
      <c r="A73" s="10" t="s">
        <v>5487</v>
      </c>
      <c r="B73" s="2" t="s">
        <v>5488</v>
      </c>
    </row>
    <row r="74" ht="15.75" customHeight="1" spans="1:2">
      <c r="A74" s="10" t="s">
        <v>5489</v>
      </c>
      <c r="B74" s="2" t="s">
        <v>5490</v>
      </c>
    </row>
    <row r="75" ht="15.75" customHeight="1" spans="1:2">
      <c r="A75" s="10" t="s">
        <v>5491</v>
      </c>
      <c r="B75" s="2" t="s">
        <v>5492</v>
      </c>
    </row>
    <row r="76" ht="15.75" customHeight="1" spans="1:2">
      <c r="A76" s="10" t="s">
        <v>5493</v>
      </c>
      <c r="B76" s="2" t="s">
        <v>5494</v>
      </c>
    </row>
    <row r="77" ht="15.75" customHeight="1" spans="1:2">
      <c r="A77" s="10" t="s">
        <v>5495</v>
      </c>
      <c r="B77" s="2" t="s">
        <v>5496</v>
      </c>
    </row>
    <row r="78" ht="15.75" customHeight="1" spans="1:2">
      <c r="A78" s="10" t="s">
        <v>5497</v>
      </c>
      <c r="B78" s="2" t="s">
        <v>5498</v>
      </c>
    </row>
    <row r="79" ht="15.75" customHeight="1" spans="1:2">
      <c r="A79" s="10" t="s">
        <v>5499</v>
      </c>
      <c r="B79" s="2" t="s">
        <v>5500</v>
      </c>
    </row>
    <row r="80" ht="15.75" customHeight="1" spans="1:2">
      <c r="A80" s="10" t="s">
        <v>5501</v>
      </c>
      <c r="B80" s="2" t="s">
        <v>5502</v>
      </c>
    </row>
    <row r="81" ht="15.75" customHeight="1" spans="1:2">
      <c r="A81" s="10" t="s">
        <v>5503</v>
      </c>
      <c r="B81" s="2" t="s">
        <v>5504</v>
      </c>
    </row>
    <row r="82" ht="15.75" customHeight="1" spans="1:2">
      <c r="A82" s="10" t="s">
        <v>5505</v>
      </c>
      <c r="B82" s="2" t="s">
        <v>5506</v>
      </c>
    </row>
    <row r="83" ht="15.75" customHeight="1" spans="1:2">
      <c r="A83" s="10" t="s">
        <v>5507</v>
      </c>
      <c r="B83" s="2" t="s">
        <v>5508</v>
      </c>
    </row>
    <row r="84" ht="15.75" customHeight="1" spans="1:2">
      <c r="A84" s="10" t="s">
        <v>5509</v>
      </c>
      <c r="B84" s="2" t="s">
        <v>5510</v>
      </c>
    </row>
    <row r="85" ht="15.75" customHeight="1" spans="1:2">
      <c r="A85" s="10" t="s">
        <v>5511</v>
      </c>
      <c r="B85" s="2" t="s">
        <v>5512</v>
      </c>
    </row>
    <row r="86" ht="15.75" customHeight="1" spans="1:2">
      <c r="A86" s="10" t="s">
        <v>5429</v>
      </c>
      <c r="B86" s="2" t="s">
        <v>5430</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511811023622047" footer="0.511811023622047"/>
  <pageSetup paperSize="1" orientation="landscape"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24"/>
  <sheetViews>
    <sheetView zoomScale="65" zoomScaleNormal="65" topLeftCell="A1004" workbookViewId="0">
      <selection activeCell="M1020" sqref="M1020"/>
    </sheetView>
  </sheetViews>
  <sheetFormatPr defaultColWidth="14.5" defaultRowHeight="14" outlineLevelCol="4"/>
  <cols>
    <col min="1" max="1" width="8.6640625" customWidth="1"/>
    <col min="2" max="2" width="13.6640625" customWidth="1"/>
    <col min="3" max="3" width="28.3359375" customWidth="1"/>
    <col min="4" max="4" width="9.1640625" customWidth="1"/>
    <col min="5" max="5" width="22.6640625" hidden="1" customWidth="1"/>
    <col min="6" max="26" width="8.6640625" customWidth="1"/>
  </cols>
  <sheetData>
    <row r="1" spans="1:5">
      <c r="A1" s="7" t="s">
        <v>5513</v>
      </c>
      <c r="B1" s="21" t="s">
        <v>5514</v>
      </c>
      <c r="C1" s="21"/>
      <c r="D1" s="22"/>
      <c r="E1" s="22"/>
    </row>
    <row r="2" spans="1:5">
      <c r="A2" s="7"/>
      <c r="D2" s="22"/>
      <c r="E2" s="22"/>
    </row>
    <row r="3" ht="24" spans="1:5">
      <c r="A3" s="23" t="s">
        <v>5515</v>
      </c>
      <c r="B3" s="23" t="s">
        <v>5516</v>
      </c>
      <c r="C3" s="24" t="s">
        <v>5517</v>
      </c>
      <c r="D3" s="23" t="s">
        <v>5518</v>
      </c>
      <c r="E3" s="29" t="s">
        <v>299</v>
      </c>
    </row>
    <row r="4" spans="1:5">
      <c r="A4" s="22"/>
      <c r="B4" s="25" t="s">
        <v>1400</v>
      </c>
      <c r="C4" s="26" t="s">
        <v>5519</v>
      </c>
      <c r="D4" s="27" t="s">
        <v>5520</v>
      </c>
      <c r="E4" s="22" t="s">
        <v>436</v>
      </c>
    </row>
    <row r="5" spans="1:5">
      <c r="A5" s="22"/>
      <c r="B5" s="25" t="s">
        <v>1402</v>
      </c>
      <c r="C5" s="28" t="s">
        <v>5521</v>
      </c>
      <c r="D5" s="27" t="s">
        <v>5520</v>
      </c>
      <c r="E5" s="22" t="s">
        <v>436</v>
      </c>
    </row>
    <row r="6" spans="1:5">
      <c r="A6" s="22"/>
      <c r="B6" s="25" t="s">
        <v>1404</v>
      </c>
      <c r="C6" s="28" t="s">
        <v>5522</v>
      </c>
      <c r="D6" s="27" t="s">
        <v>5520</v>
      </c>
      <c r="E6" s="22" t="s">
        <v>376</v>
      </c>
    </row>
    <row r="7" spans="1:5">
      <c r="A7" s="22"/>
      <c r="B7" s="25" t="s">
        <v>1406</v>
      </c>
      <c r="C7" s="28" t="s">
        <v>5523</v>
      </c>
      <c r="D7" s="27" t="s">
        <v>5520</v>
      </c>
      <c r="E7" s="22" t="s">
        <v>424</v>
      </c>
    </row>
    <row r="8" spans="1:5">
      <c r="A8" s="22"/>
      <c r="B8" s="25" t="s">
        <v>1408</v>
      </c>
      <c r="C8" s="28" t="s">
        <v>5524</v>
      </c>
      <c r="D8" s="27" t="s">
        <v>5520</v>
      </c>
      <c r="E8" s="22" t="s">
        <v>424</v>
      </c>
    </row>
    <row r="9" spans="1:5">
      <c r="A9" s="22"/>
      <c r="B9" s="25" t="s">
        <v>1410</v>
      </c>
      <c r="C9" s="28" t="s">
        <v>5525</v>
      </c>
      <c r="D9" s="27" t="s">
        <v>5520</v>
      </c>
      <c r="E9" s="22" t="s">
        <v>534</v>
      </c>
    </row>
    <row r="10" spans="1:5">
      <c r="A10" s="22"/>
      <c r="B10" s="25" t="s">
        <v>1412</v>
      </c>
      <c r="C10" s="28" t="s">
        <v>5526</v>
      </c>
      <c r="D10" s="27" t="s">
        <v>5520</v>
      </c>
      <c r="E10" s="22"/>
    </row>
    <row r="11" spans="1:5">
      <c r="A11" s="22"/>
      <c r="B11" s="25" t="s">
        <v>1414</v>
      </c>
      <c r="C11" s="28" t="s">
        <v>5525</v>
      </c>
      <c r="D11" s="27" t="s">
        <v>5520</v>
      </c>
      <c r="E11" s="22"/>
    </row>
    <row r="12" spans="1:5">
      <c r="A12" s="22"/>
      <c r="B12" s="25" t="s">
        <v>1416</v>
      </c>
      <c r="C12" s="28" t="s">
        <v>5527</v>
      </c>
      <c r="D12" s="27" t="s">
        <v>5520</v>
      </c>
      <c r="E12" s="22" t="s">
        <v>526</v>
      </c>
    </row>
    <row r="13" spans="1:5">
      <c r="A13" s="22"/>
      <c r="B13" s="25" t="s">
        <v>1418</v>
      </c>
      <c r="C13" s="28" t="s">
        <v>5524</v>
      </c>
      <c r="D13" s="27" t="s">
        <v>5520</v>
      </c>
      <c r="E13" s="22"/>
    </row>
    <row r="14" spans="1:5">
      <c r="A14" s="22"/>
      <c r="B14" s="25" t="s">
        <v>1420</v>
      </c>
      <c r="C14" s="28" t="s">
        <v>5528</v>
      </c>
      <c r="D14" s="27" t="s">
        <v>5520</v>
      </c>
      <c r="E14" s="22"/>
    </row>
    <row r="15" spans="1:5">
      <c r="A15" s="22"/>
      <c r="B15" s="25" t="s">
        <v>1422</v>
      </c>
      <c r="C15" s="28" t="s">
        <v>5529</v>
      </c>
      <c r="D15" s="27" t="s">
        <v>5520</v>
      </c>
      <c r="E15" s="22" t="s">
        <v>436</v>
      </c>
    </row>
    <row r="16" spans="1:5">
      <c r="A16" s="22"/>
      <c r="B16" s="25" t="s">
        <v>1424</v>
      </c>
      <c r="C16" s="28" t="s">
        <v>5530</v>
      </c>
      <c r="D16" s="27" t="s">
        <v>5520</v>
      </c>
      <c r="E16" s="22"/>
    </row>
    <row r="17" spans="1:5">
      <c r="A17" s="22"/>
      <c r="B17" s="25" t="s">
        <v>1426</v>
      </c>
      <c r="C17" s="28" t="s">
        <v>5531</v>
      </c>
      <c r="D17" s="27" t="s">
        <v>5520</v>
      </c>
      <c r="E17" s="22"/>
    </row>
    <row r="18" spans="1:5">
      <c r="A18" s="22"/>
      <c r="B18" s="25" t="s">
        <v>1428</v>
      </c>
      <c r="C18" s="28" t="s">
        <v>5532</v>
      </c>
      <c r="D18" s="27" t="s">
        <v>5520</v>
      </c>
      <c r="E18" s="22" t="s">
        <v>436</v>
      </c>
    </row>
    <row r="19" spans="1:5">
      <c r="A19" s="22"/>
      <c r="B19" s="25" t="s">
        <v>1430</v>
      </c>
      <c r="C19" s="28" t="s">
        <v>5533</v>
      </c>
      <c r="D19" s="27" t="s">
        <v>5520</v>
      </c>
      <c r="E19" s="22" t="s">
        <v>376</v>
      </c>
    </row>
    <row r="20" spans="1:5">
      <c r="A20" s="22"/>
      <c r="B20" s="25" t="s">
        <v>1432</v>
      </c>
      <c r="C20" s="28" t="s">
        <v>5534</v>
      </c>
      <c r="D20" s="27" t="s">
        <v>5520</v>
      </c>
      <c r="E20" s="22" t="s">
        <v>513</v>
      </c>
    </row>
    <row r="21" ht="15.75" customHeight="1" spans="1:5">
      <c r="A21" s="22"/>
      <c r="B21" s="25" t="s">
        <v>1434</v>
      </c>
      <c r="C21" s="28" t="s">
        <v>5535</v>
      </c>
      <c r="D21" s="27" t="s">
        <v>5520</v>
      </c>
      <c r="E21" s="22"/>
    </row>
    <row r="22" ht="15.75" customHeight="1" spans="1:5">
      <c r="A22" s="22"/>
      <c r="B22" s="25" t="s">
        <v>1436</v>
      </c>
      <c r="C22" s="28" t="s">
        <v>5536</v>
      </c>
      <c r="D22" s="27" t="s">
        <v>5520</v>
      </c>
      <c r="E22" s="22" t="s">
        <v>376</v>
      </c>
    </row>
    <row r="23" ht="15.75" customHeight="1" spans="1:5">
      <c r="A23" s="22"/>
      <c r="B23" s="25" t="s">
        <v>1438</v>
      </c>
      <c r="C23" s="28" t="s">
        <v>5537</v>
      </c>
      <c r="D23" s="27" t="s">
        <v>5520</v>
      </c>
      <c r="E23" s="22" t="s">
        <v>325</v>
      </c>
    </row>
    <row r="24" ht="15.75" customHeight="1" spans="1:5">
      <c r="A24" s="22"/>
      <c r="B24" s="25" t="s">
        <v>1440</v>
      </c>
      <c r="C24" s="28" t="s">
        <v>5538</v>
      </c>
      <c r="D24" s="27" t="s">
        <v>5520</v>
      </c>
      <c r="E24" s="22"/>
    </row>
    <row r="25" ht="15.75" customHeight="1" spans="1:5">
      <c r="A25" s="22"/>
      <c r="B25" s="25" t="s">
        <v>1442</v>
      </c>
      <c r="C25" s="28" t="s">
        <v>5539</v>
      </c>
      <c r="D25" s="27" t="s">
        <v>5520</v>
      </c>
      <c r="E25" s="22" t="s">
        <v>325</v>
      </c>
    </row>
    <row r="26" ht="15.75" customHeight="1" spans="1:5">
      <c r="A26" s="22"/>
      <c r="B26" s="25" t="s">
        <v>1444</v>
      </c>
      <c r="C26" s="28" t="s">
        <v>5540</v>
      </c>
      <c r="D26" s="27" t="s">
        <v>5520</v>
      </c>
      <c r="E26" s="22" t="s">
        <v>325</v>
      </c>
    </row>
    <row r="27" ht="15.75" customHeight="1" spans="1:5">
      <c r="A27" s="22"/>
      <c r="B27" s="25" t="s">
        <v>1446</v>
      </c>
      <c r="C27" s="28" t="s">
        <v>5541</v>
      </c>
      <c r="D27" s="27" t="s">
        <v>5520</v>
      </c>
      <c r="E27" s="22" t="s">
        <v>376</v>
      </c>
    </row>
    <row r="28" ht="15.75" customHeight="1" spans="1:5">
      <c r="A28" s="22"/>
      <c r="B28" s="25" t="s">
        <v>1448</v>
      </c>
      <c r="C28" s="28" t="s">
        <v>5542</v>
      </c>
      <c r="D28" s="27" t="s">
        <v>5520</v>
      </c>
      <c r="E28" s="22" t="s">
        <v>376</v>
      </c>
    </row>
    <row r="29" ht="15.75" customHeight="1" spans="1:5">
      <c r="A29" s="22"/>
      <c r="B29" s="25" t="s">
        <v>1450</v>
      </c>
      <c r="C29" s="28" t="s">
        <v>5543</v>
      </c>
      <c r="D29" s="27" t="s">
        <v>5520</v>
      </c>
      <c r="E29" s="22" t="s">
        <v>416</v>
      </c>
    </row>
    <row r="30" ht="15.75" customHeight="1" spans="1:5">
      <c r="A30" s="22"/>
      <c r="B30" s="25" t="s">
        <v>1452</v>
      </c>
      <c r="C30" s="28" t="s">
        <v>5544</v>
      </c>
      <c r="D30" s="27" t="s">
        <v>5520</v>
      </c>
      <c r="E30" s="22" t="s">
        <v>376</v>
      </c>
    </row>
    <row r="31" ht="15.75" customHeight="1" spans="1:5">
      <c r="A31" s="22"/>
      <c r="B31" s="25" t="s">
        <v>1454</v>
      </c>
      <c r="C31" s="28" t="s">
        <v>5544</v>
      </c>
      <c r="D31" s="27" t="s">
        <v>5520</v>
      </c>
      <c r="E31" s="22" t="s">
        <v>376</v>
      </c>
    </row>
    <row r="32" ht="15.75" customHeight="1" spans="1:5">
      <c r="A32" s="22"/>
      <c r="B32" s="25" t="s">
        <v>1456</v>
      </c>
      <c r="C32" s="28" t="s">
        <v>5544</v>
      </c>
      <c r="D32" s="27" t="s">
        <v>5520</v>
      </c>
      <c r="E32" s="22"/>
    </row>
    <row r="33" ht="15.75" customHeight="1" spans="1:5">
      <c r="A33" s="22"/>
      <c r="B33" s="25" t="s">
        <v>1458</v>
      </c>
      <c r="C33" s="28" t="s">
        <v>5545</v>
      </c>
      <c r="D33" s="27" t="s">
        <v>5520</v>
      </c>
      <c r="E33" s="22" t="s">
        <v>337</v>
      </c>
    </row>
    <row r="34" ht="15.75" customHeight="1" spans="1:5">
      <c r="A34" s="22"/>
      <c r="B34" s="25" t="s">
        <v>1460</v>
      </c>
      <c r="C34" s="28" t="s">
        <v>5546</v>
      </c>
      <c r="D34" s="27" t="s">
        <v>5520</v>
      </c>
      <c r="E34" s="22" t="s">
        <v>424</v>
      </c>
    </row>
    <row r="35" ht="15.75" customHeight="1" spans="1:5">
      <c r="A35" s="22"/>
      <c r="B35" s="25" t="s">
        <v>1462</v>
      </c>
      <c r="C35" s="28" t="s">
        <v>5547</v>
      </c>
      <c r="D35" s="27" t="s">
        <v>5520</v>
      </c>
      <c r="E35" s="22"/>
    </row>
    <row r="36" ht="15.75" customHeight="1" spans="1:5">
      <c r="A36" s="22"/>
      <c r="B36" s="25" t="s">
        <v>1464</v>
      </c>
      <c r="C36" s="28" t="s">
        <v>5548</v>
      </c>
      <c r="D36" s="27" t="s">
        <v>5520</v>
      </c>
      <c r="E36" s="22" t="s">
        <v>416</v>
      </c>
    </row>
    <row r="37" ht="15.75" customHeight="1" spans="1:5">
      <c r="A37" s="22"/>
      <c r="B37" s="25" t="s">
        <v>1466</v>
      </c>
      <c r="C37" s="28" t="s">
        <v>5549</v>
      </c>
      <c r="D37" s="27" t="s">
        <v>5520</v>
      </c>
      <c r="E37" s="22" t="s">
        <v>436</v>
      </c>
    </row>
    <row r="38" ht="15.75" customHeight="1" spans="1:5">
      <c r="A38" s="22"/>
      <c r="B38" s="25" t="s">
        <v>1468</v>
      </c>
      <c r="C38" s="28" t="s">
        <v>5550</v>
      </c>
      <c r="D38" s="27" t="s">
        <v>5520</v>
      </c>
      <c r="E38" s="22" t="s">
        <v>376</v>
      </c>
    </row>
    <row r="39" ht="15.75" customHeight="1" spans="1:5">
      <c r="A39" s="22"/>
      <c r="B39" s="25" t="s">
        <v>1470</v>
      </c>
      <c r="C39" s="28" t="s">
        <v>5551</v>
      </c>
      <c r="D39" s="27" t="s">
        <v>5520</v>
      </c>
      <c r="E39" s="22" t="s">
        <v>534</v>
      </c>
    </row>
    <row r="40" ht="15.75" customHeight="1" spans="1:5">
      <c r="A40" s="22"/>
      <c r="B40" s="25" t="s">
        <v>1472</v>
      </c>
      <c r="C40" s="28" t="s">
        <v>5552</v>
      </c>
      <c r="D40" s="27" t="s">
        <v>5520</v>
      </c>
      <c r="E40" s="22" t="s">
        <v>325</v>
      </c>
    </row>
    <row r="41" ht="15.75" customHeight="1" spans="1:5">
      <c r="A41" s="22"/>
      <c r="B41" s="25" t="s">
        <v>1474</v>
      </c>
      <c r="C41" s="28" t="s">
        <v>5553</v>
      </c>
      <c r="D41" s="27" t="s">
        <v>5520</v>
      </c>
      <c r="E41" s="22" t="s">
        <v>416</v>
      </c>
    </row>
    <row r="42" ht="15.75" customHeight="1" spans="1:5">
      <c r="A42" s="22"/>
      <c r="B42" s="25" t="s">
        <v>1476</v>
      </c>
      <c r="C42" s="28" t="s">
        <v>5554</v>
      </c>
      <c r="D42" s="27" t="s">
        <v>5520</v>
      </c>
      <c r="E42" s="22" t="s">
        <v>492</v>
      </c>
    </row>
    <row r="43" ht="15.75" customHeight="1" spans="1:5">
      <c r="A43" s="22"/>
      <c r="B43" s="25" t="s">
        <v>1478</v>
      </c>
      <c r="C43" s="28" t="s">
        <v>5555</v>
      </c>
      <c r="D43" s="27" t="s">
        <v>5520</v>
      </c>
      <c r="E43" s="22" t="s">
        <v>492</v>
      </c>
    </row>
    <row r="44" ht="15.75" customHeight="1" spans="1:5">
      <c r="A44" s="22"/>
      <c r="B44" s="25" t="s">
        <v>1480</v>
      </c>
      <c r="C44" s="28" t="s">
        <v>5555</v>
      </c>
      <c r="D44" s="27" t="s">
        <v>5520</v>
      </c>
      <c r="E44" s="22" t="s">
        <v>492</v>
      </c>
    </row>
    <row r="45" ht="15.75" customHeight="1" spans="1:5">
      <c r="A45" s="22"/>
      <c r="B45" s="25" t="s">
        <v>1482</v>
      </c>
      <c r="C45" s="28" t="s">
        <v>5555</v>
      </c>
      <c r="D45" s="27" t="s">
        <v>5520</v>
      </c>
      <c r="E45" s="22"/>
    </row>
    <row r="46" ht="15.75" customHeight="1" spans="1:5">
      <c r="A46" s="22"/>
      <c r="B46" s="25" t="s">
        <v>1484</v>
      </c>
      <c r="C46" s="28" t="s">
        <v>5556</v>
      </c>
      <c r="D46" s="27" t="s">
        <v>5520</v>
      </c>
      <c r="E46" s="22" t="s">
        <v>492</v>
      </c>
    </row>
    <row r="47" ht="15.75" customHeight="1" spans="1:5">
      <c r="A47" s="22"/>
      <c r="B47" s="25" t="s">
        <v>1486</v>
      </c>
      <c r="C47" s="28" t="s">
        <v>5557</v>
      </c>
      <c r="D47" s="27" t="s">
        <v>5520</v>
      </c>
      <c r="E47" s="22" t="s">
        <v>492</v>
      </c>
    </row>
    <row r="48" ht="15.75" customHeight="1" spans="1:5">
      <c r="A48" s="22"/>
      <c r="B48" s="25" t="s">
        <v>1488</v>
      </c>
      <c r="C48" s="28" t="s">
        <v>5558</v>
      </c>
      <c r="D48" s="27" t="s">
        <v>5520</v>
      </c>
      <c r="E48" s="22" t="s">
        <v>436</v>
      </c>
    </row>
    <row r="49" ht="15.75" customHeight="1" spans="1:5">
      <c r="A49" s="22"/>
      <c r="B49" s="25" t="s">
        <v>1490</v>
      </c>
      <c r="C49" s="28" t="s">
        <v>5559</v>
      </c>
      <c r="D49" s="27" t="s">
        <v>5520</v>
      </c>
      <c r="E49" s="22"/>
    </row>
    <row r="50" ht="15.75" customHeight="1" spans="1:5">
      <c r="A50" s="22"/>
      <c r="B50" s="25" t="s">
        <v>1492</v>
      </c>
      <c r="C50" s="28" t="s">
        <v>5560</v>
      </c>
      <c r="D50" s="27" t="s">
        <v>5520</v>
      </c>
      <c r="E50" s="22" t="s">
        <v>436</v>
      </c>
    </row>
    <row r="51" ht="15.75" customHeight="1" spans="1:5">
      <c r="A51" s="22"/>
      <c r="B51" s="25" t="s">
        <v>1494</v>
      </c>
      <c r="C51" s="28" t="s">
        <v>5561</v>
      </c>
      <c r="D51" s="27" t="s">
        <v>5520</v>
      </c>
      <c r="E51" s="22" t="s">
        <v>416</v>
      </c>
    </row>
    <row r="52" ht="15.75" customHeight="1" spans="1:5">
      <c r="A52" s="22"/>
      <c r="B52" s="25" t="s">
        <v>1496</v>
      </c>
      <c r="C52" s="28" t="s">
        <v>5562</v>
      </c>
      <c r="D52" s="27" t="s">
        <v>5520</v>
      </c>
      <c r="E52" s="22" t="s">
        <v>436</v>
      </c>
    </row>
    <row r="53" ht="15.75" customHeight="1" spans="1:5">
      <c r="A53" s="22"/>
      <c r="B53" s="25" t="s">
        <v>1498</v>
      </c>
      <c r="C53" s="28" t="s">
        <v>5563</v>
      </c>
      <c r="D53" s="27" t="s">
        <v>5520</v>
      </c>
      <c r="E53" s="22" t="s">
        <v>436</v>
      </c>
    </row>
    <row r="54" ht="15.75" customHeight="1" spans="1:5">
      <c r="A54" s="22"/>
      <c r="B54" s="25" t="s">
        <v>1500</v>
      </c>
      <c r="C54" s="28" t="s">
        <v>5564</v>
      </c>
      <c r="D54" s="27" t="s">
        <v>5520</v>
      </c>
      <c r="E54" s="22" t="s">
        <v>436</v>
      </c>
    </row>
    <row r="55" ht="15.75" customHeight="1" spans="1:5">
      <c r="A55" s="22"/>
      <c r="B55" s="25" t="s">
        <v>1502</v>
      </c>
      <c r="C55" s="28" t="s">
        <v>5565</v>
      </c>
      <c r="D55" s="27" t="s">
        <v>5520</v>
      </c>
      <c r="E55" s="22" t="s">
        <v>436</v>
      </c>
    </row>
    <row r="56" ht="15.75" customHeight="1" spans="1:5">
      <c r="A56" s="22"/>
      <c r="B56" s="25" t="s">
        <v>1504</v>
      </c>
      <c r="C56" s="28" t="s">
        <v>5566</v>
      </c>
      <c r="D56" s="27" t="s">
        <v>5520</v>
      </c>
      <c r="E56" s="22"/>
    </row>
    <row r="57" ht="15.75" customHeight="1" spans="1:5">
      <c r="A57" s="22"/>
      <c r="B57" s="25" t="s">
        <v>1506</v>
      </c>
      <c r="C57" s="28" t="s">
        <v>5567</v>
      </c>
      <c r="D57" s="27" t="s">
        <v>5520</v>
      </c>
      <c r="E57" s="22" t="s">
        <v>436</v>
      </c>
    </row>
    <row r="58" ht="15.75" customHeight="1" spans="1:5">
      <c r="A58" s="22"/>
      <c r="B58" s="25" t="s">
        <v>1508</v>
      </c>
      <c r="C58" s="28" t="s">
        <v>5568</v>
      </c>
      <c r="D58" s="27" t="s">
        <v>5520</v>
      </c>
      <c r="E58" s="22"/>
    </row>
    <row r="59" ht="15.75" customHeight="1" spans="1:5">
      <c r="A59" s="22"/>
      <c r="B59" s="25" t="s">
        <v>1510</v>
      </c>
      <c r="C59" s="28" t="s">
        <v>5569</v>
      </c>
      <c r="D59" s="27" t="s">
        <v>5520</v>
      </c>
      <c r="E59" s="22" t="s">
        <v>482</v>
      </c>
    </row>
    <row r="60" ht="15.75" customHeight="1" spans="1:5">
      <c r="A60" s="22"/>
      <c r="B60" s="25" t="s">
        <v>1512</v>
      </c>
      <c r="C60" s="28" t="s">
        <v>5570</v>
      </c>
      <c r="D60" s="27" t="s">
        <v>5520</v>
      </c>
      <c r="E60" s="22" t="s">
        <v>5571</v>
      </c>
    </row>
    <row r="61" ht="15.75" customHeight="1" spans="1:5">
      <c r="A61" s="22"/>
      <c r="B61" s="25" t="s">
        <v>1514</v>
      </c>
      <c r="C61" s="28" t="s">
        <v>5572</v>
      </c>
      <c r="D61" s="27" t="s">
        <v>5520</v>
      </c>
      <c r="E61" s="22" t="s">
        <v>482</v>
      </c>
    </row>
    <row r="62" ht="15.75" customHeight="1" spans="1:5">
      <c r="A62" s="22"/>
      <c r="B62" s="25" t="s">
        <v>1516</v>
      </c>
      <c r="C62" s="28" t="s">
        <v>5573</v>
      </c>
      <c r="D62" s="27" t="s">
        <v>5520</v>
      </c>
      <c r="E62" s="22" t="s">
        <v>482</v>
      </c>
    </row>
    <row r="63" ht="15.75" customHeight="1" spans="1:5">
      <c r="A63" s="22"/>
      <c r="B63" s="25" t="s">
        <v>1518</v>
      </c>
      <c r="C63" s="28" t="s">
        <v>5574</v>
      </c>
      <c r="D63" s="27" t="s">
        <v>5520</v>
      </c>
      <c r="E63" s="22"/>
    </row>
    <row r="64" ht="15.75" customHeight="1" spans="1:5">
      <c r="A64" s="22"/>
      <c r="B64" s="25" t="s">
        <v>1520</v>
      </c>
      <c r="C64" s="28" t="s">
        <v>5575</v>
      </c>
      <c r="D64" s="27" t="s">
        <v>5520</v>
      </c>
      <c r="E64" s="22" t="s">
        <v>376</v>
      </c>
    </row>
    <row r="65" ht="15.75" customHeight="1" spans="1:5">
      <c r="A65" s="22"/>
      <c r="B65" s="25" t="s">
        <v>1522</v>
      </c>
      <c r="C65" s="28" t="s">
        <v>5576</v>
      </c>
      <c r="D65" s="27" t="s">
        <v>5520</v>
      </c>
      <c r="E65" s="22"/>
    </row>
    <row r="66" ht="15.75" customHeight="1" spans="1:5">
      <c r="A66" s="22"/>
      <c r="B66" s="25" t="s">
        <v>1524</v>
      </c>
      <c r="C66" s="28" t="s">
        <v>5577</v>
      </c>
      <c r="D66" s="27" t="s">
        <v>5520</v>
      </c>
      <c r="E66" s="22"/>
    </row>
    <row r="67" ht="15.75" customHeight="1" spans="1:5">
      <c r="A67" s="22"/>
      <c r="B67" s="25" t="s">
        <v>1526</v>
      </c>
      <c r="C67" s="28" t="s">
        <v>5578</v>
      </c>
      <c r="D67" s="27" t="s">
        <v>5520</v>
      </c>
      <c r="E67" s="22" t="s">
        <v>416</v>
      </c>
    </row>
    <row r="68" ht="15.75" customHeight="1" spans="1:5">
      <c r="A68" s="22"/>
      <c r="B68" s="25" t="s">
        <v>1528</v>
      </c>
      <c r="C68" s="28" t="s">
        <v>5579</v>
      </c>
      <c r="D68" s="27" t="s">
        <v>5520</v>
      </c>
      <c r="E68" s="22" t="s">
        <v>534</v>
      </c>
    </row>
    <row r="69" ht="15.75" customHeight="1" spans="1:5">
      <c r="A69" s="22"/>
      <c r="B69" s="25" t="s">
        <v>1530</v>
      </c>
      <c r="C69" s="28" t="s">
        <v>5580</v>
      </c>
      <c r="D69" s="27" t="s">
        <v>5520</v>
      </c>
      <c r="E69" s="22"/>
    </row>
    <row r="70" ht="15.75" customHeight="1" spans="1:5">
      <c r="A70" s="22"/>
      <c r="B70" s="25" t="s">
        <v>1532</v>
      </c>
      <c r="C70" s="28" t="s">
        <v>5581</v>
      </c>
      <c r="D70" s="27" t="s">
        <v>5520</v>
      </c>
      <c r="E70" s="22" t="s">
        <v>384</v>
      </c>
    </row>
    <row r="71" ht="15.75" customHeight="1" spans="1:5">
      <c r="A71" s="22"/>
      <c r="B71" s="25" t="s">
        <v>1534</v>
      </c>
      <c r="C71" s="28" t="s">
        <v>5582</v>
      </c>
      <c r="D71" s="27" t="s">
        <v>5520</v>
      </c>
      <c r="E71" s="22"/>
    </row>
    <row r="72" ht="15.75" customHeight="1" spans="1:5">
      <c r="A72" s="22"/>
      <c r="B72" s="25" t="s">
        <v>1536</v>
      </c>
      <c r="C72" s="28" t="s">
        <v>5583</v>
      </c>
      <c r="D72" s="27" t="s">
        <v>5520</v>
      </c>
      <c r="E72" s="22" t="s">
        <v>408</v>
      </c>
    </row>
    <row r="73" ht="15.75" customHeight="1" spans="1:5">
      <c r="A73" s="22"/>
      <c r="B73" s="25" t="s">
        <v>1538</v>
      </c>
      <c r="C73" s="28" t="s">
        <v>5584</v>
      </c>
      <c r="D73" s="27" t="s">
        <v>5520</v>
      </c>
      <c r="E73" s="22" t="s">
        <v>376</v>
      </c>
    </row>
    <row r="74" ht="15.75" customHeight="1" spans="1:5">
      <c r="A74" s="22"/>
      <c r="B74" s="25" t="s">
        <v>1540</v>
      </c>
      <c r="C74" s="28" t="s">
        <v>5585</v>
      </c>
      <c r="D74" s="27" t="s">
        <v>5520</v>
      </c>
      <c r="E74" s="22" t="s">
        <v>534</v>
      </c>
    </row>
    <row r="75" ht="15.75" customHeight="1" spans="1:5">
      <c r="A75" s="22"/>
      <c r="B75" s="25" t="s">
        <v>1542</v>
      </c>
      <c r="C75" s="28" t="s">
        <v>5586</v>
      </c>
      <c r="D75" s="27" t="s">
        <v>5520</v>
      </c>
      <c r="E75" s="22"/>
    </row>
    <row r="76" ht="15.75" customHeight="1" spans="1:5">
      <c r="A76" s="22"/>
      <c r="B76" s="25" t="s">
        <v>1544</v>
      </c>
      <c r="C76" s="28" t="s">
        <v>5587</v>
      </c>
      <c r="D76" s="27" t="s">
        <v>5520</v>
      </c>
      <c r="E76" s="22" t="s">
        <v>371</v>
      </c>
    </row>
    <row r="77" ht="15.75" customHeight="1" spans="1:5">
      <c r="A77" s="22"/>
      <c r="B77" s="25" t="s">
        <v>1546</v>
      </c>
      <c r="C77" s="28" t="s">
        <v>5588</v>
      </c>
      <c r="D77" s="27" t="s">
        <v>5520</v>
      </c>
      <c r="E77" s="22"/>
    </row>
    <row r="78" ht="15.75" customHeight="1" spans="1:5">
      <c r="A78" s="22"/>
      <c r="B78" s="25" t="s">
        <v>1548</v>
      </c>
      <c r="C78" s="28" t="s">
        <v>5589</v>
      </c>
      <c r="D78" s="27" t="s">
        <v>5520</v>
      </c>
      <c r="E78" s="22"/>
    </row>
    <row r="79" ht="15.75" customHeight="1" spans="1:5">
      <c r="A79" s="22"/>
      <c r="B79" s="25" t="s">
        <v>1550</v>
      </c>
      <c r="C79" s="28" t="s">
        <v>5590</v>
      </c>
      <c r="D79" s="27" t="s">
        <v>5520</v>
      </c>
      <c r="E79" s="22" t="s">
        <v>497</v>
      </c>
    </row>
    <row r="80" ht="15.75" customHeight="1" spans="1:5">
      <c r="A80" s="22"/>
      <c r="B80" s="25" t="s">
        <v>1552</v>
      </c>
      <c r="C80" s="28" t="s">
        <v>5591</v>
      </c>
      <c r="D80" s="27" t="s">
        <v>5520</v>
      </c>
      <c r="E80" s="22" t="s">
        <v>452</v>
      </c>
    </row>
    <row r="81" ht="15.75" customHeight="1" spans="1:5">
      <c r="A81" s="22"/>
      <c r="B81" s="25" t="s">
        <v>1554</v>
      </c>
      <c r="C81" s="28" t="s">
        <v>5592</v>
      </c>
      <c r="D81" s="27" t="s">
        <v>5520</v>
      </c>
      <c r="E81" s="22" t="s">
        <v>408</v>
      </c>
    </row>
    <row r="82" ht="15.75" customHeight="1" spans="1:5">
      <c r="A82" s="22"/>
      <c r="B82" s="25" t="s">
        <v>1556</v>
      </c>
      <c r="C82" s="28" t="s">
        <v>5593</v>
      </c>
      <c r="D82" s="27" t="s">
        <v>5520</v>
      </c>
      <c r="E82" s="22" t="s">
        <v>342</v>
      </c>
    </row>
    <row r="83" ht="15.75" customHeight="1" spans="1:5">
      <c r="A83" s="22"/>
      <c r="B83" s="25" t="s">
        <v>1558</v>
      </c>
      <c r="C83" s="28" t="s">
        <v>5594</v>
      </c>
      <c r="D83" s="27" t="s">
        <v>5520</v>
      </c>
      <c r="E83" s="22" t="s">
        <v>376</v>
      </c>
    </row>
    <row r="84" ht="15.75" customHeight="1" spans="1:5">
      <c r="A84" s="22"/>
      <c r="B84" s="25" t="s">
        <v>1560</v>
      </c>
      <c r="C84" s="28" t="s">
        <v>5595</v>
      </c>
      <c r="D84" s="27" t="s">
        <v>5520</v>
      </c>
      <c r="E84" s="22"/>
    </row>
    <row r="85" ht="15.75" customHeight="1" spans="1:5">
      <c r="A85" s="22"/>
      <c r="B85" s="25" t="s">
        <v>1562</v>
      </c>
      <c r="C85" s="28" t="s">
        <v>5596</v>
      </c>
      <c r="D85" s="27" t="s">
        <v>5520</v>
      </c>
      <c r="E85" s="22" t="s">
        <v>376</v>
      </c>
    </row>
    <row r="86" ht="15.75" customHeight="1" spans="1:5">
      <c r="A86" s="22"/>
      <c r="B86" s="25" t="s">
        <v>1564</v>
      </c>
      <c r="C86" s="28" t="s">
        <v>5597</v>
      </c>
      <c r="D86" s="27" t="s">
        <v>5520</v>
      </c>
      <c r="E86" s="22"/>
    </row>
    <row r="87" ht="15.75" customHeight="1" spans="1:5">
      <c r="A87" s="22"/>
      <c r="B87" s="25" t="s">
        <v>1566</v>
      </c>
      <c r="C87" s="28" t="s">
        <v>5598</v>
      </c>
      <c r="D87" s="27" t="s">
        <v>5520</v>
      </c>
      <c r="E87" s="22" t="s">
        <v>497</v>
      </c>
    </row>
    <row r="88" ht="15.75" customHeight="1" spans="1:5">
      <c r="A88" s="22"/>
      <c r="B88" s="25" t="s">
        <v>1568</v>
      </c>
      <c r="C88" s="28" t="s">
        <v>5599</v>
      </c>
      <c r="D88" s="27" t="s">
        <v>5520</v>
      </c>
      <c r="E88" s="22"/>
    </row>
    <row r="89" ht="15.75" customHeight="1" spans="1:5">
      <c r="A89" s="22"/>
      <c r="B89" s="25" t="s">
        <v>1570</v>
      </c>
      <c r="C89" s="28" t="s">
        <v>5600</v>
      </c>
      <c r="D89" s="27" t="s">
        <v>5520</v>
      </c>
      <c r="E89" s="22"/>
    </row>
    <row r="90" ht="15.75" customHeight="1" spans="1:5">
      <c r="A90" s="22"/>
      <c r="B90" s="25" t="s">
        <v>1572</v>
      </c>
      <c r="C90" s="28" t="s">
        <v>5601</v>
      </c>
      <c r="D90" s="27" t="s">
        <v>5520</v>
      </c>
      <c r="E90" s="22" t="s">
        <v>376</v>
      </c>
    </row>
    <row r="91" ht="15.75" customHeight="1" spans="1:5">
      <c r="A91" s="22"/>
      <c r="B91" s="25" t="s">
        <v>1574</v>
      </c>
      <c r="C91" s="28" t="s">
        <v>5602</v>
      </c>
      <c r="D91" s="27" t="s">
        <v>5520</v>
      </c>
      <c r="E91" s="22" t="s">
        <v>376</v>
      </c>
    </row>
    <row r="92" ht="15.75" customHeight="1" spans="1:5">
      <c r="A92" s="22"/>
      <c r="B92" s="25" t="s">
        <v>1576</v>
      </c>
      <c r="C92" s="28" t="s">
        <v>5602</v>
      </c>
      <c r="D92" s="27" t="s">
        <v>5520</v>
      </c>
      <c r="E92" s="22"/>
    </row>
    <row r="93" ht="15.75" customHeight="1" spans="1:5">
      <c r="A93" s="22"/>
      <c r="B93" s="25" t="s">
        <v>1578</v>
      </c>
      <c r="C93" s="28" t="s">
        <v>5603</v>
      </c>
      <c r="D93" s="27" t="s">
        <v>5520</v>
      </c>
      <c r="E93" s="22"/>
    </row>
    <row r="94" ht="15.75" customHeight="1" spans="1:5">
      <c r="A94" s="22"/>
      <c r="B94" s="25" t="s">
        <v>1580</v>
      </c>
      <c r="C94" s="28" t="s">
        <v>5604</v>
      </c>
      <c r="D94" s="27" t="s">
        <v>5520</v>
      </c>
      <c r="E94" s="22" t="s">
        <v>408</v>
      </c>
    </row>
    <row r="95" ht="15.75" customHeight="1" spans="1:5">
      <c r="A95" s="22"/>
      <c r="B95" s="25" t="s">
        <v>1582</v>
      </c>
      <c r="C95" s="28" t="s">
        <v>5605</v>
      </c>
      <c r="D95" s="27" t="s">
        <v>5520</v>
      </c>
      <c r="E95" s="22" t="s">
        <v>436</v>
      </c>
    </row>
    <row r="96" ht="15.75" customHeight="1" spans="1:5">
      <c r="A96" s="22"/>
      <c r="B96" s="25" t="s">
        <v>1584</v>
      </c>
      <c r="C96" s="28" t="s">
        <v>5606</v>
      </c>
      <c r="D96" s="27" t="s">
        <v>5520</v>
      </c>
      <c r="E96" s="22"/>
    </row>
    <row r="97" ht="15.75" customHeight="1" spans="1:5">
      <c r="A97" s="22"/>
      <c r="B97" s="25" t="s">
        <v>1586</v>
      </c>
      <c r="C97" s="28" t="s">
        <v>5607</v>
      </c>
      <c r="D97" s="27" t="s">
        <v>5520</v>
      </c>
      <c r="E97" s="22"/>
    </row>
    <row r="98" ht="15.75" customHeight="1" spans="1:5">
      <c r="A98" s="22"/>
      <c r="B98" s="25" t="s">
        <v>1588</v>
      </c>
      <c r="C98" s="28" t="s">
        <v>5525</v>
      </c>
      <c r="D98" s="27" t="s">
        <v>5520</v>
      </c>
      <c r="E98" s="22" t="s">
        <v>534</v>
      </c>
    </row>
    <row r="99" ht="15.75" customHeight="1" spans="1:5">
      <c r="A99" s="22"/>
      <c r="B99" s="25" t="s">
        <v>1590</v>
      </c>
      <c r="C99" s="28" t="s">
        <v>5604</v>
      </c>
      <c r="D99" s="27" t="s">
        <v>5520</v>
      </c>
      <c r="E99" s="22" t="s">
        <v>408</v>
      </c>
    </row>
    <row r="100" ht="15.75" customHeight="1" spans="1:5">
      <c r="A100" s="22"/>
      <c r="B100" s="25" t="s">
        <v>1592</v>
      </c>
      <c r="C100" s="28" t="s">
        <v>5608</v>
      </c>
      <c r="D100" s="27" t="s">
        <v>5520</v>
      </c>
      <c r="E100" s="22" t="s">
        <v>376</v>
      </c>
    </row>
    <row r="101" ht="15.75" customHeight="1" spans="1:5">
      <c r="A101" s="22"/>
      <c r="B101" s="25" t="s">
        <v>1594</v>
      </c>
      <c r="C101" s="28" t="s">
        <v>5609</v>
      </c>
      <c r="D101" s="27" t="s">
        <v>5520</v>
      </c>
      <c r="E101" s="22" t="s">
        <v>436</v>
      </c>
    </row>
    <row r="102" ht="15.75" customHeight="1" spans="1:5">
      <c r="A102" s="22"/>
      <c r="B102" s="25" t="s">
        <v>1596</v>
      </c>
      <c r="C102" s="28" t="s">
        <v>5610</v>
      </c>
      <c r="D102" s="27" t="s">
        <v>5520</v>
      </c>
      <c r="E102" s="22" t="s">
        <v>408</v>
      </c>
    </row>
    <row r="103" ht="15.75" customHeight="1" spans="1:5">
      <c r="A103" s="22"/>
      <c r="B103" s="25" t="s">
        <v>1598</v>
      </c>
      <c r="C103" s="28" t="s">
        <v>5610</v>
      </c>
      <c r="D103" s="27" t="s">
        <v>5520</v>
      </c>
      <c r="E103" s="22" t="s">
        <v>408</v>
      </c>
    </row>
    <row r="104" ht="15.75" customHeight="1" spans="1:5">
      <c r="A104" s="22"/>
      <c r="B104" s="25" t="s">
        <v>1600</v>
      </c>
      <c r="C104" s="28" t="s">
        <v>5610</v>
      </c>
      <c r="D104" s="27" t="s">
        <v>5520</v>
      </c>
      <c r="E104" s="22"/>
    </row>
    <row r="105" ht="15.75" customHeight="1" spans="1:5">
      <c r="A105" s="22"/>
      <c r="B105" s="25" t="s">
        <v>1602</v>
      </c>
      <c r="C105" s="28" t="s">
        <v>5611</v>
      </c>
      <c r="D105" s="27" t="s">
        <v>5520</v>
      </c>
      <c r="E105" s="22" t="s">
        <v>452</v>
      </c>
    </row>
    <row r="106" ht="15.75" customHeight="1" spans="1:5">
      <c r="A106" s="22"/>
      <c r="B106" s="25" t="s">
        <v>1604</v>
      </c>
      <c r="C106" s="28" t="s">
        <v>5612</v>
      </c>
      <c r="D106" s="27" t="s">
        <v>5520</v>
      </c>
      <c r="E106" s="22"/>
    </row>
    <row r="107" ht="15.75" customHeight="1" spans="1:5">
      <c r="A107" s="22"/>
      <c r="B107" s="25" t="s">
        <v>1606</v>
      </c>
      <c r="C107" s="28" t="s">
        <v>5613</v>
      </c>
      <c r="D107" s="27" t="s">
        <v>5520</v>
      </c>
      <c r="E107" s="22"/>
    </row>
    <row r="108" ht="15.75" customHeight="1" spans="1:5">
      <c r="A108" s="22"/>
      <c r="B108" s="25" t="s">
        <v>1608</v>
      </c>
      <c r="C108" s="28" t="s">
        <v>5614</v>
      </c>
      <c r="D108" s="27" t="s">
        <v>5520</v>
      </c>
      <c r="E108" s="22" t="s">
        <v>497</v>
      </c>
    </row>
    <row r="109" ht="15.75" customHeight="1" spans="1:5">
      <c r="A109" s="22"/>
      <c r="B109" s="25" t="s">
        <v>1610</v>
      </c>
      <c r="C109" s="28" t="s">
        <v>5615</v>
      </c>
      <c r="D109" s="27" t="s">
        <v>5520</v>
      </c>
      <c r="E109" s="22" t="s">
        <v>408</v>
      </c>
    </row>
    <row r="110" ht="15.75" customHeight="1" spans="1:5">
      <c r="A110" s="22"/>
      <c r="B110" s="25" t="s">
        <v>1612</v>
      </c>
      <c r="C110" s="28" t="s">
        <v>5616</v>
      </c>
      <c r="D110" s="27" t="s">
        <v>5520</v>
      </c>
      <c r="E110" s="22" t="s">
        <v>436</v>
      </c>
    </row>
    <row r="111" ht="15.75" customHeight="1" spans="1:5">
      <c r="A111" s="22"/>
      <c r="B111" s="25" t="s">
        <v>1614</v>
      </c>
      <c r="C111" s="28" t="s">
        <v>5617</v>
      </c>
      <c r="D111" s="27" t="s">
        <v>5520</v>
      </c>
      <c r="E111" s="22" t="s">
        <v>436</v>
      </c>
    </row>
    <row r="112" ht="15.75" customHeight="1" spans="1:5">
      <c r="A112" s="22"/>
      <c r="B112" s="25" t="s">
        <v>1616</v>
      </c>
      <c r="C112" s="28" t="s">
        <v>5618</v>
      </c>
      <c r="D112" s="27" t="s">
        <v>5520</v>
      </c>
      <c r="E112" s="22" t="s">
        <v>549</v>
      </c>
    </row>
    <row r="113" ht="15.75" customHeight="1" spans="1:5">
      <c r="A113" s="22"/>
      <c r="B113" s="25" t="s">
        <v>1618</v>
      </c>
      <c r="C113" s="28" t="s">
        <v>5599</v>
      </c>
      <c r="D113" s="27" t="s">
        <v>5520</v>
      </c>
      <c r="E113" s="22" t="s">
        <v>325</v>
      </c>
    </row>
    <row r="114" ht="15.75" customHeight="1" spans="1:5">
      <c r="A114" s="22"/>
      <c r="B114" s="25" t="s">
        <v>1620</v>
      </c>
      <c r="C114" s="28" t="s">
        <v>5619</v>
      </c>
      <c r="D114" s="27" t="s">
        <v>5520</v>
      </c>
      <c r="E114" s="22" t="s">
        <v>342</v>
      </c>
    </row>
    <row r="115" ht="15.75" customHeight="1" spans="1:5">
      <c r="A115" s="22"/>
      <c r="B115" s="25" t="s">
        <v>1622</v>
      </c>
      <c r="C115" s="28" t="s">
        <v>5620</v>
      </c>
      <c r="D115" s="27" t="s">
        <v>5520</v>
      </c>
      <c r="E115" s="22" t="s">
        <v>549</v>
      </c>
    </row>
    <row r="116" ht="15.75" customHeight="1" spans="1:5">
      <c r="A116" s="22"/>
      <c r="B116" s="25" t="s">
        <v>1624</v>
      </c>
      <c r="C116" s="28" t="s">
        <v>5621</v>
      </c>
      <c r="D116" s="27" t="s">
        <v>5520</v>
      </c>
      <c r="E116" s="22" t="s">
        <v>549</v>
      </c>
    </row>
    <row r="117" ht="15.75" customHeight="1" spans="1:5">
      <c r="A117" s="22"/>
      <c r="B117" s="25" t="s">
        <v>1626</v>
      </c>
      <c r="C117" s="28" t="s">
        <v>5622</v>
      </c>
      <c r="D117" s="27" t="s">
        <v>5520</v>
      </c>
      <c r="E117" s="22" t="s">
        <v>549</v>
      </c>
    </row>
    <row r="118" ht="15.75" customHeight="1" spans="1:5">
      <c r="A118" s="22"/>
      <c r="B118" s="25" t="s">
        <v>1628</v>
      </c>
      <c r="C118" s="28" t="s">
        <v>5623</v>
      </c>
      <c r="D118" s="27" t="s">
        <v>5520</v>
      </c>
      <c r="E118" s="22" t="s">
        <v>534</v>
      </c>
    </row>
    <row r="119" ht="15.75" customHeight="1" spans="1:5">
      <c r="A119" s="22"/>
      <c r="B119" s="25" t="s">
        <v>1630</v>
      </c>
      <c r="C119" s="28" t="s">
        <v>5624</v>
      </c>
      <c r="D119" s="27" t="s">
        <v>5520</v>
      </c>
      <c r="E119" s="22"/>
    </row>
    <row r="120" ht="15.75" customHeight="1" spans="1:5">
      <c r="A120" s="22"/>
      <c r="B120" s="25" t="s">
        <v>1632</v>
      </c>
      <c r="C120" s="28" t="s">
        <v>5625</v>
      </c>
      <c r="D120" s="27" t="s">
        <v>5520</v>
      </c>
      <c r="E120" s="22" t="s">
        <v>452</v>
      </c>
    </row>
    <row r="121" ht="15.75" customHeight="1" spans="1:5">
      <c r="A121" s="22"/>
      <c r="B121" s="25" t="s">
        <v>1634</v>
      </c>
      <c r="C121" s="28" t="s">
        <v>5626</v>
      </c>
      <c r="D121" s="27" t="s">
        <v>5520</v>
      </c>
      <c r="E121" s="22" t="s">
        <v>436</v>
      </c>
    </row>
    <row r="122" ht="15.75" customHeight="1" spans="1:5">
      <c r="A122" s="22"/>
      <c r="B122" s="25" t="s">
        <v>1636</v>
      </c>
      <c r="C122" s="28" t="s">
        <v>5626</v>
      </c>
      <c r="D122" s="27" t="s">
        <v>5520</v>
      </c>
      <c r="E122" s="22" t="s">
        <v>436</v>
      </c>
    </row>
    <row r="123" ht="15.75" customHeight="1" spans="1:5">
      <c r="A123" s="22"/>
      <c r="B123" s="25" t="s">
        <v>1638</v>
      </c>
      <c r="C123" s="28" t="s">
        <v>5626</v>
      </c>
      <c r="D123" s="27" t="s">
        <v>5520</v>
      </c>
      <c r="E123" s="22"/>
    </row>
    <row r="124" ht="15.75" customHeight="1" spans="1:5">
      <c r="A124" s="22"/>
      <c r="B124" s="25" t="s">
        <v>1640</v>
      </c>
      <c r="C124" s="28" t="s">
        <v>5627</v>
      </c>
      <c r="D124" s="27" t="s">
        <v>5520</v>
      </c>
      <c r="E124" s="22" t="s">
        <v>436</v>
      </c>
    </row>
    <row r="125" ht="15.75" customHeight="1" spans="1:5">
      <c r="A125" s="22"/>
      <c r="B125" s="25" t="s">
        <v>1642</v>
      </c>
      <c r="C125" s="28" t="s">
        <v>5628</v>
      </c>
      <c r="D125" s="27" t="s">
        <v>5520</v>
      </c>
      <c r="E125" s="22"/>
    </row>
    <row r="126" ht="15.75" customHeight="1" spans="1:5">
      <c r="A126" s="22"/>
      <c r="B126" s="25" t="s">
        <v>1644</v>
      </c>
      <c r="C126" s="28" t="s">
        <v>5629</v>
      </c>
      <c r="D126" s="27" t="s">
        <v>5520</v>
      </c>
      <c r="E126" s="22"/>
    </row>
    <row r="127" ht="15.75" customHeight="1" spans="1:5">
      <c r="A127" s="22"/>
      <c r="B127" s="25" t="s">
        <v>1646</v>
      </c>
      <c r="C127" s="28" t="s">
        <v>5630</v>
      </c>
      <c r="D127" s="27" t="s">
        <v>5520</v>
      </c>
      <c r="E127" s="22" t="s">
        <v>452</v>
      </c>
    </row>
    <row r="128" ht="15.75" customHeight="1" spans="1:5">
      <c r="A128" s="22"/>
      <c r="B128" s="25" t="s">
        <v>1648</v>
      </c>
      <c r="C128" s="28" t="s">
        <v>5631</v>
      </c>
      <c r="D128" s="27" t="s">
        <v>5520</v>
      </c>
      <c r="E128" s="22" t="s">
        <v>376</v>
      </c>
    </row>
    <row r="129" ht="15.75" customHeight="1" spans="1:5">
      <c r="A129" s="22"/>
      <c r="B129" s="25" t="s">
        <v>1650</v>
      </c>
      <c r="C129" s="28" t="s">
        <v>5632</v>
      </c>
      <c r="D129" s="27" t="s">
        <v>5520</v>
      </c>
      <c r="E129" s="22" t="s">
        <v>376</v>
      </c>
    </row>
    <row r="130" ht="15.75" customHeight="1" spans="1:5">
      <c r="A130" s="22"/>
      <c r="B130" s="25" t="s">
        <v>1652</v>
      </c>
      <c r="C130" s="28" t="s">
        <v>5633</v>
      </c>
      <c r="D130" s="27" t="s">
        <v>5520</v>
      </c>
      <c r="E130" s="22"/>
    </row>
    <row r="131" ht="15.75" customHeight="1" spans="1:5">
      <c r="A131" s="22"/>
      <c r="B131" s="25" t="s">
        <v>1654</v>
      </c>
      <c r="C131" s="28" t="s">
        <v>5634</v>
      </c>
      <c r="D131" s="27" t="s">
        <v>5520</v>
      </c>
      <c r="E131" s="22"/>
    </row>
    <row r="132" ht="15.75" customHeight="1" spans="1:5">
      <c r="A132" s="22"/>
      <c r="B132" s="25" t="s">
        <v>1656</v>
      </c>
      <c r="C132" s="28" t="s">
        <v>5635</v>
      </c>
      <c r="D132" s="27" t="s">
        <v>5520</v>
      </c>
      <c r="E132" s="22" t="s">
        <v>436</v>
      </c>
    </row>
    <row r="133" ht="15.75" customHeight="1" spans="1:5">
      <c r="A133" s="22"/>
      <c r="B133" s="25" t="s">
        <v>1658</v>
      </c>
      <c r="C133" s="28" t="s">
        <v>5636</v>
      </c>
      <c r="D133" s="27" t="s">
        <v>5520</v>
      </c>
      <c r="E133" s="22" t="s">
        <v>376</v>
      </c>
    </row>
    <row r="134" ht="15.75" customHeight="1" spans="1:5">
      <c r="A134" s="22"/>
      <c r="B134" s="25" t="s">
        <v>1660</v>
      </c>
      <c r="C134" s="28" t="s">
        <v>5637</v>
      </c>
      <c r="D134" s="27" t="s">
        <v>5520</v>
      </c>
      <c r="E134" s="22" t="s">
        <v>436</v>
      </c>
    </row>
    <row r="135" ht="15.75" customHeight="1" spans="1:5">
      <c r="A135" s="22"/>
      <c r="B135" s="25" t="s">
        <v>1662</v>
      </c>
      <c r="C135" s="28" t="s">
        <v>5638</v>
      </c>
      <c r="D135" s="27" t="s">
        <v>5520</v>
      </c>
      <c r="E135" s="22" t="s">
        <v>534</v>
      </c>
    </row>
    <row r="136" ht="15.75" customHeight="1" spans="1:5">
      <c r="A136" s="22"/>
      <c r="B136" s="25" t="s">
        <v>1664</v>
      </c>
      <c r="C136" s="28" t="s">
        <v>5639</v>
      </c>
      <c r="D136" s="27" t="s">
        <v>5520</v>
      </c>
      <c r="E136" s="22" t="s">
        <v>534</v>
      </c>
    </row>
    <row r="137" ht="15.75" customHeight="1" spans="1:5">
      <c r="A137" s="22"/>
      <c r="B137" s="25" t="s">
        <v>1666</v>
      </c>
      <c r="C137" s="28" t="s">
        <v>5640</v>
      </c>
      <c r="D137" s="27" t="s">
        <v>5520</v>
      </c>
      <c r="E137" s="22" t="s">
        <v>436</v>
      </c>
    </row>
    <row r="138" ht="15.75" customHeight="1" spans="1:5">
      <c r="A138" s="22"/>
      <c r="B138" s="25" t="s">
        <v>1668</v>
      </c>
      <c r="C138" s="28" t="s">
        <v>5641</v>
      </c>
      <c r="D138" s="27" t="s">
        <v>5520</v>
      </c>
      <c r="E138" s="22" t="s">
        <v>436</v>
      </c>
    </row>
    <row r="139" ht="15.75" customHeight="1" spans="1:5">
      <c r="A139" s="22"/>
      <c r="B139" s="25" t="s">
        <v>1670</v>
      </c>
      <c r="C139" s="28" t="s">
        <v>5642</v>
      </c>
      <c r="D139" s="27" t="s">
        <v>5520</v>
      </c>
      <c r="E139" s="22" t="s">
        <v>376</v>
      </c>
    </row>
    <row r="140" ht="15.75" customHeight="1" spans="1:5">
      <c r="A140" s="22"/>
      <c r="B140" s="25" t="s">
        <v>1672</v>
      </c>
      <c r="C140" s="28" t="s">
        <v>5643</v>
      </c>
      <c r="D140" s="27" t="s">
        <v>5520</v>
      </c>
      <c r="E140" s="22"/>
    </row>
    <row r="141" ht="15.75" customHeight="1" spans="1:5">
      <c r="A141" s="22"/>
      <c r="B141" s="25" t="s">
        <v>1674</v>
      </c>
      <c r="C141" s="28" t="s">
        <v>5644</v>
      </c>
      <c r="D141" s="27" t="s">
        <v>5520</v>
      </c>
      <c r="E141" s="22" t="s">
        <v>408</v>
      </c>
    </row>
    <row r="142" ht="15.75" customHeight="1" spans="1:5">
      <c r="A142" s="22"/>
      <c r="B142" s="25" t="s">
        <v>1676</v>
      </c>
      <c r="C142" s="28" t="s">
        <v>5645</v>
      </c>
      <c r="D142" s="27" t="s">
        <v>5520</v>
      </c>
      <c r="E142" s="22" t="s">
        <v>342</v>
      </c>
    </row>
    <row r="143" ht="15.75" customHeight="1" spans="1:5">
      <c r="A143" s="22"/>
      <c r="B143" s="25" t="s">
        <v>1678</v>
      </c>
      <c r="C143" s="28" t="s">
        <v>5646</v>
      </c>
      <c r="D143" s="27" t="s">
        <v>5520</v>
      </c>
      <c r="E143" s="22" t="s">
        <v>424</v>
      </c>
    </row>
    <row r="144" ht="15.75" customHeight="1" spans="1:5">
      <c r="A144" s="22"/>
      <c r="B144" s="25" t="s">
        <v>1680</v>
      </c>
      <c r="C144" s="28" t="s">
        <v>5647</v>
      </c>
      <c r="D144" s="27" t="s">
        <v>5520</v>
      </c>
      <c r="E144" s="22"/>
    </row>
    <row r="145" ht="15.75" customHeight="1" spans="1:5">
      <c r="A145" s="22"/>
      <c r="B145" s="25" t="s">
        <v>1682</v>
      </c>
      <c r="C145" s="28" t="s">
        <v>5648</v>
      </c>
      <c r="D145" s="27" t="s">
        <v>5520</v>
      </c>
      <c r="E145" s="22"/>
    </row>
    <row r="146" ht="15.75" customHeight="1" spans="1:5">
      <c r="A146" s="22"/>
      <c r="B146" s="25" t="s">
        <v>1684</v>
      </c>
      <c r="C146" s="28" t="s">
        <v>5649</v>
      </c>
      <c r="D146" s="27" t="s">
        <v>5520</v>
      </c>
      <c r="E146" s="22"/>
    </row>
    <row r="147" ht="15.75" customHeight="1" spans="1:5">
      <c r="A147" s="22"/>
      <c r="B147" s="25" t="s">
        <v>1686</v>
      </c>
      <c r="C147" s="28" t="s">
        <v>5649</v>
      </c>
      <c r="D147" s="27" t="s">
        <v>5520</v>
      </c>
      <c r="E147" s="22"/>
    </row>
    <row r="148" ht="15.75" customHeight="1" spans="1:5">
      <c r="A148" s="22"/>
      <c r="B148" s="25" t="s">
        <v>1688</v>
      </c>
      <c r="C148" s="28" t="s">
        <v>5650</v>
      </c>
      <c r="D148" s="27" t="s">
        <v>5520</v>
      </c>
      <c r="E148" s="22" t="s">
        <v>384</v>
      </c>
    </row>
    <row r="149" ht="15.75" customHeight="1" spans="1:5">
      <c r="A149" s="22"/>
      <c r="B149" s="25" t="s">
        <v>1690</v>
      </c>
      <c r="C149" s="28" t="s">
        <v>5651</v>
      </c>
      <c r="D149" s="27" t="s">
        <v>5520</v>
      </c>
      <c r="E149" s="22" t="s">
        <v>497</v>
      </c>
    </row>
    <row r="150" ht="15.75" customHeight="1" spans="1:5">
      <c r="A150" s="22"/>
      <c r="B150" s="25" t="s">
        <v>1692</v>
      </c>
      <c r="C150" s="28" t="s">
        <v>5652</v>
      </c>
      <c r="D150" s="27" t="s">
        <v>5520</v>
      </c>
      <c r="E150" s="22" t="s">
        <v>436</v>
      </c>
    </row>
    <row r="151" ht="15.75" customHeight="1" spans="1:5">
      <c r="A151" s="22"/>
      <c r="B151" s="25" t="s">
        <v>1694</v>
      </c>
      <c r="C151" s="28" t="s">
        <v>5653</v>
      </c>
      <c r="D151" s="27" t="s">
        <v>5520</v>
      </c>
      <c r="E151" s="22" t="s">
        <v>549</v>
      </c>
    </row>
    <row r="152" ht="15.75" customHeight="1" spans="1:5">
      <c r="A152" s="22"/>
      <c r="B152" s="25" t="s">
        <v>1696</v>
      </c>
      <c r="C152" s="28" t="s">
        <v>5654</v>
      </c>
      <c r="D152" s="27" t="s">
        <v>5520</v>
      </c>
      <c r="E152" s="22" t="s">
        <v>376</v>
      </c>
    </row>
    <row r="153" ht="15.75" customHeight="1" spans="1:5">
      <c r="A153" s="22"/>
      <c r="B153" s="25" t="s">
        <v>1698</v>
      </c>
      <c r="C153" s="28" t="s">
        <v>5655</v>
      </c>
      <c r="D153" s="27" t="s">
        <v>5520</v>
      </c>
      <c r="E153" s="22"/>
    </row>
    <row r="154" ht="15.75" customHeight="1" spans="1:5">
      <c r="A154" s="22"/>
      <c r="B154" s="25" t="s">
        <v>1700</v>
      </c>
      <c r="C154" s="28" t="s">
        <v>5656</v>
      </c>
      <c r="D154" s="27" t="s">
        <v>5520</v>
      </c>
      <c r="E154" s="22"/>
    </row>
    <row r="155" ht="15.75" customHeight="1" spans="1:5">
      <c r="A155" s="22"/>
      <c r="B155" s="25" t="s">
        <v>1702</v>
      </c>
      <c r="C155" s="28" t="s">
        <v>5657</v>
      </c>
      <c r="D155" s="27" t="s">
        <v>5520</v>
      </c>
      <c r="E155" s="22"/>
    </row>
    <row r="156" ht="15.75" customHeight="1" spans="1:5">
      <c r="A156" s="22"/>
      <c r="B156" s="25" t="s">
        <v>1704</v>
      </c>
      <c r="C156" s="28" t="s">
        <v>5658</v>
      </c>
      <c r="D156" s="27" t="s">
        <v>5520</v>
      </c>
      <c r="E156" s="22"/>
    </row>
    <row r="157" ht="15.75" customHeight="1" spans="1:5">
      <c r="A157" s="22"/>
      <c r="B157" s="25" t="s">
        <v>1706</v>
      </c>
      <c r="C157" s="28" t="s">
        <v>5659</v>
      </c>
      <c r="D157" s="27" t="s">
        <v>5520</v>
      </c>
      <c r="E157" s="22" t="s">
        <v>482</v>
      </c>
    </row>
    <row r="158" ht="15.75" customHeight="1" spans="1:5">
      <c r="A158" s="22"/>
      <c r="B158" s="25" t="s">
        <v>1708</v>
      </c>
      <c r="C158" s="28" t="s">
        <v>5660</v>
      </c>
      <c r="D158" s="27" t="s">
        <v>5520</v>
      </c>
      <c r="E158" s="22"/>
    </row>
    <row r="159" ht="15.75" customHeight="1" spans="1:5">
      <c r="A159" s="22"/>
      <c r="B159" s="25" t="s">
        <v>1710</v>
      </c>
      <c r="C159" s="28" t="s">
        <v>5661</v>
      </c>
      <c r="D159" s="27" t="s">
        <v>5520</v>
      </c>
      <c r="E159" s="22"/>
    </row>
    <row r="160" ht="15.75" customHeight="1" spans="1:5">
      <c r="A160" s="22"/>
      <c r="B160" s="25" t="s">
        <v>1712</v>
      </c>
      <c r="C160" s="28" t="s">
        <v>5662</v>
      </c>
      <c r="D160" s="27" t="s">
        <v>5520</v>
      </c>
      <c r="E160" s="22" t="s">
        <v>549</v>
      </c>
    </row>
    <row r="161" ht="15.75" customHeight="1" spans="1:5">
      <c r="A161" s="22"/>
      <c r="B161" s="25" t="s">
        <v>1714</v>
      </c>
      <c r="C161" s="28" t="s">
        <v>5663</v>
      </c>
      <c r="D161" s="27" t="s">
        <v>5520</v>
      </c>
      <c r="E161" s="22" t="s">
        <v>513</v>
      </c>
    </row>
    <row r="162" ht="15.75" customHeight="1" spans="1:5">
      <c r="A162" s="22"/>
      <c r="B162" s="25" t="s">
        <v>1716</v>
      </c>
      <c r="C162" s="28" t="s">
        <v>5664</v>
      </c>
      <c r="D162" s="27" t="s">
        <v>5520</v>
      </c>
      <c r="E162" s="22"/>
    </row>
    <row r="163" ht="15.75" customHeight="1" spans="1:5">
      <c r="A163" s="22"/>
      <c r="B163" s="25" t="s">
        <v>1718</v>
      </c>
      <c r="C163" s="28" t="s">
        <v>5665</v>
      </c>
      <c r="D163" s="27" t="s">
        <v>5520</v>
      </c>
      <c r="E163" s="22" t="s">
        <v>513</v>
      </c>
    </row>
    <row r="164" ht="15.75" customHeight="1" spans="1:5">
      <c r="A164" s="22"/>
      <c r="B164" s="25" t="s">
        <v>1720</v>
      </c>
      <c r="C164" s="28" t="s">
        <v>5666</v>
      </c>
      <c r="D164" s="27" t="s">
        <v>5520</v>
      </c>
      <c r="E164" s="22" t="s">
        <v>436</v>
      </c>
    </row>
    <row r="165" ht="15.75" customHeight="1" spans="1:5">
      <c r="A165" s="22"/>
      <c r="B165" s="25" t="s">
        <v>1722</v>
      </c>
      <c r="C165" s="28" t="s">
        <v>5667</v>
      </c>
      <c r="D165" s="27" t="s">
        <v>5520</v>
      </c>
      <c r="E165" s="22"/>
    </row>
    <row r="166" ht="15.75" customHeight="1" spans="1:5">
      <c r="A166" s="22"/>
      <c r="B166" s="25" t="s">
        <v>1724</v>
      </c>
      <c r="C166" s="28" t="s">
        <v>5668</v>
      </c>
      <c r="D166" s="27" t="s">
        <v>5520</v>
      </c>
      <c r="E166" s="22" t="s">
        <v>416</v>
      </c>
    </row>
    <row r="167" ht="15.75" customHeight="1" spans="1:5">
      <c r="A167" s="22"/>
      <c r="B167" s="25" t="s">
        <v>1726</v>
      </c>
      <c r="C167" s="28" t="s">
        <v>5668</v>
      </c>
      <c r="D167" s="27" t="s">
        <v>5520</v>
      </c>
      <c r="E167" s="22" t="s">
        <v>416</v>
      </c>
    </row>
    <row r="168" ht="15.75" customHeight="1" spans="1:5">
      <c r="A168" s="22"/>
      <c r="B168" s="25" t="s">
        <v>1728</v>
      </c>
      <c r="C168" s="28" t="s">
        <v>5669</v>
      </c>
      <c r="D168" s="27" t="s">
        <v>5520</v>
      </c>
      <c r="E168" s="22"/>
    </row>
    <row r="169" ht="15.75" customHeight="1" spans="1:5">
      <c r="A169" s="22"/>
      <c r="B169" s="25" t="s">
        <v>1730</v>
      </c>
      <c r="C169" s="28" t="s">
        <v>5670</v>
      </c>
      <c r="D169" s="27" t="s">
        <v>5520</v>
      </c>
      <c r="E169" s="22" t="s">
        <v>436</v>
      </c>
    </row>
    <row r="170" ht="15.75" customHeight="1" spans="1:5">
      <c r="A170" s="22"/>
      <c r="B170" s="25" t="s">
        <v>1732</v>
      </c>
      <c r="C170" s="28" t="s">
        <v>5671</v>
      </c>
      <c r="D170" s="27" t="s">
        <v>5520</v>
      </c>
      <c r="E170" s="22" t="s">
        <v>416</v>
      </c>
    </row>
    <row r="171" ht="15.75" customHeight="1" spans="1:5">
      <c r="A171" s="22"/>
      <c r="B171" s="25" t="s">
        <v>1734</v>
      </c>
      <c r="C171" s="28" t="s">
        <v>5672</v>
      </c>
      <c r="D171" s="27" t="s">
        <v>5520</v>
      </c>
      <c r="E171" s="22" t="s">
        <v>549</v>
      </c>
    </row>
    <row r="172" ht="15.75" customHeight="1" spans="1:5">
      <c r="A172" s="22"/>
      <c r="B172" s="25" t="s">
        <v>1736</v>
      </c>
      <c r="C172" s="28" t="s">
        <v>5672</v>
      </c>
      <c r="D172" s="27" t="s">
        <v>5520</v>
      </c>
      <c r="E172" s="22" t="s">
        <v>549</v>
      </c>
    </row>
    <row r="173" ht="15.75" customHeight="1" spans="1:5">
      <c r="A173" s="22"/>
      <c r="B173" s="25" t="s">
        <v>1738</v>
      </c>
      <c r="C173" s="28" t="s">
        <v>5672</v>
      </c>
      <c r="D173" s="27" t="s">
        <v>5520</v>
      </c>
      <c r="E173" s="22"/>
    </row>
    <row r="174" ht="15.75" customHeight="1" spans="1:5">
      <c r="A174" s="22"/>
      <c r="B174" s="25" t="s">
        <v>1740</v>
      </c>
      <c r="C174" s="28" t="s">
        <v>5673</v>
      </c>
      <c r="D174" s="27" t="s">
        <v>5520</v>
      </c>
      <c r="E174" s="22" t="s">
        <v>436</v>
      </c>
    </row>
    <row r="175" ht="15.75" customHeight="1" spans="1:5">
      <c r="A175" s="22"/>
      <c r="B175" s="25" t="s">
        <v>1742</v>
      </c>
      <c r="C175" s="28" t="s">
        <v>5674</v>
      </c>
      <c r="D175" s="27" t="s">
        <v>5520</v>
      </c>
      <c r="E175" s="22" t="s">
        <v>384</v>
      </c>
    </row>
    <row r="176" ht="15.75" customHeight="1" spans="1:5">
      <c r="A176" s="22"/>
      <c r="B176" s="25" t="s">
        <v>1744</v>
      </c>
      <c r="C176" s="28" t="s">
        <v>5675</v>
      </c>
      <c r="D176" s="27" t="s">
        <v>5520</v>
      </c>
      <c r="E176" s="22" t="s">
        <v>384</v>
      </c>
    </row>
    <row r="177" ht="15.75" customHeight="1" spans="1:5">
      <c r="A177" s="22"/>
      <c r="B177" s="25" t="s">
        <v>1746</v>
      </c>
      <c r="C177" s="28" t="s">
        <v>5676</v>
      </c>
      <c r="D177" s="27" t="s">
        <v>5520</v>
      </c>
      <c r="E177" s="22" t="s">
        <v>513</v>
      </c>
    </row>
    <row r="178" ht="15.75" customHeight="1" spans="1:5">
      <c r="A178" s="22"/>
      <c r="B178" s="25" t="s">
        <v>1748</v>
      </c>
      <c r="C178" s="28" t="s">
        <v>5677</v>
      </c>
      <c r="D178" s="27" t="s">
        <v>5520</v>
      </c>
      <c r="E178" s="22" t="s">
        <v>408</v>
      </c>
    </row>
    <row r="179" ht="15.75" customHeight="1" spans="1:5">
      <c r="A179" s="22"/>
      <c r="B179" s="25" t="s">
        <v>1750</v>
      </c>
      <c r="C179" s="28" t="s">
        <v>5678</v>
      </c>
      <c r="D179" s="27" t="s">
        <v>5520</v>
      </c>
      <c r="E179" s="22"/>
    </row>
    <row r="180" ht="15.75" customHeight="1" spans="1:5">
      <c r="A180" s="22"/>
      <c r="B180" s="25" t="s">
        <v>1752</v>
      </c>
      <c r="C180" s="28" t="s">
        <v>5679</v>
      </c>
      <c r="D180" s="27" t="s">
        <v>5520</v>
      </c>
      <c r="E180" s="22"/>
    </row>
    <row r="181" ht="15.75" customHeight="1" spans="1:5">
      <c r="A181" s="22"/>
      <c r="B181" s="25" t="s">
        <v>1754</v>
      </c>
      <c r="C181" s="28" t="s">
        <v>5680</v>
      </c>
      <c r="D181" s="27" t="s">
        <v>5520</v>
      </c>
      <c r="E181" s="22"/>
    </row>
    <row r="182" ht="15.75" customHeight="1" spans="1:5">
      <c r="A182" s="22"/>
      <c r="B182" s="25" t="s">
        <v>1756</v>
      </c>
      <c r="C182" s="28" t="s">
        <v>5681</v>
      </c>
      <c r="D182" s="27" t="s">
        <v>5520</v>
      </c>
      <c r="E182" s="22"/>
    </row>
    <row r="183" ht="15.75" customHeight="1" spans="1:5">
      <c r="A183" s="22"/>
      <c r="B183" s="25" t="s">
        <v>1758</v>
      </c>
      <c r="C183" s="28" t="s">
        <v>5682</v>
      </c>
      <c r="D183" s="27" t="s">
        <v>5520</v>
      </c>
      <c r="E183" s="22" t="s">
        <v>513</v>
      </c>
    </row>
    <row r="184" ht="15.75" customHeight="1" spans="1:5">
      <c r="A184" s="22"/>
      <c r="B184" s="25" t="s">
        <v>1760</v>
      </c>
      <c r="C184" s="28" t="s">
        <v>5683</v>
      </c>
      <c r="D184" s="27" t="s">
        <v>5520</v>
      </c>
      <c r="E184" s="22" t="s">
        <v>513</v>
      </c>
    </row>
    <row r="185" ht="15.75" customHeight="1" spans="1:5">
      <c r="A185" s="22"/>
      <c r="B185" s="25" t="s">
        <v>1762</v>
      </c>
      <c r="C185" s="28" t="s">
        <v>5684</v>
      </c>
      <c r="D185" s="27" t="s">
        <v>5520</v>
      </c>
      <c r="E185" s="22" t="s">
        <v>513</v>
      </c>
    </row>
    <row r="186" ht="15.75" customHeight="1" spans="1:5">
      <c r="A186" s="22"/>
      <c r="B186" s="25" t="s">
        <v>1764</v>
      </c>
      <c r="C186" s="28" t="s">
        <v>5685</v>
      </c>
      <c r="D186" s="27" t="s">
        <v>5520</v>
      </c>
      <c r="E186" s="22" t="s">
        <v>513</v>
      </c>
    </row>
    <row r="187" ht="15.75" customHeight="1" spans="1:5">
      <c r="A187" s="22"/>
      <c r="B187" s="25" t="s">
        <v>1766</v>
      </c>
      <c r="C187" s="28" t="s">
        <v>5686</v>
      </c>
      <c r="D187" s="27" t="s">
        <v>5520</v>
      </c>
      <c r="E187" s="22" t="s">
        <v>513</v>
      </c>
    </row>
    <row r="188" ht="15.75" customHeight="1" spans="1:5">
      <c r="A188" s="22"/>
      <c r="B188" s="25" t="s">
        <v>1768</v>
      </c>
      <c r="C188" s="28" t="s">
        <v>5687</v>
      </c>
      <c r="D188" s="27" t="s">
        <v>5520</v>
      </c>
      <c r="E188" s="22" t="s">
        <v>513</v>
      </c>
    </row>
    <row r="189" ht="15.75" customHeight="1" spans="1:5">
      <c r="A189" s="22"/>
      <c r="B189" s="25" t="s">
        <v>1770</v>
      </c>
      <c r="C189" s="28" t="s">
        <v>5688</v>
      </c>
      <c r="D189" s="27" t="s">
        <v>5520</v>
      </c>
      <c r="E189" s="22" t="s">
        <v>436</v>
      </c>
    </row>
    <row r="190" ht="15.75" customHeight="1" spans="1:5">
      <c r="A190" s="22"/>
      <c r="B190" s="25" t="s">
        <v>1772</v>
      </c>
      <c r="C190" s="28" t="s">
        <v>5689</v>
      </c>
      <c r="D190" s="27" t="s">
        <v>5520</v>
      </c>
      <c r="E190" s="22" t="s">
        <v>513</v>
      </c>
    </row>
    <row r="191" ht="15.75" customHeight="1" spans="1:5">
      <c r="A191" s="22"/>
      <c r="B191" s="25" t="s">
        <v>1774</v>
      </c>
      <c r="C191" s="28" t="s">
        <v>5690</v>
      </c>
      <c r="D191" s="27" t="s">
        <v>5520</v>
      </c>
      <c r="E191" s="22" t="s">
        <v>505</v>
      </c>
    </row>
    <row r="192" ht="15.75" customHeight="1" spans="1:5">
      <c r="A192" s="22"/>
      <c r="B192" s="25" t="s">
        <v>1776</v>
      </c>
      <c r="C192" s="28" t="s">
        <v>5691</v>
      </c>
      <c r="D192" s="27" t="s">
        <v>5520</v>
      </c>
      <c r="E192" s="22" t="s">
        <v>376</v>
      </c>
    </row>
    <row r="193" ht="15.75" customHeight="1" spans="1:5">
      <c r="A193" s="22"/>
      <c r="B193" s="25" t="s">
        <v>1778</v>
      </c>
      <c r="C193" s="28" t="s">
        <v>5692</v>
      </c>
      <c r="D193" s="27" t="s">
        <v>5520</v>
      </c>
      <c r="E193" s="22" t="s">
        <v>460</v>
      </c>
    </row>
    <row r="194" ht="15.75" customHeight="1" spans="1:5">
      <c r="A194" s="22"/>
      <c r="B194" s="25" t="s">
        <v>1780</v>
      </c>
      <c r="C194" s="28" t="s">
        <v>5693</v>
      </c>
      <c r="D194" s="27" t="s">
        <v>5520</v>
      </c>
      <c r="E194" s="22" t="s">
        <v>371</v>
      </c>
    </row>
    <row r="195" ht="15.75" customHeight="1" spans="1:5">
      <c r="A195" s="22"/>
      <c r="B195" s="25" t="s">
        <v>1782</v>
      </c>
      <c r="C195" s="28" t="s">
        <v>5694</v>
      </c>
      <c r="D195" s="27" t="s">
        <v>5520</v>
      </c>
      <c r="E195" s="22" t="s">
        <v>513</v>
      </c>
    </row>
    <row r="196" ht="15.75" customHeight="1" spans="1:5">
      <c r="A196" s="22"/>
      <c r="B196" s="25" t="s">
        <v>1784</v>
      </c>
      <c r="C196" s="28" t="s">
        <v>5695</v>
      </c>
      <c r="D196" s="27" t="s">
        <v>5520</v>
      </c>
      <c r="E196" s="22" t="s">
        <v>513</v>
      </c>
    </row>
    <row r="197" ht="15.75" customHeight="1" spans="1:5">
      <c r="A197" s="22"/>
      <c r="B197" s="25" t="s">
        <v>1786</v>
      </c>
      <c r="C197" s="28" t="s">
        <v>5695</v>
      </c>
      <c r="D197" s="27" t="s">
        <v>5520</v>
      </c>
      <c r="E197" s="22"/>
    </row>
    <row r="198" ht="15.75" customHeight="1" spans="1:5">
      <c r="A198" s="22"/>
      <c r="B198" s="25" t="s">
        <v>1788</v>
      </c>
      <c r="C198" s="28" t="s">
        <v>5696</v>
      </c>
      <c r="D198" s="27" t="s">
        <v>5520</v>
      </c>
      <c r="E198" s="22"/>
    </row>
    <row r="199" ht="15.75" customHeight="1" spans="1:5">
      <c r="A199" s="22"/>
      <c r="B199" s="25" t="s">
        <v>1790</v>
      </c>
      <c r="C199" s="28" t="s">
        <v>5697</v>
      </c>
      <c r="D199" s="27" t="s">
        <v>5520</v>
      </c>
      <c r="E199" s="22" t="s">
        <v>513</v>
      </c>
    </row>
    <row r="200" ht="15.75" customHeight="1" spans="1:5">
      <c r="A200" s="22"/>
      <c r="B200" s="25" t="s">
        <v>1792</v>
      </c>
      <c r="C200" s="28" t="s">
        <v>5698</v>
      </c>
      <c r="D200" s="27" t="s">
        <v>5520</v>
      </c>
      <c r="E200" s="22" t="s">
        <v>513</v>
      </c>
    </row>
    <row r="201" ht="15.75" customHeight="1" spans="1:5">
      <c r="A201" s="22"/>
      <c r="B201" s="25" t="s">
        <v>1794</v>
      </c>
      <c r="C201" s="28" t="s">
        <v>5699</v>
      </c>
      <c r="D201" s="27" t="s">
        <v>5520</v>
      </c>
      <c r="E201" s="22" t="s">
        <v>513</v>
      </c>
    </row>
    <row r="202" ht="15.75" customHeight="1" spans="1:5">
      <c r="A202" s="22"/>
      <c r="B202" s="25" t="s">
        <v>1796</v>
      </c>
      <c r="C202" s="28" t="s">
        <v>5688</v>
      </c>
      <c r="D202" s="27" t="s">
        <v>5520</v>
      </c>
      <c r="E202" s="22"/>
    </row>
    <row r="203" ht="15.75" customHeight="1" spans="1:5">
      <c r="A203" s="22"/>
      <c r="B203" s="25" t="s">
        <v>1798</v>
      </c>
      <c r="C203" s="28" t="s">
        <v>5700</v>
      </c>
      <c r="D203" s="27" t="s">
        <v>5520</v>
      </c>
      <c r="E203" s="22" t="s">
        <v>513</v>
      </c>
    </row>
    <row r="204" ht="15.75" customHeight="1" spans="1:5">
      <c r="A204" s="22"/>
      <c r="B204" s="25" t="s">
        <v>1800</v>
      </c>
      <c r="C204" s="28" t="s">
        <v>5701</v>
      </c>
      <c r="D204" s="27" t="s">
        <v>5520</v>
      </c>
      <c r="E204" s="22"/>
    </row>
    <row r="205" ht="15.75" customHeight="1" spans="1:5">
      <c r="A205" s="22"/>
      <c r="B205" s="25" t="s">
        <v>1802</v>
      </c>
      <c r="C205" s="28" t="s">
        <v>5702</v>
      </c>
      <c r="D205" s="27" t="s">
        <v>5520</v>
      </c>
      <c r="E205" s="22" t="s">
        <v>513</v>
      </c>
    </row>
    <row r="206" ht="15.75" customHeight="1" spans="1:5">
      <c r="A206" s="22"/>
      <c r="B206" s="25" t="s">
        <v>1804</v>
      </c>
      <c r="C206" s="28" t="s">
        <v>5703</v>
      </c>
      <c r="D206" s="27" t="s">
        <v>5520</v>
      </c>
      <c r="E206" s="22" t="s">
        <v>513</v>
      </c>
    </row>
    <row r="207" ht="15.75" customHeight="1" spans="1:5">
      <c r="A207" s="22"/>
      <c r="B207" s="25" t="s">
        <v>1806</v>
      </c>
      <c r="C207" s="28" t="s">
        <v>5704</v>
      </c>
      <c r="D207" s="27" t="s">
        <v>5520</v>
      </c>
      <c r="E207" s="22" t="s">
        <v>513</v>
      </c>
    </row>
    <row r="208" ht="15.75" customHeight="1" spans="1:5">
      <c r="A208" s="22"/>
      <c r="B208" s="25" t="s">
        <v>1808</v>
      </c>
      <c r="C208" s="28" t="s">
        <v>5705</v>
      </c>
      <c r="D208" s="27" t="s">
        <v>5520</v>
      </c>
      <c r="E208" s="22"/>
    </row>
    <row r="209" ht="15.75" customHeight="1" spans="1:5">
      <c r="A209" s="22"/>
      <c r="B209" s="25" t="s">
        <v>1810</v>
      </c>
      <c r="C209" s="28" t="s">
        <v>5706</v>
      </c>
      <c r="D209" s="27" t="s">
        <v>5520</v>
      </c>
      <c r="E209" s="22"/>
    </row>
    <row r="210" ht="15.75" customHeight="1" spans="1:5">
      <c r="A210" s="22"/>
      <c r="B210" s="25" t="s">
        <v>1812</v>
      </c>
      <c r="C210" s="28" t="s">
        <v>5707</v>
      </c>
      <c r="D210" s="27" t="s">
        <v>5520</v>
      </c>
      <c r="E210" s="22" t="s">
        <v>325</v>
      </c>
    </row>
    <row r="211" ht="15.75" customHeight="1" spans="1:5">
      <c r="A211" s="22"/>
      <c r="B211" s="25" t="s">
        <v>1814</v>
      </c>
      <c r="C211" s="28" t="s">
        <v>5656</v>
      </c>
      <c r="D211" s="27" t="s">
        <v>5520</v>
      </c>
      <c r="E211" s="22" t="s">
        <v>376</v>
      </c>
    </row>
    <row r="212" ht="15.75" customHeight="1" spans="1:5">
      <c r="A212" s="22"/>
      <c r="B212" s="25" t="s">
        <v>1816</v>
      </c>
      <c r="C212" s="28" t="s">
        <v>5708</v>
      </c>
      <c r="D212" s="27" t="s">
        <v>5520</v>
      </c>
      <c r="E212" s="22"/>
    </row>
    <row r="213" ht="15.75" customHeight="1" spans="1:5">
      <c r="A213" s="22"/>
      <c r="B213" s="25" t="s">
        <v>1818</v>
      </c>
      <c r="C213" s="28" t="s">
        <v>5709</v>
      </c>
      <c r="D213" s="27" t="s">
        <v>5520</v>
      </c>
      <c r="E213" s="22" t="s">
        <v>5710</v>
      </c>
    </row>
    <row r="214" ht="15.75" customHeight="1" spans="1:5">
      <c r="A214" s="22"/>
      <c r="B214" s="25" t="s">
        <v>1820</v>
      </c>
      <c r="C214" s="28" t="s">
        <v>5711</v>
      </c>
      <c r="D214" s="27" t="s">
        <v>5520</v>
      </c>
      <c r="E214" s="22" t="s">
        <v>513</v>
      </c>
    </row>
    <row r="215" ht="15.75" customHeight="1" spans="1:5">
      <c r="A215" s="22"/>
      <c r="B215" s="25" t="s">
        <v>1822</v>
      </c>
      <c r="C215" s="28" t="s">
        <v>5712</v>
      </c>
      <c r="D215" s="27" t="s">
        <v>5520</v>
      </c>
      <c r="E215" s="22" t="s">
        <v>416</v>
      </c>
    </row>
    <row r="216" ht="15.75" customHeight="1" spans="1:5">
      <c r="A216" s="22"/>
      <c r="B216" s="25" t="s">
        <v>1824</v>
      </c>
      <c r="C216" s="28" t="s">
        <v>5713</v>
      </c>
      <c r="D216" s="27" t="s">
        <v>5520</v>
      </c>
      <c r="E216" s="22" t="s">
        <v>325</v>
      </c>
    </row>
    <row r="217" ht="15.75" customHeight="1" spans="1:5">
      <c r="A217" s="22"/>
      <c r="B217" s="25" t="s">
        <v>1826</v>
      </c>
      <c r="C217" s="28" t="s">
        <v>5714</v>
      </c>
      <c r="D217" s="27" t="s">
        <v>5520</v>
      </c>
      <c r="E217" s="22"/>
    </row>
    <row r="218" ht="15.75" customHeight="1" spans="1:5">
      <c r="A218" s="22"/>
      <c r="B218" s="25" t="s">
        <v>1828</v>
      </c>
      <c r="C218" s="28" t="s">
        <v>5715</v>
      </c>
      <c r="D218" s="27" t="s">
        <v>5520</v>
      </c>
      <c r="E218" s="22" t="s">
        <v>416</v>
      </c>
    </row>
    <row r="219" ht="15.75" customHeight="1" spans="1:5">
      <c r="A219" s="22"/>
      <c r="B219" s="25" t="s">
        <v>1830</v>
      </c>
      <c r="C219" s="28" t="s">
        <v>5715</v>
      </c>
      <c r="D219" s="27" t="s">
        <v>5520</v>
      </c>
      <c r="E219" s="22" t="s">
        <v>416</v>
      </c>
    </row>
    <row r="220" ht="15.75" customHeight="1" spans="1:5">
      <c r="A220" s="22"/>
      <c r="B220" s="25" t="s">
        <v>1832</v>
      </c>
      <c r="C220" s="28" t="s">
        <v>5716</v>
      </c>
      <c r="D220" s="27" t="s">
        <v>5520</v>
      </c>
      <c r="E220" s="22" t="s">
        <v>416</v>
      </c>
    </row>
    <row r="221" ht="15.75" customHeight="1" spans="1:5">
      <c r="A221" s="22"/>
      <c r="B221" s="25" t="s">
        <v>1834</v>
      </c>
      <c r="C221" s="28" t="s">
        <v>5717</v>
      </c>
      <c r="D221" s="27" t="s">
        <v>5520</v>
      </c>
      <c r="E221" s="22"/>
    </row>
    <row r="222" ht="15.75" customHeight="1" spans="1:5">
      <c r="A222" s="22"/>
      <c r="B222" s="25" t="s">
        <v>1836</v>
      </c>
      <c r="C222" s="28" t="s">
        <v>5677</v>
      </c>
      <c r="D222" s="27" t="s">
        <v>5520</v>
      </c>
      <c r="E222" s="22" t="s">
        <v>408</v>
      </c>
    </row>
    <row r="223" ht="15.75" customHeight="1" spans="1:5">
      <c r="A223" s="22"/>
      <c r="B223" s="25" t="s">
        <v>1838</v>
      </c>
      <c r="C223" s="28" t="s">
        <v>5718</v>
      </c>
      <c r="D223" s="27" t="s">
        <v>5520</v>
      </c>
      <c r="E223" s="22" t="s">
        <v>325</v>
      </c>
    </row>
    <row r="224" ht="15.75" customHeight="1" spans="1:5">
      <c r="A224" s="22"/>
      <c r="B224" s="25" t="s">
        <v>1840</v>
      </c>
      <c r="C224" s="28" t="s">
        <v>5719</v>
      </c>
      <c r="D224" s="27" t="s">
        <v>5520</v>
      </c>
      <c r="E224" s="22" t="s">
        <v>534</v>
      </c>
    </row>
    <row r="225" ht="15.75" customHeight="1" spans="1:5">
      <c r="A225" s="22"/>
      <c r="B225" s="25" t="s">
        <v>1842</v>
      </c>
      <c r="C225" s="28" t="s">
        <v>5720</v>
      </c>
      <c r="D225" s="27" t="s">
        <v>5520</v>
      </c>
      <c r="E225" s="22" t="s">
        <v>534</v>
      </c>
    </row>
    <row r="226" ht="15.75" customHeight="1" spans="1:5">
      <c r="A226" s="22"/>
      <c r="B226" s="25" t="s">
        <v>1844</v>
      </c>
      <c r="C226" s="28" t="s">
        <v>5721</v>
      </c>
      <c r="D226" s="27" t="s">
        <v>5520</v>
      </c>
      <c r="E226" s="22"/>
    </row>
    <row r="227" ht="15.75" customHeight="1" spans="1:5">
      <c r="A227" s="22"/>
      <c r="B227" s="25" t="s">
        <v>1846</v>
      </c>
      <c r="C227" s="28" t="s">
        <v>5722</v>
      </c>
      <c r="D227" s="27" t="s">
        <v>5520</v>
      </c>
      <c r="E227" s="22"/>
    </row>
    <row r="228" ht="15.75" customHeight="1" spans="1:5">
      <c r="A228" s="22"/>
      <c r="B228" s="25" t="s">
        <v>1848</v>
      </c>
      <c r="C228" s="28" t="s">
        <v>5723</v>
      </c>
      <c r="D228" s="27" t="s">
        <v>5520</v>
      </c>
      <c r="E228" s="22" t="s">
        <v>5710</v>
      </c>
    </row>
    <row r="229" ht="15.75" customHeight="1" spans="1:5">
      <c r="A229" s="22"/>
      <c r="B229" s="25" t="s">
        <v>1850</v>
      </c>
      <c r="C229" s="28" t="s">
        <v>5724</v>
      </c>
      <c r="D229" s="27" t="s">
        <v>5520</v>
      </c>
      <c r="E229" s="22"/>
    </row>
    <row r="230" ht="15.75" customHeight="1" spans="1:5">
      <c r="A230" s="22"/>
      <c r="B230" s="25" t="s">
        <v>1852</v>
      </c>
      <c r="C230" s="28" t="s">
        <v>5725</v>
      </c>
      <c r="D230" s="27" t="s">
        <v>5520</v>
      </c>
      <c r="E230" s="22"/>
    </row>
    <row r="231" ht="15.75" customHeight="1" spans="1:5">
      <c r="A231" s="22"/>
      <c r="B231" s="25" t="s">
        <v>1854</v>
      </c>
      <c r="C231" s="28" t="s">
        <v>5726</v>
      </c>
      <c r="D231" s="27" t="s">
        <v>5520</v>
      </c>
      <c r="E231" s="22" t="s">
        <v>513</v>
      </c>
    </row>
    <row r="232" ht="15.75" customHeight="1" spans="1:5">
      <c r="A232" s="22"/>
      <c r="B232" s="25" t="s">
        <v>1856</v>
      </c>
      <c r="C232" s="28" t="s">
        <v>5727</v>
      </c>
      <c r="D232" s="27" t="s">
        <v>5520</v>
      </c>
      <c r="E232" s="22" t="s">
        <v>513</v>
      </c>
    </row>
    <row r="233" ht="15.75" customHeight="1" spans="1:5">
      <c r="A233" s="22"/>
      <c r="B233" s="25" t="s">
        <v>1858</v>
      </c>
      <c r="C233" s="28" t="s">
        <v>5728</v>
      </c>
      <c r="D233" s="27" t="s">
        <v>5520</v>
      </c>
      <c r="E233" s="22" t="s">
        <v>424</v>
      </c>
    </row>
    <row r="234" ht="15.75" customHeight="1" spans="1:5">
      <c r="A234" s="22"/>
      <c r="B234" s="25" t="s">
        <v>1860</v>
      </c>
      <c r="C234" s="28" t="s">
        <v>5729</v>
      </c>
      <c r="D234" s="27" t="s">
        <v>5520</v>
      </c>
      <c r="E234" s="22"/>
    </row>
    <row r="235" ht="15.75" customHeight="1" spans="1:5">
      <c r="A235" s="22"/>
      <c r="B235" s="25" t="s">
        <v>1862</v>
      </c>
      <c r="C235" s="28" t="s">
        <v>5730</v>
      </c>
      <c r="D235" s="27" t="s">
        <v>5520</v>
      </c>
      <c r="E235" s="22"/>
    </row>
    <row r="236" ht="15.75" customHeight="1" spans="1:5">
      <c r="A236" s="22"/>
      <c r="B236" s="25" t="s">
        <v>1864</v>
      </c>
      <c r="C236" s="28" t="s">
        <v>5731</v>
      </c>
      <c r="D236" s="27" t="s">
        <v>5520</v>
      </c>
      <c r="E236" s="22" t="s">
        <v>376</v>
      </c>
    </row>
    <row r="237" ht="15.75" customHeight="1" spans="1:5">
      <c r="A237" s="22"/>
      <c r="B237" s="25" t="s">
        <v>1866</v>
      </c>
      <c r="C237" s="28" t="s">
        <v>5732</v>
      </c>
      <c r="D237" s="27" t="s">
        <v>5520</v>
      </c>
      <c r="E237" s="22"/>
    </row>
    <row r="238" ht="15.75" customHeight="1" spans="1:5">
      <c r="A238" s="22"/>
      <c r="B238" s="25" t="s">
        <v>1868</v>
      </c>
      <c r="C238" s="28" t="s">
        <v>5733</v>
      </c>
      <c r="D238" s="27" t="s">
        <v>5520</v>
      </c>
      <c r="E238" s="22" t="s">
        <v>5734</v>
      </c>
    </row>
    <row r="239" ht="15.75" customHeight="1" spans="1:5">
      <c r="A239" s="22"/>
      <c r="B239" s="25" t="s">
        <v>1870</v>
      </c>
      <c r="C239" s="28" t="s">
        <v>5733</v>
      </c>
      <c r="D239" s="27" t="s">
        <v>5520</v>
      </c>
      <c r="E239" s="22"/>
    </row>
    <row r="240" ht="15.75" customHeight="1" spans="1:5">
      <c r="A240" s="22"/>
      <c r="B240" s="25" t="s">
        <v>1872</v>
      </c>
      <c r="C240" s="28" t="s">
        <v>5735</v>
      </c>
      <c r="D240" s="27" t="s">
        <v>5520</v>
      </c>
      <c r="E240" s="22"/>
    </row>
    <row r="241" ht="15.75" customHeight="1" spans="1:5">
      <c r="A241" s="22"/>
      <c r="B241" s="25" t="s">
        <v>1874</v>
      </c>
      <c r="C241" s="28" t="s">
        <v>5736</v>
      </c>
      <c r="D241" s="27" t="s">
        <v>5520</v>
      </c>
      <c r="E241" s="22"/>
    </row>
    <row r="242" ht="15.75" customHeight="1" spans="1:5">
      <c r="A242" s="22"/>
      <c r="B242" s="25" t="s">
        <v>1876</v>
      </c>
      <c r="C242" s="28" t="s">
        <v>5737</v>
      </c>
      <c r="D242" s="27" t="s">
        <v>5520</v>
      </c>
      <c r="E242" s="22"/>
    </row>
    <row r="243" ht="15.75" customHeight="1" spans="1:5">
      <c r="A243" s="22"/>
      <c r="B243" s="25" t="s">
        <v>1878</v>
      </c>
      <c r="C243" s="28" t="s">
        <v>5738</v>
      </c>
      <c r="D243" s="27" t="s">
        <v>5520</v>
      </c>
      <c r="E243" s="22"/>
    </row>
    <row r="244" ht="15.75" customHeight="1" spans="1:5">
      <c r="A244" s="22"/>
      <c r="B244" s="25" t="s">
        <v>1880</v>
      </c>
      <c r="C244" s="28" t="s">
        <v>5739</v>
      </c>
      <c r="D244" s="27" t="s">
        <v>5520</v>
      </c>
      <c r="E244" s="22"/>
    </row>
    <row r="245" ht="15.75" customHeight="1" spans="1:5">
      <c r="A245" s="22"/>
      <c r="B245" s="25" t="s">
        <v>1882</v>
      </c>
      <c r="C245" s="28" t="s">
        <v>5740</v>
      </c>
      <c r="D245" s="27" t="s">
        <v>5520</v>
      </c>
      <c r="E245" s="22"/>
    </row>
    <row r="246" ht="15.75" customHeight="1" spans="1:5">
      <c r="A246" s="22"/>
      <c r="B246" s="25" t="s">
        <v>1884</v>
      </c>
      <c r="C246" s="28" t="s">
        <v>5741</v>
      </c>
      <c r="D246" s="27" t="s">
        <v>5520</v>
      </c>
      <c r="E246" s="22"/>
    </row>
    <row r="247" ht="15.75" customHeight="1" spans="1:5">
      <c r="A247" s="22"/>
      <c r="B247" s="25" t="s">
        <v>1886</v>
      </c>
      <c r="C247" s="28" t="s">
        <v>5742</v>
      </c>
      <c r="D247" s="27" t="s">
        <v>5520</v>
      </c>
      <c r="E247" s="22" t="s">
        <v>436</v>
      </c>
    </row>
    <row r="248" ht="15.75" customHeight="1" spans="1:5">
      <c r="A248" s="22"/>
      <c r="B248" s="25" t="s">
        <v>1888</v>
      </c>
      <c r="C248" s="28" t="s">
        <v>5743</v>
      </c>
      <c r="D248" s="27" t="s">
        <v>5520</v>
      </c>
      <c r="E248" s="22"/>
    </row>
    <row r="249" ht="15.75" customHeight="1" spans="1:5">
      <c r="A249" s="22"/>
      <c r="B249" s="25" t="s">
        <v>1890</v>
      </c>
      <c r="C249" s="28" t="s">
        <v>5744</v>
      </c>
      <c r="D249" s="27" t="s">
        <v>5520</v>
      </c>
      <c r="E249" s="22"/>
    </row>
    <row r="250" ht="15.75" customHeight="1" spans="1:5">
      <c r="A250" s="22"/>
      <c r="B250" s="25" t="s">
        <v>1892</v>
      </c>
      <c r="C250" s="28" t="s">
        <v>5745</v>
      </c>
      <c r="D250" s="27" t="s">
        <v>5520</v>
      </c>
      <c r="E250" s="22"/>
    </row>
    <row r="251" ht="15.75" customHeight="1" spans="1:5">
      <c r="A251" s="22"/>
      <c r="B251" s="25" t="s">
        <v>1894</v>
      </c>
      <c r="C251" s="28" t="s">
        <v>366</v>
      </c>
      <c r="D251" s="27" t="s">
        <v>5520</v>
      </c>
      <c r="E251" s="22" t="s">
        <v>366</v>
      </c>
    </row>
    <row r="252" ht="15.75" customHeight="1" spans="1:5">
      <c r="A252" s="22"/>
      <c r="B252" s="25" t="s">
        <v>1896</v>
      </c>
      <c r="C252" s="28" t="s">
        <v>366</v>
      </c>
      <c r="D252" s="27" t="s">
        <v>5520</v>
      </c>
      <c r="E252" s="22"/>
    </row>
    <row r="253" ht="15.75" customHeight="1" spans="1:5">
      <c r="A253" s="22"/>
      <c r="B253" s="25" t="s">
        <v>1898</v>
      </c>
      <c r="C253" s="28" t="s">
        <v>5746</v>
      </c>
      <c r="D253" s="27" t="s">
        <v>5520</v>
      </c>
      <c r="E253" s="22"/>
    </row>
    <row r="254" ht="15.75" customHeight="1" spans="1:5">
      <c r="A254" s="22"/>
      <c r="B254" s="25" t="s">
        <v>1900</v>
      </c>
      <c r="C254" s="28" t="s">
        <v>5747</v>
      </c>
      <c r="D254" s="27" t="s">
        <v>5520</v>
      </c>
      <c r="E254" s="22"/>
    </row>
    <row r="255" ht="15.75" customHeight="1" spans="1:5">
      <c r="A255" s="22"/>
      <c r="B255" s="25" t="s">
        <v>1902</v>
      </c>
      <c r="C255" s="28" t="s">
        <v>5748</v>
      </c>
      <c r="D255" s="27" t="s">
        <v>5520</v>
      </c>
      <c r="E255" s="22"/>
    </row>
    <row r="256" ht="15.75" customHeight="1" spans="1:5">
      <c r="A256" s="22"/>
      <c r="B256" s="25" t="s">
        <v>1904</v>
      </c>
      <c r="C256" s="28" t="s">
        <v>5749</v>
      </c>
      <c r="D256" s="27" t="s">
        <v>5520</v>
      </c>
      <c r="E256" s="22" t="s">
        <v>534</v>
      </c>
    </row>
    <row r="257" ht="15.75" customHeight="1" spans="1:5">
      <c r="A257" s="22"/>
      <c r="B257" s="25" t="s">
        <v>1906</v>
      </c>
      <c r="C257" s="28" t="s">
        <v>5750</v>
      </c>
      <c r="D257" s="27" t="s">
        <v>5520</v>
      </c>
      <c r="E257" s="22"/>
    </row>
    <row r="258" ht="15.75" customHeight="1" spans="1:5">
      <c r="A258" s="22"/>
      <c r="B258" s="25" t="s">
        <v>1908</v>
      </c>
      <c r="C258" s="28" t="s">
        <v>5751</v>
      </c>
      <c r="D258" s="27" t="s">
        <v>5520</v>
      </c>
      <c r="E258" s="22"/>
    </row>
    <row r="259" ht="15.75" customHeight="1" spans="1:5">
      <c r="A259" s="22"/>
      <c r="B259" s="25" t="s">
        <v>1910</v>
      </c>
      <c r="C259" s="28" t="s">
        <v>5752</v>
      </c>
      <c r="D259" s="27" t="s">
        <v>5520</v>
      </c>
      <c r="E259" s="22"/>
    </row>
    <row r="260" ht="15.75" customHeight="1" spans="1:5">
      <c r="A260" s="22"/>
      <c r="B260" s="25" t="s">
        <v>1912</v>
      </c>
      <c r="C260" s="28" t="s">
        <v>5753</v>
      </c>
      <c r="D260" s="27" t="s">
        <v>5520</v>
      </c>
      <c r="E260" s="22"/>
    </row>
    <row r="261" ht="15.75" customHeight="1" spans="1:5">
      <c r="A261" s="22"/>
      <c r="B261" s="25" t="s">
        <v>1914</v>
      </c>
      <c r="C261" s="28" t="s">
        <v>5754</v>
      </c>
      <c r="D261" s="27" t="s">
        <v>5520</v>
      </c>
      <c r="E261" s="22"/>
    </row>
    <row r="262" ht="15.75" customHeight="1" spans="1:5">
      <c r="A262" s="22"/>
      <c r="B262" s="25" t="s">
        <v>1916</v>
      </c>
      <c r="C262" s="28" t="s">
        <v>5755</v>
      </c>
      <c r="D262" s="27" t="s">
        <v>5520</v>
      </c>
      <c r="E262" s="22"/>
    </row>
    <row r="263" ht="15.75" customHeight="1" spans="1:5">
      <c r="A263" s="22"/>
      <c r="B263" s="25" t="s">
        <v>1918</v>
      </c>
      <c r="C263" s="28" t="s">
        <v>5756</v>
      </c>
      <c r="D263" s="27" t="s">
        <v>5520</v>
      </c>
      <c r="E263" s="22" t="s">
        <v>430</v>
      </c>
    </row>
    <row r="264" ht="15.75" customHeight="1" spans="1:5">
      <c r="A264" s="22"/>
      <c r="B264" s="25" t="s">
        <v>1920</v>
      </c>
      <c r="C264" s="28" t="s">
        <v>5757</v>
      </c>
      <c r="D264" s="27" t="s">
        <v>5520</v>
      </c>
      <c r="E264" s="22" t="s">
        <v>337</v>
      </c>
    </row>
    <row r="265" ht="15.75" customHeight="1" spans="1:5">
      <c r="A265" s="22"/>
      <c r="B265" s="25" t="s">
        <v>1922</v>
      </c>
      <c r="C265" s="28" t="s">
        <v>5758</v>
      </c>
      <c r="D265" s="27" t="s">
        <v>5520</v>
      </c>
      <c r="E265" s="22" t="s">
        <v>526</v>
      </c>
    </row>
    <row r="266" ht="15.75" customHeight="1" spans="1:5">
      <c r="A266" s="22"/>
      <c r="B266" s="25" t="s">
        <v>1924</v>
      </c>
      <c r="C266" s="28" t="s">
        <v>5759</v>
      </c>
      <c r="D266" s="27" t="s">
        <v>5520</v>
      </c>
      <c r="E266" s="22"/>
    </row>
    <row r="267" ht="15.75" customHeight="1" spans="1:5">
      <c r="A267" s="22"/>
      <c r="B267" s="25" t="s">
        <v>1926</v>
      </c>
      <c r="C267" s="28" t="s">
        <v>5760</v>
      </c>
      <c r="D267" s="27" t="s">
        <v>5520</v>
      </c>
      <c r="E267" s="22" t="s">
        <v>436</v>
      </c>
    </row>
    <row r="268" ht="15.75" customHeight="1" spans="1:5">
      <c r="A268" s="22"/>
      <c r="B268" s="25" t="s">
        <v>1928</v>
      </c>
      <c r="C268" s="28" t="s">
        <v>5761</v>
      </c>
      <c r="D268" s="27" t="s">
        <v>5520</v>
      </c>
      <c r="E268" s="22" t="s">
        <v>436</v>
      </c>
    </row>
    <row r="269" ht="15.75" customHeight="1" spans="1:5">
      <c r="A269" s="22"/>
      <c r="B269" s="25" t="s">
        <v>1930</v>
      </c>
      <c r="C269" s="28" t="s">
        <v>5762</v>
      </c>
      <c r="D269" s="27" t="s">
        <v>5520</v>
      </c>
      <c r="E269" s="22" t="s">
        <v>376</v>
      </c>
    </row>
    <row r="270" ht="15.75" customHeight="1" spans="1:5">
      <c r="A270" s="22"/>
      <c r="B270" s="25" t="s">
        <v>1932</v>
      </c>
      <c r="C270" s="28" t="s">
        <v>5760</v>
      </c>
      <c r="D270" s="27" t="s">
        <v>5520</v>
      </c>
      <c r="E270" s="22" t="s">
        <v>436</v>
      </c>
    </row>
    <row r="271" ht="15.75" customHeight="1" spans="1:5">
      <c r="A271" s="22"/>
      <c r="B271" s="25" t="s">
        <v>1934</v>
      </c>
      <c r="C271" s="28" t="s">
        <v>5763</v>
      </c>
      <c r="D271" s="27" t="s">
        <v>5520</v>
      </c>
      <c r="E271" s="22"/>
    </row>
    <row r="272" ht="15.75" customHeight="1" spans="1:5">
      <c r="A272" s="22"/>
      <c r="B272" s="25" t="s">
        <v>1936</v>
      </c>
      <c r="C272" s="28" t="s">
        <v>5764</v>
      </c>
      <c r="D272" s="27" t="s">
        <v>5520</v>
      </c>
      <c r="E272" s="22" t="s">
        <v>436</v>
      </c>
    </row>
    <row r="273" ht="15.75" customHeight="1" spans="1:5">
      <c r="A273" s="22"/>
      <c r="B273" s="25" t="s">
        <v>1938</v>
      </c>
      <c r="C273" s="28" t="s">
        <v>5765</v>
      </c>
      <c r="D273" s="27" t="s">
        <v>5520</v>
      </c>
      <c r="E273" s="22" t="s">
        <v>436</v>
      </c>
    </row>
    <row r="274" ht="15.75" customHeight="1" spans="1:5">
      <c r="A274" s="22"/>
      <c r="B274" s="25" t="s">
        <v>1940</v>
      </c>
      <c r="C274" s="28" t="s">
        <v>5766</v>
      </c>
      <c r="D274" s="27" t="s">
        <v>5520</v>
      </c>
      <c r="E274" s="22" t="s">
        <v>436</v>
      </c>
    </row>
    <row r="275" ht="15.75" customHeight="1" spans="1:5">
      <c r="A275" s="22"/>
      <c r="B275" s="25" t="s">
        <v>1942</v>
      </c>
      <c r="C275" s="28" t="s">
        <v>5767</v>
      </c>
      <c r="D275" s="27" t="s">
        <v>5520</v>
      </c>
      <c r="E275" s="22"/>
    </row>
    <row r="276" ht="15.75" customHeight="1" spans="1:5">
      <c r="A276" s="22"/>
      <c r="B276" s="25" t="s">
        <v>1944</v>
      </c>
      <c r="C276" s="28" t="s">
        <v>5768</v>
      </c>
      <c r="D276" s="27" t="s">
        <v>5520</v>
      </c>
      <c r="E276" s="22"/>
    </row>
    <row r="277" ht="15.75" customHeight="1" spans="1:5">
      <c r="A277" s="22"/>
      <c r="B277" s="25" t="s">
        <v>1946</v>
      </c>
      <c r="C277" s="28" t="s">
        <v>5768</v>
      </c>
      <c r="D277" s="27" t="s">
        <v>5520</v>
      </c>
      <c r="E277" s="22"/>
    </row>
    <row r="278" ht="15.75" customHeight="1" spans="1:5">
      <c r="A278" s="22"/>
      <c r="B278" s="25" t="s">
        <v>1948</v>
      </c>
      <c r="C278" s="28" t="s">
        <v>5769</v>
      </c>
      <c r="D278" s="27" t="s">
        <v>5520</v>
      </c>
      <c r="E278" s="22" t="s">
        <v>376</v>
      </c>
    </row>
    <row r="279" ht="15.75" customHeight="1" spans="1:5">
      <c r="A279" s="22"/>
      <c r="B279" s="25" t="s">
        <v>1950</v>
      </c>
      <c r="C279" s="28" t="s">
        <v>5770</v>
      </c>
      <c r="D279" s="27" t="s">
        <v>5520</v>
      </c>
      <c r="E279" s="22" t="s">
        <v>534</v>
      </c>
    </row>
    <row r="280" ht="15.75" customHeight="1" spans="1:5">
      <c r="A280" s="22"/>
      <c r="B280" s="25" t="s">
        <v>1952</v>
      </c>
      <c r="C280" s="28" t="s">
        <v>5771</v>
      </c>
      <c r="D280" s="27" t="s">
        <v>5520</v>
      </c>
      <c r="E280" s="22"/>
    </row>
    <row r="281" ht="15.75" customHeight="1" spans="1:5">
      <c r="A281" s="22"/>
      <c r="B281" s="25" t="s">
        <v>1954</v>
      </c>
      <c r="C281" s="28" t="s">
        <v>5772</v>
      </c>
      <c r="D281" s="27" t="s">
        <v>5520</v>
      </c>
      <c r="E281" s="22" t="s">
        <v>366</v>
      </c>
    </row>
    <row r="282" ht="15.75" customHeight="1" spans="1:5">
      <c r="A282" s="22"/>
      <c r="B282" s="25" t="s">
        <v>1956</v>
      </c>
      <c r="C282" s="28" t="s">
        <v>5773</v>
      </c>
      <c r="D282" s="27" t="s">
        <v>5520</v>
      </c>
      <c r="E282" s="22"/>
    </row>
    <row r="283" ht="15.75" customHeight="1" spans="1:5">
      <c r="A283" s="22"/>
      <c r="B283" s="25" t="s">
        <v>1958</v>
      </c>
      <c r="C283" s="28" t="s">
        <v>5774</v>
      </c>
      <c r="D283" s="27" t="s">
        <v>5520</v>
      </c>
      <c r="E283" s="22" t="s">
        <v>452</v>
      </c>
    </row>
    <row r="284" ht="15.75" customHeight="1" spans="1:5">
      <c r="A284" s="22"/>
      <c r="B284" s="25" t="s">
        <v>1960</v>
      </c>
      <c r="C284" s="28" t="s">
        <v>5775</v>
      </c>
      <c r="D284" s="27" t="s">
        <v>5520</v>
      </c>
      <c r="E284" s="22"/>
    </row>
    <row r="285" ht="15.75" customHeight="1" spans="1:5">
      <c r="A285" s="22"/>
      <c r="B285" s="25" t="s">
        <v>1962</v>
      </c>
      <c r="C285" s="28" t="s">
        <v>5776</v>
      </c>
      <c r="D285" s="27" t="s">
        <v>5520</v>
      </c>
      <c r="E285" s="22" t="s">
        <v>468</v>
      </c>
    </row>
    <row r="286" ht="15.75" customHeight="1" spans="1:5">
      <c r="A286" s="22"/>
      <c r="B286" s="25" t="s">
        <v>1964</v>
      </c>
      <c r="C286" s="28" t="s">
        <v>5777</v>
      </c>
      <c r="D286" s="27" t="s">
        <v>5520</v>
      </c>
      <c r="E286" s="22" t="s">
        <v>436</v>
      </c>
    </row>
    <row r="287" ht="15.75" customHeight="1" spans="1:5">
      <c r="A287" s="22"/>
      <c r="B287" s="25" t="s">
        <v>1966</v>
      </c>
      <c r="C287" s="28" t="s">
        <v>5778</v>
      </c>
      <c r="D287" s="27" t="s">
        <v>5520</v>
      </c>
      <c r="E287" s="22"/>
    </row>
    <row r="288" ht="15.75" customHeight="1" spans="1:5">
      <c r="A288" s="22"/>
      <c r="B288" s="25" t="s">
        <v>1968</v>
      </c>
      <c r="C288" s="28" t="s">
        <v>5779</v>
      </c>
      <c r="D288" s="27" t="s">
        <v>5520</v>
      </c>
      <c r="E288" s="22" t="s">
        <v>436</v>
      </c>
    </row>
    <row r="289" ht="15.75" customHeight="1" spans="1:5">
      <c r="A289" s="22"/>
      <c r="B289" s="25" t="s">
        <v>1970</v>
      </c>
      <c r="C289" s="28" t="s">
        <v>5780</v>
      </c>
      <c r="D289" s="27" t="s">
        <v>5520</v>
      </c>
      <c r="E289" s="22" t="s">
        <v>492</v>
      </c>
    </row>
    <row r="290" ht="15.75" customHeight="1" spans="1:5">
      <c r="A290" s="22"/>
      <c r="B290" s="25" t="s">
        <v>1972</v>
      </c>
      <c r="C290" s="28" t="s">
        <v>5781</v>
      </c>
      <c r="D290" s="27" t="s">
        <v>5520</v>
      </c>
      <c r="E290" s="22"/>
    </row>
    <row r="291" ht="15.75" customHeight="1" spans="1:5">
      <c r="A291" s="22"/>
      <c r="B291" s="25" t="s">
        <v>1974</v>
      </c>
      <c r="C291" s="28" t="s">
        <v>5782</v>
      </c>
      <c r="D291" s="27" t="s">
        <v>5520</v>
      </c>
      <c r="E291" s="22" t="s">
        <v>337</v>
      </c>
    </row>
    <row r="292" ht="15.75" customHeight="1" spans="1:5">
      <c r="A292" s="22"/>
      <c r="B292" s="25" t="s">
        <v>1976</v>
      </c>
      <c r="C292" s="28" t="s">
        <v>5783</v>
      </c>
      <c r="D292" s="27" t="s">
        <v>5520</v>
      </c>
      <c r="E292" s="22" t="s">
        <v>376</v>
      </c>
    </row>
    <row r="293" ht="15.75" customHeight="1" spans="1:5">
      <c r="A293" s="22"/>
      <c r="B293" s="25" t="s">
        <v>1978</v>
      </c>
      <c r="C293" s="28" t="s">
        <v>5784</v>
      </c>
      <c r="D293" s="27" t="s">
        <v>5520</v>
      </c>
      <c r="E293" s="22"/>
    </row>
    <row r="294" ht="15.75" customHeight="1" spans="1:5">
      <c r="A294" s="22"/>
      <c r="B294" s="25" t="s">
        <v>1980</v>
      </c>
      <c r="C294" s="28" t="s">
        <v>5785</v>
      </c>
      <c r="D294" s="27" t="s">
        <v>5520</v>
      </c>
      <c r="E294" s="22" t="s">
        <v>408</v>
      </c>
    </row>
    <row r="295" ht="15.75" customHeight="1" spans="1:5">
      <c r="A295" s="22"/>
      <c r="B295" s="25" t="s">
        <v>1982</v>
      </c>
      <c r="C295" s="28" t="s">
        <v>5786</v>
      </c>
      <c r="D295" s="27" t="s">
        <v>5520</v>
      </c>
      <c r="E295" s="22" t="s">
        <v>513</v>
      </c>
    </row>
    <row r="296" ht="15.75" customHeight="1" spans="1:5">
      <c r="A296" s="22"/>
      <c r="B296" s="25" t="s">
        <v>1984</v>
      </c>
      <c r="C296" s="28" t="s">
        <v>5787</v>
      </c>
      <c r="D296" s="27" t="s">
        <v>5520</v>
      </c>
      <c r="E296" s="22"/>
    </row>
    <row r="297" ht="15.75" customHeight="1" spans="1:5">
      <c r="A297" s="22"/>
      <c r="B297" s="25" t="s">
        <v>1986</v>
      </c>
      <c r="C297" s="28" t="s">
        <v>5788</v>
      </c>
      <c r="D297" s="27" t="s">
        <v>5520</v>
      </c>
      <c r="E297" s="22" t="s">
        <v>436</v>
      </c>
    </row>
    <row r="298" ht="15.75" customHeight="1" spans="1:5">
      <c r="A298" s="22"/>
      <c r="B298" s="25" t="s">
        <v>1988</v>
      </c>
      <c r="C298" s="28" t="s">
        <v>5789</v>
      </c>
      <c r="D298" s="27" t="s">
        <v>5520</v>
      </c>
      <c r="E298" s="22" t="s">
        <v>549</v>
      </c>
    </row>
    <row r="299" ht="15.75" customHeight="1" spans="1:5">
      <c r="A299" s="22"/>
      <c r="B299" s="25" t="s">
        <v>1990</v>
      </c>
      <c r="C299" s="28" t="s">
        <v>5790</v>
      </c>
      <c r="D299" s="27" t="s">
        <v>5520</v>
      </c>
      <c r="E299" s="22"/>
    </row>
    <row r="300" ht="15.75" customHeight="1" spans="1:5">
      <c r="A300" s="22"/>
      <c r="B300" s="25" t="s">
        <v>1992</v>
      </c>
      <c r="C300" s="28" t="s">
        <v>5791</v>
      </c>
      <c r="D300" s="27" t="s">
        <v>5520</v>
      </c>
      <c r="E300" s="22" t="s">
        <v>452</v>
      </c>
    </row>
    <row r="301" ht="15.75" customHeight="1" spans="1:5">
      <c r="A301" s="22"/>
      <c r="B301" s="25" t="s">
        <v>1994</v>
      </c>
      <c r="C301" s="28" t="s">
        <v>5792</v>
      </c>
      <c r="D301" s="27" t="s">
        <v>5520</v>
      </c>
      <c r="E301" s="22"/>
    </row>
    <row r="302" ht="15.75" customHeight="1" spans="1:5">
      <c r="A302" s="22"/>
      <c r="B302" s="25" t="s">
        <v>1996</v>
      </c>
      <c r="C302" s="28" t="s">
        <v>5793</v>
      </c>
      <c r="D302" s="27" t="s">
        <v>5520</v>
      </c>
      <c r="E302" s="22"/>
    </row>
    <row r="303" ht="15.75" customHeight="1" spans="1:5">
      <c r="A303" s="22"/>
      <c r="B303" s="25" t="s">
        <v>1998</v>
      </c>
      <c r="C303" s="28" t="s">
        <v>5794</v>
      </c>
      <c r="D303" s="27" t="s">
        <v>5520</v>
      </c>
      <c r="E303" s="22" t="s">
        <v>513</v>
      </c>
    </row>
    <row r="304" ht="15.75" customHeight="1" spans="1:5">
      <c r="A304" s="22"/>
      <c r="B304" s="25" t="s">
        <v>2000</v>
      </c>
      <c r="C304" s="28" t="s">
        <v>5795</v>
      </c>
      <c r="D304" s="27" t="s">
        <v>5520</v>
      </c>
      <c r="E304" s="22" t="s">
        <v>416</v>
      </c>
    </row>
    <row r="305" ht="15.75" customHeight="1" spans="1:5">
      <c r="A305" s="22"/>
      <c r="B305" s="25" t="s">
        <v>2002</v>
      </c>
      <c r="C305" s="28" t="s">
        <v>5796</v>
      </c>
      <c r="D305" s="27" t="s">
        <v>5520</v>
      </c>
      <c r="E305" s="22" t="s">
        <v>416</v>
      </c>
    </row>
    <row r="306" ht="15.75" customHeight="1" spans="1:5">
      <c r="A306" s="22"/>
      <c r="B306" s="25" t="s">
        <v>2004</v>
      </c>
      <c r="C306" s="28" t="s">
        <v>5797</v>
      </c>
      <c r="D306" s="27" t="s">
        <v>5520</v>
      </c>
      <c r="E306" s="22" t="s">
        <v>5710</v>
      </c>
    </row>
    <row r="307" ht="15.75" customHeight="1" spans="1:5">
      <c r="A307" s="22"/>
      <c r="B307" s="25" t="s">
        <v>2006</v>
      </c>
      <c r="C307" s="28" t="s">
        <v>5798</v>
      </c>
      <c r="D307" s="27" t="s">
        <v>5520</v>
      </c>
      <c r="E307" s="22" t="s">
        <v>384</v>
      </c>
    </row>
    <row r="308" ht="15.75" customHeight="1" spans="1:5">
      <c r="A308" s="22"/>
      <c r="B308" s="25" t="s">
        <v>2008</v>
      </c>
      <c r="C308" s="28" t="s">
        <v>5799</v>
      </c>
      <c r="D308" s="27" t="s">
        <v>5520</v>
      </c>
      <c r="E308" s="22"/>
    </row>
    <row r="309" ht="15.75" customHeight="1" spans="1:5">
      <c r="A309" s="22"/>
      <c r="B309" s="25" t="s">
        <v>2010</v>
      </c>
      <c r="C309" s="28" t="s">
        <v>5800</v>
      </c>
      <c r="D309" s="27" t="s">
        <v>5520</v>
      </c>
      <c r="E309" s="22"/>
    </row>
    <row r="310" ht="15.75" customHeight="1" spans="1:5">
      <c r="A310" s="22"/>
      <c r="B310" s="25" t="s">
        <v>2012</v>
      </c>
      <c r="C310" s="28" t="s">
        <v>5801</v>
      </c>
      <c r="D310" s="27" t="s">
        <v>5520</v>
      </c>
      <c r="E310" s="22"/>
    </row>
    <row r="311" ht="15.75" customHeight="1" spans="1:5">
      <c r="A311" s="22"/>
      <c r="B311" s="25" t="s">
        <v>2014</v>
      </c>
      <c r="C311" s="28" t="s">
        <v>5802</v>
      </c>
      <c r="D311" s="27" t="s">
        <v>5520</v>
      </c>
      <c r="E311" s="22" t="s">
        <v>549</v>
      </c>
    </row>
    <row r="312" ht="15.75" customHeight="1" spans="1:5">
      <c r="A312" s="22"/>
      <c r="B312" s="25" t="s">
        <v>2016</v>
      </c>
      <c r="C312" s="28" t="s">
        <v>5803</v>
      </c>
      <c r="D312" s="27" t="s">
        <v>5520</v>
      </c>
      <c r="E312" s="22"/>
    </row>
    <row r="313" ht="15.75" customHeight="1" spans="1:5">
      <c r="A313" s="22"/>
      <c r="B313" s="25" t="s">
        <v>2018</v>
      </c>
      <c r="C313" s="28" t="s">
        <v>5804</v>
      </c>
      <c r="D313" s="27" t="s">
        <v>5520</v>
      </c>
      <c r="E313" s="22"/>
    </row>
    <row r="314" ht="15.75" customHeight="1" spans="1:5">
      <c r="A314" s="22"/>
      <c r="B314" s="25" t="s">
        <v>2020</v>
      </c>
      <c r="C314" s="28" t="s">
        <v>5805</v>
      </c>
      <c r="D314" s="27" t="s">
        <v>5520</v>
      </c>
      <c r="E314" s="22" t="s">
        <v>549</v>
      </c>
    </row>
    <row r="315" ht="15.75" customHeight="1" spans="1:5">
      <c r="A315" s="22"/>
      <c r="B315" s="25" t="s">
        <v>2022</v>
      </c>
      <c r="C315" s="28" t="s">
        <v>5806</v>
      </c>
      <c r="D315" s="27" t="s">
        <v>5520</v>
      </c>
      <c r="E315" s="22" t="s">
        <v>325</v>
      </c>
    </row>
    <row r="316" ht="15.75" customHeight="1" spans="1:5">
      <c r="A316" s="22"/>
      <c r="B316" s="25" t="s">
        <v>2024</v>
      </c>
      <c r="C316" s="28" t="s">
        <v>5807</v>
      </c>
      <c r="D316" s="27" t="s">
        <v>5520</v>
      </c>
      <c r="E316" s="22" t="s">
        <v>325</v>
      </c>
    </row>
    <row r="317" ht="15.75" customHeight="1" spans="1:5">
      <c r="A317" s="22"/>
      <c r="B317" s="25" t="s">
        <v>2026</v>
      </c>
      <c r="C317" s="28" t="s">
        <v>5808</v>
      </c>
      <c r="D317" s="27" t="s">
        <v>5520</v>
      </c>
      <c r="E317" s="22"/>
    </row>
    <row r="318" ht="15.75" customHeight="1" spans="1:5">
      <c r="A318" s="22"/>
      <c r="B318" s="25" t="s">
        <v>2028</v>
      </c>
      <c r="C318" s="28" t="s">
        <v>5809</v>
      </c>
      <c r="D318" s="27" t="s">
        <v>5520</v>
      </c>
      <c r="E318" s="22"/>
    </row>
    <row r="319" ht="15.75" customHeight="1" spans="1:5">
      <c r="A319" s="22"/>
      <c r="B319" s="25" t="s">
        <v>2030</v>
      </c>
      <c r="C319" s="28" t="s">
        <v>5810</v>
      </c>
      <c r="D319" s="27" t="s">
        <v>5520</v>
      </c>
      <c r="E319" s="22" t="s">
        <v>534</v>
      </c>
    </row>
    <row r="320" ht="15.75" customHeight="1" spans="1:5">
      <c r="A320" s="22"/>
      <c r="B320" s="25" t="s">
        <v>2032</v>
      </c>
      <c r="C320" s="28" t="s">
        <v>5811</v>
      </c>
      <c r="D320" s="27" t="s">
        <v>5520</v>
      </c>
      <c r="E320" s="22" t="s">
        <v>342</v>
      </c>
    </row>
    <row r="321" ht="15.75" customHeight="1" spans="1:5">
      <c r="A321" s="22"/>
      <c r="B321" s="25" t="s">
        <v>2034</v>
      </c>
      <c r="C321" s="28" t="s">
        <v>5812</v>
      </c>
      <c r="D321" s="27" t="s">
        <v>5520</v>
      </c>
      <c r="E321" s="22" t="s">
        <v>376</v>
      </c>
    </row>
    <row r="322" ht="15.75" customHeight="1" spans="1:5">
      <c r="A322" s="22"/>
      <c r="B322" s="25" t="s">
        <v>2036</v>
      </c>
      <c r="C322" s="28" t="s">
        <v>5813</v>
      </c>
      <c r="D322" s="27" t="s">
        <v>5520</v>
      </c>
      <c r="E322" s="22"/>
    </row>
    <row r="323" ht="15.75" customHeight="1" spans="1:5">
      <c r="A323" s="22"/>
      <c r="B323" s="25" t="s">
        <v>2038</v>
      </c>
      <c r="C323" s="28" t="s">
        <v>5814</v>
      </c>
      <c r="D323" s="27" t="s">
        <v>5520</v>
      </c>
      <c r="E323" s="22"/>
    </row>
    <row r="324" ht="15.75" customHeight="1" spans="1:5">
      <c r="A324" s="22"/>
      <c r="B324" s="25" t="s">
        <v>2040</v>
      </c>
      <c r="C324" s="28" t="s">
        <v>5814</v>
      </c>
      <c r="D324" s="27" t="s">
        <v>5520</v>
      </c>
      <c r="E324" s="22"/>
    </row>
    <row r="325" ht="15.75" customHeight="1" spans="1:5">
      <c r="A325" s="22"/>
      <c r="B325" s="25" t="s">
        <v>2042</v>
      </c>
      <c r="C325" s="28" t="s">
        <v>5814</v>
      </c>
      <c r="D325" s="27" t="s">
        <v>5520</v>
      </c>
      <c r="E325" s="22" t="s">
        <v>337</v>
      </c>
    </row>
    <row r="326" ht="15.75" customHeight="1" spans="1:5">
      <c r="A326" s="22"/>
      <c r="B326" s="25" t="s">
        <v>2044</v>
      </c>
      <c r="C326" s="28" t="s">
        <v>5815</v>
      </c>
      <c r="D326" s="27" t="s">
        <v>5520</v>
      </c>
      <c r="E326" s="22"/>
    </row>
    <row r="327" ht="15.75" customHeight="1" spans="1:5">
      <c r="A327" s="22"/>
      <c r="B327" s="25" t="s">
        <v>2046</v>
      </c>
      <c r="C327" s="28" t="s">
        <v>5816</v>
      </c>
      <c r="D327" s="27" t="s">
        <v>5520</v>
      </c>
      <c r="E327" s="22"/>
    </row>
    <row r="328" ht="15.75" customHeight="1" spans="1:5">
      <c r="A328" s="22"/>
      <c r="B328" s="25" t="s">
        <v>2048</v>
      </c>
      <c r="C328" s="28" t="s">
        <v>5817</v>
      </c>
      <c r="D328" s="27" t="s">
        <v>5520</v>
      </c>
      <c r="E328" s="22" t="s">
        <v>342</v>
      </c>
    </row>
    <row r="329" ht="15.75" customHeight="1" spans="1:5">
      <c r="A329" s="22"/>
      <c r="B329" s="25" t="s">
        <v>2050</v>
      </c>
      <c r="C329" s="28" t="s">
        <v>5818</v>
      </c>
      <c r="D329" s="27" t="s">
        <v>5520</v>
      </c>
      <c r="E329" s="22"/>
    </row>
    <row r="330" ht="15.75" customHeight="1" spans="1:5">
      <c r="A330" s="22"/>
      <c r="B330" s="25" t="s">
        <v>2052</v>
      </c>
      <c r="C330" s="28" t="s">
        <v>5819</v>
      </c>
      <c r="D330" s="27" t="s">
        <v>5520</v>
      </c>
      <c r="E330" s="22"/>
    </row>
    <row r="331" ht="15.75" customHeight="1" spans="1:5">
      <c r="A331" s="22"/>
      <c r="B331" s="25" t="s">
        <v>2054</v>
      </c>
      <c r="C331" s="28" t="s">
        <v>5820</v>
      </c>
      <c r="D331" s="27" t="s">
        <v>5520</v>
      </c>
      <c r="E331" s="22" t="s">
        <v>513</v>
      </c>
    </row>
    <row r="332" ht="15.75" customHeight="1" spans="1:5">
      <c r="A332" s="22"/>
      <c r="B332" s="25" t="s">
        <v>2056</v>
      </c>
      <c r="C332" s="28" t="s">
        <v>5821</v>
      </c>
      <c r="D332" s="27" t="s">
        <v>5520</v>
      </c>
      <c r="E332" s="22" t="s">
        <v>549</v>
      </c>
    </row>
    <row r="333" ht="15.75" customHeight="1" spans="1:5">
      <c r="A333" s="22"/>
      <c r="B333" s="25" t="s">
        <v>2058</v>
      </c>
      <c r="C333" s="28" t="s">
        <v>5822</v>
      </c>
      <c r="D333" s="27" t="s">
        <v>5520</v>
      </c>
      <c r="E333" s="22" t="s">
        <v>376</v>
      </c>
    </row>
    <row r="334" ht="15.75" customHeight="1" spans="1:5">
      <c r="A334" s="22"/>
      <c r="B334" s="25" t="s">
        <v>2060</v>
      </c>
      <c r="C334" s="28" t="s">
        <v>5823</v>
      </c>
      <c r="D334" s="27" t="s">
        <v>5520</v>
      </c>
      <c r="E334" s="22"/>
    </row>
    <row r="335" ht="15.75" customHeight="1" spans="1:5">
      <c r="A335" s="22"/>
      <c r="B335" s="25" t="s">
        <v>2062</v>
      </c>
      <c r="C335" s="28" t="s">
        <v>5824</v>
      </c>
      <c r="D335" s="27" t="s">
        <v>5520</v>
      </c>
      <c r="E335" s="22"/>
    </row>
    <row r="336" ht="15.75" customHeight="1" spans="1:5">
      <c r="A336" s="22"/>
      <c r="B336" s="25" t="s">
        <v>2064</v>
      </c>
      <c r="C336" s="28" t="s">
        <v>5825</v>
      </c>
      <c r="D336" s="27" t="s">
        <v>5520</v>
      </c>
      <c r="E336" s="22"/>
    </row>
    <row r="337" ht="15.75" customHeight="1" spans="1:5">
      <c r="A337" s="22"/>
      <c r="B337" s="25" t="s">
        <v>2066</v>
      </c>
      <c r="C337" s="28" t="s">
        <v>5826</v>
      </c>
      <c r="D337" s="27" t="s">
        <v>5520</v>
      </c>
      <c r="E337" s="22"/>
    </row>
    <row r="338" ht="15.75" customHeight="1" spans="1:5">
      <c r="A338" s="22"/>
      <c r="B338" s="25" t="s">
        <v>2068</v>
      </c>
      <c r="C338" s="28" t="s">
        <v>5827</v>
      </c>
      <c r="D338" s="27" t="s">
        <v>5520</v>
      </c>
      <c r="E338" s="22"/>
    </row>
    <row r="339" ht="15.75" customHeight="1" spans="1:5">
      <c r="A339" s="22"/>
      <c r="B339" s="25" t="s">
        <v>2070</v>
      </c>
      <c r="C339" s="28" t="s">
        <v>5828</v>
      </c>
      <c r="D339" s="27" t="s">
        <v>5520</v>
      </c>
      <c r="E339" s="22"/>
    </row>
    <row r="340" ht="15.75" customHeight="1" spans="1:5">
      <c r="A340" s="22"/>
      <c r="B340" s="25" t="s">
        <v>2072</v>
      </c>
      <c r="C340" s="28" t="s">
        <v>5829</v>
      </c>
      <c r="D340" s="27" t="s">
        <v>5520</v>
      </c>
      <c r="E340" s="22"/>
    </row>
    <row r="341" ht="15.75" customHeight="1" spans="1:5">
      <c r="A341" s="22"/>
      <c r="B341" s="25" t="s">
        <v>2074</v>
      </c>
      <c r="C341" s="28" t="s">
        <v>5830</v>
      </c>
      <c r="D341" s="27" t="s">
        <v>5520</v>
      </c>
      <c r="E341" s="22"/>
    </row>
    <row r="342" ht="15.75" customHeight="1" spans="1:5">
      <c r="A342" s="22"/>
      <c r="B342" s="25" t="s">
        <v>2076</v>
      </c>
      <c r="C342" s="28" t="s">
        <v>5831</v>
      </c>
      <c r="D342" s="27" t="s">
        <v>5520</v>
      </c>
      <c r="E342" s="22"/>
    </row>
    <row r="343" ht="15.75" customHeight="1" spans="1:5">
      <c r="A343" s="22"/>
      <c r="B343" s="25" t="s">
        <v>2078</v>
      </c>
      <c r="C343" s="28" t="s">
        <v>5832</v>
      </c>
      <c r="D343" s="27" t="s">
        <v>5520</v>
      </c>
      <c r="E343" s="22"/>
    </row>
    <row r="344" ht="15.75" customHeight="1" spans="1:5">
      <c r="A344" s="22"/>
      <c r="B344" s="25" t="s">
        <v>2080</v>
      </c>
      <c r="C344" s="28" t="s">
        <v>5833</v>
      </c>
      <c r="D344" s="27" t="s">
        <v>5520</v>
      </c>
      <c r="E344" s="22"/>
    </row>
    <row r="345" ht="15.75" customHeight="1" spans="1:5">
      <c r="A345" s="22"/>
      <c r="B345" s="25" t="s">
        <v>2082</v>
      </c>
      <c r="C345" s="28" t="s">
        <v>5834</v>
      </c>
      <c r="D345" s="27" t="s">
        <v>5520</v>
      </c>
      <c r="E345" s="22"/>
    </row>
    <row r="346" ht="15.75" customHeight="1" spans="1:5">
      <c r="A346" s="22"/>
      <c r="B346" s="25" t="s">
        <v>2084</v>
      </c>
      <c r="C346" s="28" t="s">
        <v>5835</v>
      </c>
      <c r="D346" s="27" t="s">
        <v>5520</v>
      </c>
      <c r="E346" s="22"/>
    </row>
    <row r="347" ht="15.75" customHeight="1" spans="1:5">
      <c r="A347" s="22"/>
      <c r="B347" s="25" t="s">
        <v>2086</v>
      </c>
      <c r="C347" s="28" t="s">
        <v>5836</v>
      </c>
      <c r="D347" s="27" t="s">
        <v>5520</v>
      </c>
      <c r="E347" s="22"/>
    </row>
    <row r="348" ht="15.75" customHeight="1" spans="1:5">
      <c r="A348" s="22"/>
      <c r="B348" s="25" t="s">
        <v>2088</v>
      </c>
      <c r="C348" s="28" t="s">
        <v>5837</v>
      </c>
      <c r="D348" s="27" t="s">
        <v>5520</v>
      </c>
      <c r="E348" s="22"/>
    </row>
    <row r="349" ht="15.75" customHeight="1" spans="1:5">
      <c r="A349" s="22"/>
      <c r="B349" s="25" t="s">
        <v>2090</v>
      </c>
      <c r="C349" s="28" t="s">
        <v>5838</v>
      </c>
      <c r="D349" s="27" t="s">
        <v>5520</v>
      </c>
      <c r="E349" s="22" t="s">
        <v>376</v>
      </c>
    </row>
    <row r="350" ht="15.75" customHeight="1" spans="1:5">
      <c r="A350" s="22"/>
      <c r="B350" s="25" t="s">
        <v>2092</v>
      </c>
      <c r="C350" s="28" t="s">
        <v>5839</v>
      </c>
      <c r="D350" s="27" t="s">
        <v>5520</v>
      </c>
      <c r="E350" s="22"/>
    </row>
    <row r="351" ht="15.75" customHeight="1" spans="1:5">
      <c r="A351" s="22"/>
      <c r="B351" s="25" t="s">
        <v>2094</v>
      </c>
      <c r="C351" s="28" t="s">
        <v>5840</v>
      </c>
      <c r="D351" s="27" t="s">
        <v>5520</v>
      </c>
      <c r="E351" s="22" t="s">
        <v>452</v>
      </c>
    </row>
    <row r="352" ht="15.75" customHeight="1" spans="1:5">
      <c r="A352" s="22"/>
      <c r="B352" s="25" t="s">
        <v>2096</v>
      </c>
      <c r="C352" s="28" t="s">
        <v>5841</v>
      </c>
      <c r="D352" s="27" t="s">
        <v>5520</v>
      </c>
      <c r="E352" s="22" t="s">
        <v>384</v>
      </c>
    </row>
    <row r="353" ht="15.75" customHeight="1" spans="1:5">
      <c r="A353" s="22"/>
      <c r="B353" s="25" t="s">
        <v>2098</v>
      </c>
      <c r="C353" s="28" t="s">
        <v>5842</v>
      </c>
      <c r="D353" s="27" t="s">
        <v>5520</v>
      </c>
      <c r="E353" s="22" t="s">
        <v>337</v>
      </c>
    </row>
    <row r="354" ht="15.75" customHeight="1" spans="1:5">
      <c r="A354" s="22"/>
      <c r="B354" s="25" t="s">
        <v>2100</v>
      </c>
      <c r="C354" s="28" t="s">
        <v>5843</v>
      </c>
      <c r="D354" s="27" t="s">
        <v>5520</v>
      </c>
      <c r="E354" s="22"/>
    </row>
    <row r="355" ht="15.75" customHeight="1" spans="1:5">
      <c r="A355" s="22"/>
      <c r="B355" s="25" t="s">
        <v>2102</v>
      </c>
      <c r="C355" s="28" t="s">
        <v>5844</v>
      </c>
      <c r="D355" s="27" t="s">
        <v>5520</v>
      </c>
      <c r="E355" s="22" t="s">
        <v>376</v>
      </c>
    </row>
    <row r="356" ht="15.75" customHeight="1" spans="1:5">
      <c r="A356" s="22"/>
      <c r="B356" s="25" t="s">
        <v>2104</v>
      </c>
      <c r="C356" s="28" t="s">
        <v>5845</v>
      </c>
      <c r="D356" s="27" t="s">
        <v>5520</v>
      </c>
      <c r="E356" s="22" t="s">
        <v>534</v>
      </c>
    </row>
    <row r="357" ht="15.75" customHeight="1" spans="1:5">
      <c r="A357" s="22"/>
      <c r="B357" s="25" t="s">
        <v>2106</v>
      </c>
      <c r="C357" s="28" t="s">
        <v>5846</v>
      </c>
      <c r="D357" s="27" t="s">
        <v>5520</v>
      </c>
      <c r="E357" s="22" t="s">
        <v>549</v>
      </c>
    </row>
    <row r="358" ht="15.75" customHeight="1" spans="1:5">
      <c r="A358" s="22"/>
      <c r="B358" s="25" t="s">
        <v>2108</v>
      </c>
      <c r="C358" s="28" t="s">
        <v>5847</v>
      </c>
      <c r="D358" s="27" t="s">
        <v>5520</v>
      </c>
      <c r="E358" s="22" t="s">
        <v>337</v>
      </c>
    </row>
    <row r="359" ht="15.75" customHeight="1" spans="1:5">
      <c r="A359" s="22"/>
      <c r="B359" s="25" t="s">
        <v>2110</v>
      </c>
      <c r="C359" s="28" t="s">
        <v>5848</v>
      </c>
      <c r="D359" s="27" t="s">
        <v>5520</v>
      </c>
      <c r="E359" s="22" t="s">
        <v>337</v>
      </c>
    </row>
    <row r="360" ht="15.75" customHeight="1" spans="1:5">
      <c r="A360" s="22"/>
      <c r="B360" s="25" t="s">
        <v>2112</v>
      </c>
      <c r="C360" s="28" t="s">
        <v>5849</v>
      </c>
      <c r="D360" s="27" t="s">
        <v>5520</v>
      </c>
      <c r="E360" s="22" t="s">
        <v>325</v>
      </c>
    </row>
    <row r="361" ht="15.75" customHeight="1" spans="1:5">
      <c r="A361" s="22"/>
      <c r="B361" s="25" t="s">
        <v>2114</v>
      </c>
      <c r="C361" s="28" t="s">
        <v>5850</v>
      </c>
      <c r="D361" s="27" t="s">
        <v>5520</v>
      </c>
      <c r="E361" s="22"/>
    </row>
    <row r="362" ht="15.75" customHeight="1" spans="1:5">
      <c r="A362" s="22"/>
      <c r="B362" s="25" t="s">
        <v>2116</v>
      </c>
      <c r="C362" s="28" t="s">
        <v>5851</v>
      </c>
      <c r="D362" s="27" t="s">
        <v>5520</v>
      </c>
      <c r="E362" s="22" t="s">
        <v>376</v>
      </c>
    </row>
    <row r="363" ht="15.75" customHeight="1" spans="1:5">
      <c r="A363" s="22"/>
      <c r="B363" s="25" t="s">
        <v>2118</v>
      </c>
      <c r="C363" s="28" t="s">
        <v>5852</v>
      </c>
      <c r="D363" s="27" t="s">
        <v>5520</v>
      </c>
      <c r="E363" s="22" t="s">
        <v>376</v>
      </c>
    </row>
    <row r="364" ht="15.75" customHeight="1" spans="1:5">
      <c r="A364" s="22"/>
      <c r="B364" s="25" t="s">
        <v>2120</v>
      </c>
      <c r="C364" s="28" t="s">
        <v>5853</v>
      </c>
      <c r="D364" s="27" t="s">
        <v>5520</v>
      </c>
      <c r="E364" s="22" t="s">
        <v>376</v>
      </c>
    </row>
    <row r="365" ht="15.75" customHeight="1" spans="1:5">
      <c r="A365" s="22"/>
      <c r="B365" s="25" t="s">
        <v>2122</v>
      </c>
      <c r="C365" s="28" t="s">
        <v>5854</v>
      </c>
      <c r="D365" s="27" t="s">
        <v>5520</v>
      </c>
      <c r="E365" s="22"/>
    </row>
    <row r="366" ht="15.75" customHeight="1" spans="1:5">
      <c r="A366" s="22"/>
      <c r="B366" s="25" t="s">
        <v>2124</v>
      </c>
      <c r="C366" s="28" t="s">
        <v>5855</v>
      </c>
      <c r="D366" s="27" t="s">
        <v>5520</v>
      </c>
      <c r="E366" s="22"/>
    </row>
    <row r="367" ht="15.75" customHeight="1" spans="1:5">
      <c r="A367" s="22"/>
      <c r="B367" s="25" t="s">
        <v>2126</v>
      </c>
      <c r="C367" s="28" t="s">
        <v>5856</v>
      </c>
      <c r="D367" s="27" t="s">
        <v>5520</v>
      </c>
      <c r="E367" s="22"/>
    </row>
    <row r="368" ht="15.75" customHeight="1" spans="1:5">
      <c r="A368" s="22"/>
      <c r="B368" s="25" t="s">
        <v>2128</v>
      </c>
      <c r="C368" s="28" t="s">
        <v>5857</v>
      </c>
      <c r="D368" s="27" t="s">
        <v>5520</v>
      </c>
      <c r="E368" s="22" t="s">
        <v>376</v>
      </c>
    </row>
    <row r="369" ht="15.75" customHeight="1" spans="1:5">
      <c r="A369" s="22"/>
      <c r="B369" s="25" t="s">
        <v>2130</v>
      </c>
      <c r="C369" s="28" t="s">
        <v>371</v>
      </c>
      <c r="D369" s="27" t="s">
        <v>5520</v>
      </c>
      <c r="E369" s="22" t="s">
        <v>371</v>
      </c>
    </row>
    <row r="370" ht="15.75" customHeight="1" spans="1:5">
      <c r="A370" s="22"/>
      <c r="B370" s="25" t="s">
        <v>2132</v>
      </c>
      <c r="C370" s="28" t="s">
        <v>5858</v>
      </c>
      <c r="D370" s="27" t="s">
        <v>5520</v>
      </c>
      <c r="E370" s="22"/>
    </row>
    <row r="371" ht="15.75" customHeight="1" spans="1:5">
      <c r="A371" s="22"/>
      <c r="B371" s="25" t="s">
        <v>2134</v>
      </c>
      <c r="C371" s="28" t="s">
        <v>5859</v>
      </c>
      <c r="D371" s="27" t="s">
        <v>5520</v>
      </c>
      <c r="E371" s="22"/>
    </row>
    <row r="372" ht="15.75" customHeight="1" spans="1:5">
      <c r="A372" s="22"/>
      <c r="B372" s="25" t="s">
        <v>2136</v>
      </c>
      <c r="C372" s="28" t="s">
        <v>5860</v>
      </c>
      <c r="D372" s="27" t="s">
        <v>5520</v>
      </c>
      <c r="E372" s="22" t="s">
        <v>482</v>
      </c>
    </row>
    <row r="373" ht="15.75" customHeight="1" spans="1:5">
      <c r="A373" s="22"/>
      <c r="B373" s="25" t="s">
        <v>2138</v>
      </c>
      <c r="C373" s="28" t="s">
        <v>5861</v>
      </c>
      <c r="D373" s="27" t="s">
        <v>5520</v>
      </c>
      <c r="E373" s="22" t="s">
        <v>436</v>
      </c>
    </row>
    <row r="374" ht="15.75" customHeight="1" spans="1:5">
      <c r="A374" s="22"/>
      <c r="B374" s="25" t="s">
        <v>2140</v>
      </c>
      <c r="C374" s="28" t="s">
        <v>5862</v>
      </c>
      <c r="D374" s="27" t="s">
        <v>5520</v>
      </c>
      <c r="E374" s="22"/>
    </row>
    <row r="375" ht="15.75" customHeight="1" spans="1:5">
      <c r="A375" s="22"/>
      <c r="B375" s="25" t="s">
        <v>2142</v>
      </c>
      <c r="C375" s="28" t="s">
        <v>5863</v>
      </c>
      <c r="D375" s="27" t="s">
        <v>5520</v>
      </c>
      <c r="E375" s="22"/>
    </row>
    <row r="376" ht="15.75" customHeight="1" spans="1:5">
      <c r="A376" s="22"/>
      <c r="B376" s="25" t="s">
        <v>2144</v>
      </c>
      <c r="C376" s="28" t="s">
        <v>5864</v>
      </c>
      <c r="D376" s="27" t="s">
        <v>5520</v>
      </c>
      <c r="E376" s="22" t="s">
        <v>436</v>
      </c>
    </row>
    <row r="377" ht="15.75" customHeight="1" spans="1:5">
      <c r="A377" s="22"/>
      <c r="B377" s="25" t="s">
        <v>2146</v>
      </c>
      <c r="C377" s="28" t="s">
        <v>5865</v>
      </c>
      <c r="D377" s="27" t="s">
        <v>5520</v>
      </c>
      <c r="E377" s="22"/>
    </row>
    <row r="378" ht="15.75" customHeight="1" spans="1:5">
      <c r="A378" s="22"/>
      <c r="B378" s="25" t="s">
        <v>2148</v>
      </c>
      <c r="C378" s="28" t="s">
        <v>5866</v>
      </c>
      <c r="D378" s="27" t="s">
        <v>5520</v>
      </c>
      <c r="E378" s="22"/>
    </row>
    <row r="379" ht="15.75" customHeight="1" spans="1:5">
      <c r="A379" s="22"/>
      <c r="B379" s="25" t="s">
        <v>2150</v>
      </c>
      <c r="C379" s="28" t="s">
        <v>5867</v>
      </c>
      <c r="D379" s="27" t="s">
        <v>5520</v>
      </c>
      <c r="E379" s="22" t="s">
        <v>337</v>
      </c>
    </row>
    <row r="380" ht="15.75" customHeight="1" spans="1:5">
      <c r="A380" s="22"/>
      <c r="B380" s="25" t="s">
        <v>2152</v>
      </c>
      <c r="C380" s="28" t="s">
        <v>5868</v>
      </c>
      <c r="D380" s="27" t="s">
        <v>5520</v>
      </c>
      <c r="E380" s="22"/>
    </row>
    <row r="381" ht="15.75" customHeight="1" spans="1:5">
      <c r="A381" s="22"/>
      <c r="B381" s="25" t="s">
        <v>2154</v>
      </c>
      <c r="C381" s="28" t="s">
        <v>5869</v>
      </c>
      <c r="D381" s="27" t="s">
        <v>5520</v>
      </c>
      <c r="E381" s="22"/>
    </row>
    <row r="382" ht="15.75" customHeight="1" spans="1:5">
      <c r="A382" s="22"/>
      <c r="B382" s="25" t="s">
        <v>2156</v>
      </c>
      <c r="C382" s="28" t="s">
        <v>5532</v>
      </c>
      <c r="D382" s="27" t="s">
        <v>5520</v>
      </c>
      <c r="E382" s="22"/>
    </row>
    <row r="383" ht="15.75" customHeight="1" spans="1:5">
      <c r="A383" s="22"/>
      <c r="B383" s="25" t="s">
        <v>2158</v>
      </c>
      <c r="C383" s="28" t="s">
        <v>5870</v>
      </c>
      <c r="D383" s="27" t="s">
        <v>5520</v>
      </c>
      <c r="E383" s="22" t="s">
        <v>549</v>
      </c>
    </row>
    <row r="384" ht="15.75" customHeight="1" spans="1:5">
      <c r="A384" s="22"/>
      <c r="B384" s="25" t="s">
        <v>2160</v>
      </c>
      <c r="C384" s="28" t="s">
        <v>5871</v>
      </c>
      <c r="D384" s="27" t="s">
        <v>5520</v>
      </c>
      <c r="E384" s="22"/>
    </row>
    <row r="385" ht="15.75" customHeight="1" spans="1:5">
      <c r="A385" s="22"/>
      <c r="B385" s="25" t="s">
        <v>2162</v>
      </c>
      <c r="C385" s="28" t="s">
        <v>5872</v>
      </c>
      <c r="D385" s="27" t="s">
        <v>5520</v>
      </c>
      <c r="E385" s="22"/>
    </row>
    <row r="386" ht="15.75" customHeight="1" spans="1:5">
      <c r="A386" s="22"/>
      <c r="B386" s="25" t="s">
        <v>2164</v>
      </c>
      <c r="C386" s="28" t="s">
        <v>5873</v>
      </c>
      <c r="D386" s="27" t="s">
        <v>5520</v>
      </c>
      <c r="E386" s="22" t="s">
        <v>430</v>
      </c>
    </row>
    <row r="387" ht="15.75" customHeight="1" spans="1:5">
      <c r="A387" s="22"/>
      <c r="B387" s="25" t="s">
        <v>2166</v>
      </c>
      <c r="C387" s="28" t="s">
        <v>5874</v>
      </c>
      <c r="D387" s="27" t="s">
        <v>5520</v>
      </c>
      <c r="E387" s="22"/>
    </row>
    <row r="388" ht="15.75" customHeight="1" spans="1:5">
      <c r="A388" s="22"/>
      <c r="B388" s="25" t="s">
        <v>2168</v>
      </c>
      <c r="C388" s="28" t="s">
        <v>5875</v>
      </c>
      <c r="D388" s="27" t="s">
        <v>5520</v>
      </c>
      <c r="E388" s="22" t="s">
        <v>549</v>
      </c>
    </row>
    <row r="389" ht="15.75" customHeight="1" spans="1:5">
      <c r="A389" s="22"/>
      <c r="B389" s="25" t="s">
        <v>2170</v>
      </c>
      <c r="C389" s="28" t="s">
        <v>5876</v>
      </c>
      <c r="D389" s="27" t="s">
        <v>5520</v>
      </c>
      <c r="E389" s="22"/>
    </row>
    <row r="390" ht="15.75" customHeight="1" spans="1:5">
      <c r="A390" s="22"/>
      <c r="B390" s="25" t="s">
        <v>2172</v>
      </c>
      <c r="C390" s="28" t="s">
        <v>5877</v>
      </c>
      <c r="D390" s="27" t="s">
        <v>5520</v>
      </c>
      <c r="E390" s="22"/>
    </row>
    <row r="391" ht="15.75" customHeight="1" spans="1:5">
      <c r="A391" s="22"/>
      <c r="B391" s="25" t="s">
        <v>2174</v>
      </c>
      <c r="C391" s="28" t="s">
        <v>5878</v>
      </c>
      <c r="D391" s="27" t="s">
        <v>5520</v>
      </c>
      <c r="E391" s="22" t="s">
        <v>408</v>
      </c>
    </row>
    <row r="392" ht="15.75" customHeight="1" spans="1:5">
      <c r="A392" s="22"/>
      <c r="B392" s="25" t="s">
        <v>2176</v>
      </c>
      <c r="C392" s="28" t="s">
        <v>5879</v>
      </c>
      <c r="D392" s="27" t="s">
        <v>5520</v>
      </c>
      <c r="E392" s="22"/>
    </row>
    <row r="393" ht="15.75" customHeight="1" spans="1:5">
      <c r="A393" s="22"/>
      <c r="B393" s="25" t="s">
        <v>2178</v>
      </c>
      <c r="C393" s="28" t="s">
        <v>5880</v>
      </c>
      <c r="D393" s="27" t="s">
        <v>5520</v>
      </c>
      <c r="E393" s="22"/>
    </row>
    <row r="394" ht="15.75" customHeight="1" spans="1:5">
      <c r="A394" s="22"/>
      <c r="B394" s="25" t="s">
        <v>2180</v>
      </c>
      <c r="C394" s="28" t="s">
        <v>5881</v>
      </c>
      <c r="D394" s="27" t="s">
        <v>5520</v>
      </c>
      <c r="E394" s="22"/>
    </row>
    <row r="395" ht="15.75" customHeight="1" spans="1:5">
      <c r="A395" s="22"/>
      <c r="B395" s="25" t="s">
        <v>2182</v>
      </c>
      <c r="C395" s="28" t="s">
        <v>5882</v>
      </c>
      <c r="D395" s="27" t="s">
        <v>5520</v>
      </c>
      <c r="E395" s="22"/>
    </row>
    <row r="396" ht="15.75" customHeight="1" spans="1:5">
      <c r="A396" s="22"/>
      <c r="B396" s="25" t="s">
        <v>2184</v>
      </c>
      <c r="C396" s="28" t="s">
        <v>5883</v>
      </c>
      <c r="D396" s="27" t="s">
        <v>5520</v>
      </c>
      <c r="E396" s="22"/>
    </row>
    <row r="397" ht="15.75" customHeight="1" spans="1:5">
      <c r="A397" s="22"/>
      <c r="B397" s="25" t="s">
        <v>2186</v>
      </c>
      <c r="C397" s="28" t="s">
        <v>5884</v>
      </c>
      <c r="D397" s="27" t="s">
        <v>5520</v>
      </c>
      <c r="E397" s="22"/>
    </row>
    <row r="398" ht="15.75" customHeight="1" spans="1:5">
      <c r="A398" s="22"/>
      <c r="B398" s="25" t="s">
        <v>2188</v>
      </c>
      <c r="C398" s="28" t="s">
        <v>5885</v>
      </c>
      <c r="D398" s="27" t="s">
        <v>5520</v>
      </c>
      <c r="E398" s="22" t="s">
        <v>549</v>
      </c>
    </row>
    <row r="399" ht="15.75" customHeight="1" spans="1:5">
      <c r="A399" s="22"/>
      <c r="B399" s="25" t="s">
        <v>2190</v>
      </c>
      <c r="C399" s="28" t="s">
        <v>5886</v>
      </c>
      <c r="D399" s="27" t="s">
        <v>5520</v>
      </c>
      <c r="E399" s="22" t="s">
        <v>408</v>
      </c>
    </row>
    <row r="400" ht="15.75" customHeight="1" spans="1:5">
      <c r="A400" s="22"/>
      <c r="B400" s="25" t="s">
        <v>2192</v>
      </c>
      <c r="C400" s="28" t="s">
        <v>5887</v>
      </c>
      <c r="D400" s="27" t="s">
        <v>5520</v>
      </c>
      <c r="E400" s="22"/>
    </row>
    <row r="401" ht="15.75" customHeight="1" spans="1:5">
      <c r="A401" s="22"/>
      <c r="B401" s="25" t="s">
        <v>2194</v>
      </c>
      <c r="C401" s="28" t="s">
        <v>5888</v>
      </c>
      <c r="D401" s="27" t="s">
        <v>5520</v>
      </c>
      <c r="E401" s="22"/>
    </row>
    <row r="402" ht="15.75" customHeight="1" spans="1:5">
      <c r="A402" s="22"/>
      <c r="B402" s="25" t="s">
        <v>2196</v>
      </c>
      <c r="C402" s="28" t="s">
        <v>5889</v>
      </c>
      <c r="D402" s="27" t="s">
        <v>5520</v>
      </c>
      <c r="E402" s="22" t="s">
        <v>337</v>
      </c>
    </row>
    <row r="403" ht="15.75" customHeight="1" spans="1:5">
      <c r="A403" s="22"/>
      <c r="B403" s="25" t="s">
        <v>2198</v>
      </c>
      <c r="C403" s="28" t="s">
        <v>5890</v>
      </c>
      <c r="D403" s="27" t="s">
        <v>5520</v>
      </c>
      <c r="E403" s="22"/>
    </row>
    <row r="404" ht="15.75" customHeight="1" spans="1:5">
      <c r="A404" s="22"/>
      <c r="B404" s="25" t="s">
        <v>2200</v>
      </c>
      <c r="C404" s="28" t="s">
        <v>5891</v>
      </c>
      <c r="D404" s="27" t="s">
        <v>5520</v>
      </c>
      <c r="E404" s="22" t="s">
        <v>549</v>
      </c>
    </row>
    <row r="405" ht="15.75" customHeight="1" spans="1:5">
      <c r="A405" s="22"/>
      <c r="B405" s="25" t="s">
        <v>2202</v>
      </c>
      <c r="C405" s="28" t="s">
        <v>5892</v>
      </c>
      <c r="D405" s="27" t="s">
        <v>5520</v>
      </c>
      <c r="E405" s="22"/>
    </row>
    <row r="406" ht="15.75" customHeight="1" spans="1:5">
      <c r="A406" s="22"/>
      <c r="B406" s="25" t="s">
        <v>2204</v>
      </c>
      <c r="C406" s="28" t="s">
        <v>5893</v>
      </c>
      <c r="D406" s="27" t="s">
        <v>5520</v>
      </c>
      <c r="E406" s="22"/>
    </row>
    <row r="407" ht="15.75" customHeight="1" spans="1:5">
      <c r="A407" s="22"/>
      <c r="B407" s="25" t="s">
        <v>2206</v>
      </c>
      <c r="C407" s="28" t="s">
        <v>5894</v>
      </c>
      <c r="D407" s="27" t="s">
        <v>5520</v>
      </c>
      <c r="E407" s="22"/>
    </row>
    <row r="408" ht="15.75" customHeight="1" spans="1:5">
      <c r="A408" s="22"/>
      <c r="B408" s="25" t="s">
        <v>2208</v>
      </c>
      <c r="C408" s="28" t="s">
        <v>5895</v>
      </c>
      <c r="D408" s="27" t="s">
        <v>5520</v>
      </c>
      <c r="E408" s="22" t="s">
        <v>436</v>
      </c>
    </row>
    <row r="409" ht="15.75" customHeight="1" spans="1:5">
      <c r="A409" s="22"/>
      <c r="B409" s="25" t="s">
        <v>2210</v>
      </c>
      <c r="C409" s="28" t="s">
        <v>5896</v>
      </c>
      <c r="D409" s="27" t="s">
        <v>5520</v>
      </c>
      <c r="E409" s="22" t="s">
        <v>408</v>
      </c>
    </row>
    <row r="410" ht="15.75" customHeight="1" spans="1:5">
      <c r="A410" s="22"/>
      <c r="B410" s="25" t="s">
        <v>2212</v>
      </c>
      <c r="C410" s="28" t="s">
        <v>5897</v>
      </c>
      <c r="D410" s="27" t="s">
        <v>5520</v>
      </c>
      <c r="E410" s="22" t="s">
        <v>408</v>
      </c>
    </row>
    <row r="411" ht="15.75" customHeight="1" spans="1:5">
      <c r="A411" s="22"/>
      <c r="B411" s="25" t="s">
        <v>2214</v>
      </c>
      <c r="C411" s="28" t="s">
        <v>5898</v>
      </c>
      <c r="D411" s="27" t="s">
        <v>5520</v>
      </c>
      <c r="E411" s="22"/>
    </row>
    <row r="412" ht="15.75" customHeight="1" spans="1:5">
      <c r="A412" s="22"/>
      <c r="B412" s="25" t="s">
        <v>2216</v>
      </c>
      <c r="C412" s="28" t="s">
        <v>5899</v>
      </c>
      <c r="D412" s="27" t="s">
        <v>5520</v>
      </c>
      <c r="E412" s="22" t="s">
        <v>408</v>
      </c>
    </row>
    <row r="413" ht="15.75" customHeight="1" spans="1:5">
      <c r="A413" s="22"/>
      <c r="B413" s="25" t="s">
        <v>2218</v>
      </c>
      <c r="C413" s="28" t="s">
        <v>5900</v>
      </c>
      <c r="D413" s="27" t="s">
        <v>5520</v>
      </c>
      <c r="E413" s="22"/>
    </row>
    <row r="414" ht="15.75" customHeight="1" spans="1:5">
      <c r="A414" s="22"/>
      <c r="B414" s="25" t="s">
        <v>2220</v>
      </c>
      <c r="C414" s="28" t="s">
        <v>5901</v>
      </c>
      <c r="D414" s="27" t="s">
        <v>5520</v>
      </c>
      <c r="E414" s="22" t="s">
        <v>337</v>
      </c>
    </row>
    <row r="415" ht="15.75" customHeight="1" spans="1:5">
      <c r="A415" s="22"/>
      <c r="B415" s="25" t="s">
        <v>2222</v>
      </c>
      <c r="C415" s="28" t="s">
        <v>5902</v>
      </c>
      <c r="D415" s="27" t="s">
        <v>5520</v>
      </c>
      <c r="E415" s="22"/>
    </row>
    <row r="416" ht="15.75" customHeight="1" spans="1:5">
      <c r="A416" s="22"/>
      <c r="B416" s="25" t="s">
        <v>2224</v>
      </c>
      <c r="C416" s="28" t="s">
        <v>5903</v>
      </c>
      <c r="D416" s="27" t="s">
        <v>5520</v>
      </c>
      <c r="E416" s="22" t="s">
        <v>408</v>
      </c>
    </row>
    <row r="417" ht="15.75" customHeight="1" spans="1:5">
      <c r="A417" s="22"/>
      <c r="B417" s="25" t="s">
        <v>2226</v>
      </c>
      <c r="C417" s="28" t="s">
        <v>5904</v>
      </c>
      <c r="D417" s="27" t="s">
        <v>5520</v>
      </c>
      <c r="E417" s="22"/>
    </row>
    <row r="418" ht="15.75" customHeight="1" spans="1:5">
      <c r="A418" s="22"/>
      <c r="B418" s="25" t="s">
        <v>2228</v>
      </c>
      <c r="C418" s="28" t="s">
        <v>5905</v>
      </c>
      <c r="D418" s="27" t="s">
        <v>5520</v>
      </c>
      <c r="E418" s="22" t="s">
        <v>325</v>
      </c>
    </row>
    <row r="419" ht="15.75" customHeight="1" spans="1:5">
      <c r="A419" s="22"/>
      <c r="B419" s="25" t="s">
        <v>2230</v>
      </c>
      <c r="C419" s="28" t="s">
        <v>5906</v>
      </c>
      <c r="D419" s="27" t="s">
        <v>5520</v>
      </c>
      <c r="E419" s="22"/>
    </row>
    <row r="420" ht="15.75" customHeight="1" spans="1:5">
      <c r="A420" s="22"/>
      <c r="B420" s="25" t="s">
        <v>2232</v>
      </c>
      <c r="C420" s="28" t="s">
        <v>5905</v>
      </c>
      <c r="D420" s="27" t="s">
        <v>5520</v>
      </c>
      <c r="E420" s="22"/>
    </row>
    <row r="421" ht="15.75" customHeight="1" spans="1:5">
      <c r="A421" s="22"/>
      <c r="B421" s="25" t="s">
        <v>2234</v>
      </c>
      <c r="C421" s="28" t="s">
        <v>5907</v>
      </c>
      <c r="D421" s="27" t="s">
        <v>5520</v>
      </c>
      <c r="E421" s="22"/>
    </row>
    <row r="422" ht="15.75" customHeight="1" spans="1:5">
      <c r="A422" s="22"/>
      <c r="B422" s="25" t="s">
        <v>2236</v>
      </c>
      <c r="C422" s="28" t="s">
        <v>5908</v>
      </c>
      <c r="D422" s="27" t="s">
        <v>5520</v>
      </c>
      <c r="E422" s="22" t="s">
        <v>376</v>
      </c>
    </row>
    <row r="423" ht="15.75" customHeight="1" spans="1:5">
      <c r="A423" s="22"/>
      <c r="B423" s="25" t="s">
        <v>2238</v>
      </c>
      <c r="C423" s="28" t="s">
        <v>5909</v>
      </c>
      <c r="D423" s="27" t="s">
        <v>5520</v>
      </c>
      <c r="E423" s="22" t="s">
        <v>430</v>
      </c>
    </row>
    <row r="424" ht="15.75" customHeight="1" spans="1:5">
      <c r="A424" s="22"/>
      <c r="B424" s="25" t="s">
        <v>2240</v>
      </c>
      <c r="C424" s="28" t="s">
        <v>5910</v>
      </c>
      <c r="D424" s="27" t="s">
        <v>5520</v>
      </c>
      <c r="E424" s="22" t="s">
        <v>430</v>
      </c>
    </row>
    <row r="425" ht="15.75" customHeight="1" spans="1:5">
      <c r="A425" s="22"/>
      <c r="B425" s="25" t="s">
        <v>2242</v>
      </c>
      <c r="C425" s="28" t="s">
        <v>5911</v>
      </c>
      <c r="D425" s="27" t="s">
        <v>5520</v>
      </c>
      <c r="E425" s="22" t="s">
        <v>513</v>
      </c>
    </row>
    <row r="426" ht="15.75" customHeight="1" spans="1:5">
      <c r="A426" s="22"/>
      <c r="B426" s="25" t="s">
        <v>2244</v>
      </c>
      <c r="C426" s="28" t="s">
        <v>5912</v>
      </c>
      <c r="D426" s="27" t="s">
        <v>5520</v>
      </c>
      <c r="E426" s="22" t="s">
        <v>513</v>
      </c>
    </row>
    <row r="427" ht="15.75" customHeight="1" spans="1:5">
      <c r="A427" s="22"/>
      <c r="B427" s="25" t="s">
        <v>2246</v>
      </c>
      <c r="C427" s="28" t="s">
        <v>5913</v>
      </c>
      <c r="D427" s="27" t="s">
        <v>5520</v>
      </c>
      <c r="E427" s="22" t="s">
        <v>444</v>
      </c>
    </row>
    <row r="428" ht="15.75" customHeight="1" spans="1:5">
      <c r="A428" s="22"/>
      <c r="B428" s="25" t="s">
        <v>2248</v>
      </c>
      <c r="C428" s="28" t="s">
        <v>5914</v>
      </c>
      <c r="D428" s="27" t="s">
        <v>5520</v>
      </c>
      <c r="E428" s="22" t="s">
        <v>430</v>
      </c>
    </row>
    <row r="429" ht="15.75" customHeight="1" spans="1:5">
      <c r="A429" s="22"/>
      <c r="B429" s="25" t="s">
        <v>2250</v>
      </c>
      <c r="C429" s="28" t="s">
        <v>5915</v>
      </c>
      <c r="D429" s="27" t="s">
        <v>5520</v>
      </c>
      <c r="E429" s="22" t="s">
        <v>430</v>
      </c>
    </row>
    <row r="430" ht="15.75" customHeight="1" spans="1:5">
      <c r="A430" s="22"/>
      <c r="B430" s="25" t="s">
        <v>2252</v>
      </c>
      <c r="C430" s="28" t="s">
        <v>5916</v>
      </c>
      <c r="D430" s="27" t="s">
        <v>5520</v>
      </c>
      <c r="E430" s="22" t="s">
        <v>430</v>
      </c>
    </row>
    <row r="431" ht="15.75" customHeight="1" spans="1:5">
      <c r="A431" s="22"/>
      <c r="B431" s="25" t="s">
        <v>2254</v>
      </c>
      <c r="C431" s="28" t="s">
        <v>5917</v>
      </c>
      <c r="D431" s="27" t="s">
        <v>5520</v>
      </c>
      <c r="E431" s="22" t="s">
        <v>430</v>
      </c>
    </row>
    <row r="432" ht="15.75" customHeight="1" spans="1:5">
      <c r="A432" s="22"/>
      <c r="B432" s="25" t="s">
        <v>2256</v>
      </c>
      <c r="C432" s="28" t="s">
        <v>5918</v>
      </c>
      <c r="D432" s="27" t="s">
        <v>5520</v>
      </c>
      <c r="E432" s="22" t="s">
        <v>430</v>
      </c>
    </row>
    <row r="433" ht="15.75" customHeight="1" spans="1:5">
      <c r="A433" s="22"/>
      <c r="B433" s="25" t="s">
        <v>2258</v>
      </c>
      <c r="C433" s="28" t="s">
        <v>5919</v>
      </c>
      <c r="D433" s="27" t="s">
        <v>5520</v>
      </c>
      <c r="E433" s="22"/>
    </row>
    <row r="434" ht="15.75" customHeight="1" spans="1:5">
      <c r="A434" s="22"/>
      <c r="B434" s="25" t="s">
        <v>2260</v>
      </c>
      <c r="C434" s="28" t="s">
        <v>5919</v>
      </c>
      <c r="D434" s="27" t="s">
        <v>5520</v>
      </c>
      <c r="E434" s="22"/>
    </row>
    <row r="435" ht="15.75" customHeight="1" spans="1:5">
      <c r="A435" s="22"/>
      <c r="B435" s="25" t="s">
        <v>2262</v>
      </c>
      <c r="C435" s="28" t="s">
        <v>5527</v>
      </c>
      <c r="D435" s="27" t="s">
        <v>5520</v>
      </c>
      <c r="E435" s="22"/>
    </row>
    <row r="436" ht="15.75" customHeight="1" spans="1:5">
      <c r="A436" s="22"/>
      <c r="B436" s="25" t="s">
        <v>2264</v>
      </c>
      <c r="C436" s="28" t="s">
        <v>5920</v>
      </c>
      <c r="D436" s="27" t="s">
        <v>5520</v>
      </c>
      <c r="E436" s="22" t="s">
        <v>549</v>
      </c>
    </row>
    <row r="437" ht="15.75" customHeight="1" spans="1:5">
      <c r="A437" s="22"/>
      <c r="B437" s="25" t="s">
        <v>2266</v>
      </c>
      <c r="C437" s="28" t="s">
        <v>347</v>
      </c>
      <c r="D437" s="27" t="s">
        <v>5520</v>
      </c>
      <c r="E437" s="22"/>
    </row>
    <row r="438" ht="15.75" customHeight="1" spans="1:5">
      <c r="A438" s="22"/>
      <c r="B438" s="25" t="s">
        <v>2268</v>
      </c>
      <c r="C438" s="28" t="s">
        <v>5921</v>
      </c>
      <c r="D438" s="27" t="s">
        <v>5520</v>
      </c>
      <c r="E438" s="22"/>
    </row>
    <row r="439" ht="15.75" customHeight="1" spans="1:5">
      <c r="A439" s="22"/>
      <c r="B439" s="25" t="s">
        <v>2270</v>
      </c>
      <c r="C439" s="28" t="s">
        <v>5922</v>
      </c>
      <c r="D439" s="27" t="s">
        <v>5520</v>
      </c>
      <c r="E439" s="22" t="s">
        <v>408</v>
      </c>
    </row>
    <row r="440" ht="15.75" customHeight="1" spans="1:5">
      <c r="A440" s="22"/>
      <c r="B440" s="25" t="s">
        <v>2272</v>
      </c>
      <c r="C440" s="28" t="s">
        <v>5922</v>
      </c>
      <c r="D440" s="27" t="s">
        <v>5520</v>
      </c>
      <c r="E440" s="22"/>
    </row>
    <row r="441" ht="15.75" customHeight="1" spans="1:5">
      <c r="A441" s="22"/>
      <c r="B441" s="25" t="s">
        <v>2274</v>
      </c>
      <c r="C441" s="28" t="s">
        <v>5923</v>
      </c>
      <c r="D441" s="27" t="s">
        <v>5520</v>
      </c>
      <c r="E441" s="22"/>
    </row>
    <row r="442" ht="15.75" customHeight="1" spans="1:5">
      <c r="A442" s="22"/>
      <c r="B442" s="25" t="s">
        <v>2276</v>
      </c>
      <c r="C442" s="28" t="s">
        <v>5924</v>
      </c>
      <c r="D442" s="27" t="s">
        <v>5520</v>
      </c>
      <c r="E442" s="22"/>
    </row>
    <row r="443" ht="15.75" customHeight="1" spans="1:5">
      <c r="A443" s="22"/>
      <c r="B443" s="25" t="s">
        <v>2278</v>
      </c>
      <c r="C443" s="28" t="s">
        <v>5925</v>
      </c>
      <c r="D443" s="27" t="s">
        <v>5520</v>
      </c>
      <c r="E443" s="22"/>
    </row>
    <row r="444" ht="15.75" customHeight="1" spans="1:5">
      <c r="A444" s="22"/>
      <c r="B444" s="25" t="s">
        <v>2280</v>
      </c>
      <c r="C444" s="28" t="s">
        <v>402</v>
      </c>
      <c r="D444" s="27" t="s">
        <v>5520</v>
      </c>
      <c r="E444" s="22"/>
    </row>
    <row r="445" ht="15.75" customHeight="1" spans="1:5">
      <c r="A445" s="22"/>
      <c r="B445" s="25" t="s">
        <v>2282</v>
      </c>
      <c r="C445" s="28" t="s">
        <v>5926</v>
      </c>
      <c r="D445" s="27" t="s">
        <v>5520</v>
      </c>
      <c r="E445" s="22"/>
    </row>
    <row r="446" ht="15.75" customHeight="1" spans="1:5">
      <c r="A446" s="22"/>
      <c r="B446" s="25" t="s">
        <v>2284</v>
      </c>
      <c r="C446" s="28" t="s">
        <v>5927</v>
      </c>
      <c r="D446" s="27" t="s">
        <v>5520</v>
      </c>
      <c r="E446" s="22"/>
    </row>
    <row r="447" ht="15.75" customHeight="1" spans="1:5">
      <c r="A447" s="22"/>
      <c r="B447" s="25" t="s">
        <v>2286</v>
      </c>
      <c r="C447" s="28" t="s">
        <v>5928</v>
      </c>
      <c r="D447" s="27" t="s">
        <v>5520</v>
      </c>
      <c r="E447" s="22"/>
    </row>
    <row r="448" ht="15.75" customHeight="1" spans="1:5">
      <c r="A448" s="22"/>
      <c r="B448" s="25" t="s">
        <v>2288</v>
      </c>
      <c r="C448" s="28" t="s">
        <v>5929</v>
      </c>
      <c r="D448" s="27" t="s">
        <v>5520</v>
      </c>
      <c r="E448" s="22"/>
    </row>
    <row r="449" ht="15.75" customHeight="1" spans="1:5">
      <c r="A449" s="22"/>
      <c r="B449" s="25" t="s">
        <v>2290</v>
      </c>
      <c r="C449" s="28" t="s">
        <v>5930</v>
      </c>
      <c r="D449" s="27" t="s">
        <v>5520</v>
      </c>
      <c r="E449" s="22" t="s">
        <v>513</v>
      </c>
    </row>
    <row r="450" ht="15.75" customHeight="1" spans="1:5">
      <c r="A450" s="22"/>
      <c r="B450" s="25" t="s">
        <v>2292</v>
      </c>
      <c r="C450" s="28" t="s">
        <v>5931</v>
      </c>
      <c r="D450" s="27" t="s">
        <v>5520</v>
      </c>
      <c r="E450" s="22"/>
    </row>
    <row r="451" ht="15.75" customHeight="1" spans="1:5">
      <c r="A451" s="22"/>
      <c r="B451" s="25" t="s">
        <v>2294</v>
      </c>
      <c r="C451" s="28" t="s">
        <v>5932</v>
      </c>
      <c r="D451" s="27" t="s">
        <v>5520</v>
      </c>
      <c r="E451" s="22"/>
    </row>
    <row r="452" ht="15.75" customHeight="1" spans="1:5">
      <c r="A452" s="22"/>
      <c r="B452" s="25" t="s">
        <v>2296</v>
      </c>
      <c r="C452" s="28" t="s">
        <v>5933</v>
      </c>
      <c r="D452" s="27" t="s">
        <v>5520</v>
      </c>
      <c r="E452" s="22"/>
    </row>
    <row r="453" ht="15.75" customHeight="1" spans="1:5">
      <c r="A453" s="22"/>
      <c r="B453" s="25" t="s">
        <v>2298</v>
      </c>
      <c r="C453" s="28" t="s">
        <v>5934</v>
      </c>
      <c r="D453" s="27" t="s">
        <v>5520</v>
      </c>
      <c r="E453" s="22"/>
    </row>
    <row r="454" ht="15.75" customHeight="1" spans="1:5">
      <c r="A454" s="22"/>
      <c r="B454" s="25" t="s">
        <v>2300</v>
      </c>
      <c r="C454" s="28" t="s">
        <v>5935</v>
      </c>
      <c r="D454" s="27" t="s">
        <v>5520</v>
      </c>
      <c r="E454" s="22"/>
    </row>
    <row r="455" ht="15.75" customHeight="1" spans="1:5">
      <c r="A455" s="22"/>
      <c r="B455" s="25" t="s">
        <v>2302</v>
      </c>
      <c r="C455" s="28" t="s">
        <v>5936</v>
      </c>
      <c r="D455" s="27" t="s">
        <v>5520</v>
      </c>
      <c r="E455" s="22"/>
    </row>
    <row r="456" ht="15.75" customHeight="1" spans="1:5">
      <c r="A456" s="22"/>
      <c r="B456" s="25" t="s">
        <v>2304</v>
      </c>
      <c r="C456" s="28" t="s">
        <v>5937</v>
      </c>
      <c r="D456" s="27" t="s">
        <v>5520</v>
      </c>
      <c r="E456" s="22"/>
    </row>
    <row r="457" ht="15.75" customHeight="1" spans="1:5">
      <c r="A457" s="22"/>
      <c r="B457" s="25" t="s">
        <v>2306</v>
      </c>
      <c r="C457" s="28" t="s">
        <v>5938</v>
      </c>
      <c r="D457" s="27" t="s">
        <v>5520</v>
      </c>
      <c r="E457" s="22"/>
    </row>
    <row r="458" ht="15.75" customHeight="1" spans="1:5">
      <c r="A458" s="22"/>
      <c r="B458" s="25" t="s">
        <v>2308</v>
      </c>
      <c r="C458" s="28" t="s">
        <v>5939</v>
      </c>
      <c r="D458" s="27" t="s">
        <v>5520</v>
      </c>
      <c r="E458" s="22" t="s">
        <v>403</v>
      </c>
    </row>
    <row r="459" ht="15.75" customHeight="1" spans="1:5">
      <c r="A459" s="22"/>
      <c r="B459" s="25" t="s">
        <v>2310</v>
      </c>
      <c r="C459" s="28" t="s">
        <v>5940</v>
      </c>
      <c r="D459" s="27" t="s">
        <v>5520</v>
      </c>
      <c r="E459" s="22" t="s">
        <v>376</v>
      </c>
    </row>
    <row r="460" ht="15.75" customHeight="1" spans="1:5">
      <c r="A460" s="22"/>
      <c r="B460" s="25" t="s">
        <v>2312</v>
      </c>
      <c r="C460" s="28" t="s">
        <v>5940</v>
      </c>
      <c r="D460" s="27" t="s">
        <v>5520</v>
      </c>
      <c r="E460" s="22"/>
    </row>
    <row r="461" ht="15.75" customHeight="1" spans="1:5">
      <c r="A461" s="22"/>
      <c r="B461" s="25" t="s">
        <v>2314</v>
      </c>
      <c r="C461" s="28" t="s">
        <v>5941</v>
      </c>
      <c r="D461" s="27" t="s">
        <v>5520</v>
      </c>
      <c r="E461" s="22" t="s">
        <v>376</v>
      </c>
    </row>
    <row r="462" ht="15.75" customHeight="1" spans="1:5">
      <c r="A462" s="22"/>
      <c r="B462" s="25" t="s">
        <v>2316</v>
      </c>
      <c r="C462" s="28" t="s">
        <v>5942</v>
      </c>
      <c r="D462" s="27" t="s">
        <v>5520</v>
      </c>
      <c r="E462" s="22" t="s">
        <v>5943</v>
      </c>
    </row>
    <row r="463" ht="15.75" customHeight="1" spans="1:5">
      <c r="A463" s="22"/>
      <c r="B463" s="25" t="s">
        <v>2318</v>
      </c>
      <c r="C463" s="28" t="s">
        <v>5942</v>
      </c>
      <c r="D463" s="27" t="s">
        <v>5520</v>
      </c>
      <c r="E463" s="22" t="s">
        <v>5943</v>
      </c>
    </row>
    <row r="464" ht="15.75" customHeight="1" spans="1:5">
      <c r="A464" s="22"/>
      <c r="B464" s="25" t="s">
        <v>2320</v>
      </c>
      <c r="C464" s="28" t="s">
        <v>5944</v>
      </c>
      <c r="D464" s="27" t="s">
        <v>5520</v>
      </c>
      <c r="E464" s="22" t="s">
        <v>497</v>
      </c>
    </row>
    <row r="465" ht="15.75" customHeight="1" spans="1:5">
      <c r="A465" s="22"/>
      <c r="B465" s="25" t="s">
        <v>2322</v>
      </c>
      <c r="C465" s="28" t="s">
        <v>5944</v>
      </c>
      <c r="D465" s="27" t="s">
        <v>5520</v>
      </c>
      <c r="E465" s="22" t="s">
        <v>497</v>
      </c>
    </row>
    <row r="466" ht="15.75" customHeight="1" spans="1:5">
      <c r="A466" s="22"/>
      <c r="B466" s="25" t="s">
        <v>2324</v>
      </c>
      <c r="C466" s="28" t="s">
        <v>5944</v>
      </c>
      <c r="D466" s="27" t="s">
        <v>5520</v>
      </c>
      <c r="E466" s="22" t="s">
        <v>497</v>
      </c>
    </row>
    <row r="467" ht="15.75" customHeight="1" spans="1:5">
      <c r="A467" s="22"/>
      <c r="B467" s="25" t="s">
        <v>2326</v>
      </c>
      <c r="C467" s="28" t="s">
        <v>5945</v>
      </c>
      <c r="D467" s="27" t="s">
        <v>5520</v>
      </c>
      <c r="E467" s="22" t="s">
        <v>376</v>
      </c>
    </row>
    <row r="468" ht="15.75" customHeight="1" spans="1:5">
      <c r="A468" s="22"/>
      <c r="B468" s="25" t="s">
        <v>2328</v>
      </c>
      <c r="C468" s="28" t="s">
        <v>5946</v>
      </c>
      <c r="D468" s="27" t="s">
        <v>5520</v>
      </c>
      <c r="E468" s="22" t="s">
        <v>436</v>
      </c>
    </row>
    <row r="469" ht="15.75" customHeight="1" spans="1:5">
      <c r="A469" s="22"/>
      <c r="B469" s="25" t="s">
        <v>2330</v>
      </c>
      <c r="C469" s="28" t="s">
        <v>5947</v>
      </c>
      <c r="D469" s="27" t="s">
        <v>5520</v>
      </c>
      <c r="E469" s="22" t="s">
        <v>342</v>
      </c>
    </row>
    <row r="470" ht="15.75" customHeight="1" spans="1:5">
      <c r="A470" s="22"/>
      <c r="B470" s="25" t="s">
        <v>2332</v>
      </c>
      <c r="C470" s="28" t="s">
        <v>5948</v>
      </c>
      <c r="D470" s="27" t="s">
        <v>5520</v>
      </c>
      <c r="E470" s="22" t="s">
        <v>376</v>
      </c>
    </row>
    <row r="471" ht="15.75" customHeight="1" spans="1:5">
      <c r="A471" s="22"/>
      <c r="B471" s="25" t="s">
        <v>2334</v>
      </c>
      <c r="C471" s="28" t="s">
        <v>5949</v>
      </c>
      <c r="D471" s="27" t="s">
        <v>5520</v>
      </c>
      <c r="E471" s="22" t="s">
        <v>376</v>
      </c>
    </row>
    <row r="472" ht="15.75" customHeight="1" spans="1:5">
      <c r="A472" s="22"/>
      <c r="B472" s="25" t="s">
        <v>2336</v>
      </c>
      <c r="C472" s="28" t="s">
        <v>5950</v>
      </c>
      <c r="D472" s="27" t="s">
        <v>5520</v>
      </c>
      <c r="E472" s="22" t="s">
        <v>342</v>
      </c>
    </row>
    <row r="473" ht="15.75" customHeight="1" spans="1:5">
      <c r="A473" s="22"/>
      <c r="B473" s="25" t="s">
        <v>2338</v>
      </c>
      <c r="C473" s="28" t="s">
        <v>5951</v>
      </c>
      <c r="D473" s="27" t="s">
        <v>5520</v>
      </c>
      <c r="E473" s="22" t="s">
        <v>376</v>
      </c>
    </row>
    <row r="474" ht="15.75" customHeight="1" spans="1:5">
      <c r="A474" s="22"/>
      <c r="B474" s="25" t="s">
        <v>2340</v>
      </c>
      <c r="C474" s="28" t="s">
        <v>5952</v>
      </c>
      <c r="D474" s="27" t="s">
        <v>5520</v>
      </c>
      <c r="E474" s="22"/>
    </row>
    <row r="475" ht="15.75" customHeight="1" spans="1:5">
      <c r="A475" s="22"/>
      <c r="B475" s="25" t="s">
        <v>2342</v>
      </c>
      <c r="C475" s="28" t="s">
        <v>5952</v>
      </c>
      <c r="D475" s="27" t="s">
        <v>5520</v>
      </c>
      <c r="E475" s="22"/>
    </row>
    <row r="476" ht="15.75" customHeight="1" spans="1:5">
      <c r="A476" s="22"/>
      <c r="B476" s="25" t="s">
        <v>2344</v>
      </c>
      <c r="C476" s="28" t="s">
        <v>5953</v>
      </c>
      <c r="D476" s="27" t="s">
        <v>5520</v>
      </c>
      <c r="E476" s="22"/>
    </row>
    <row r="477" ht="15.75" customHeight="1" spans="1:5">
      <c r="A477" s="22"/>
      <c r="B477" s="25" t="s">
        <v>2346</v>
      </c>
      <c r="C477" s="28" t="s">
        <v>5954</v>
      </c>
      <c r="D477" s="27" t="s">
        <v>5520</v>
      </c>
      <c r="E477" s="22"/>
    </row>
    <row r="478" ht="15.75" customHeight="1" spans="1:5">
      <c r="A478" s="22"/>
      <c r="B478" s="25" t="s">
        <v>2348</v>
      </c>
      <c r="C478" s="28" t="s">
        <v>5955</v>
      </c>
      <c r="D478" s="27" t="s">
        <v>5520</v>
      </c>
      <c r="E478" s="22" t="s">
        <v>436</v>
      </c>
    </row>
    <row r="479" ht="15.75" customHeight="1" spans="1:5">
      <c r="A479" s="22"/>
      <c r="B479" s="25" t="s">
        <v>2350</v>
      </c>
      <c r="C479" s="28" t="s">
        <v>5956</v>
      </c>
      <c r="D479" s="27" t="s">
        <v>5520</v>
      </c>
      <c r="E479" s="22"/>
    </row>
    <row r="480" ht="15.75" customHeight="1" spans="1:5">
      <c r="A480" s="22"/>
      <c r="B480" s="25" t="s">
        <v>2352</v>
      </c>
      <c r="C480" s="28" t="s">
        <v>5957</v>
      </c>
      <c r="D480" s="27" t="s">
        <v>5520</v>
      </c>
      <c r="E480" s="22"/>
    </row>
    <row r="481" ht="15.75" customHeight="1" spans="1:5">
      <c r="A481" s="22"/>
      <c r="B481" s="25" t="s">
        <v>2354</v>
      </c>
      <c r="C481" s="28" t="s">
        <v>5958</v>
      </c>
      <c r="D481" s="27" t="s">
        <v>5520</v>
      </c>
      <c r="E481" s="22" t="s">
        <v>534</v>
      </c>
    </row>
    <row r="482" ht="15.75" customHeight="1" spans="1:5">
      <c r="A482" s="22"/>
      <c r="B482" s="25" t="s">
        <v>2356</v>
      </c>
      <c r="C482" s="28" t="s">
        <v>5959</v>
      </c>
      <c r="D482" s="27" t="s">
        <v>5520</v>
      </c>
      <c r="E482" s="22"/>
    </row>
    <row r="483" ht="15.75" customHeight="1" spans="1:5">
      <c r="A483" s="22"/>
      <c r="B483" s="25" t="s">
        <v>2358</v>
      </c>
      <c r="C483" s="28" t="s">
        <v>5960</v>
      </c>
      <c r="D483" s="27" t="s">
        <v>5520</v>
      </c>
      <c r="E483" s="22" t="s">
        <v>549</v>
      </c>
    </row>
    <row r="484" ht="15.75" customHeight="1" spans="1:5">
      <c r="A484" s="22"/>
      <c r="B484" s="25" t="s">
        <v>2360</v>
      </c>
      <c r="C484" s="28" t="s">
        <v>5961</v>
      </c>
      <c r="D484" s="27" t="s">
        <v>5520</v>
      </c>
      <c r="E484" s="22"/>
    </row>
    <row r="485" ht="15.75" customHeight="1" spans="1:5">
      <c r="A485" s="22"/>
      <c r="B485" s="25" t="s">
        <v>2362</v>
      </c>
      <c r="C485" s="28" t="s">
        <v>5962</v>
      </c>
      <c r="D485" s="27" t="s">
        <v>5520</v>
      </c>
      <c r="E485" s="22"/>
    </row>
    <row r="486" ht="15.75" customHeight="1" spans="1:5">
      <c r="A486" s="22"/>
      <c r="B486" s="25" t="s">
        <v>2364</v>
      </c>
      <c r="C486" s="28" t="s">
        <v>5963</v>
      </c>
      <c r="D486" s="27" t="s">
        <v>5520</v>
      </c>
      <c r="E486" s="22"/>
    </row>
    <row r="487" ht="15.75" customHeight="1" spans="1:5">
      <c r="A487" s="22"/>
      <c r="B487" s="25" t="s">
        <v>2366</v>
      </c>
      <c r="C487" s="28" t="s">
        <v>5964</v>
      </c>
      <c r="D487" s="27" t="s">
        <v>5520</v>
      </c>
      <c r="E487" s="22"/>
    </row>
    <row r="488" ht="15.75" customHeight="1" spans="1:5">
      <c r="A488" s="22"/>
      <c r="B488" s="25" t="s">
        <v>2368</v>
      </c>
      <c r="C488" s="28" t="s">
        <v>5965</v>
      </c>
      <c r="D488" s="27" t="s">
        <v>5520</v>
      </c>
      <c r="E488" s="22" t="s">
        <v>436</v>
      </c>
    </row>
    <row r="489" ht="15.75" customHeight="1" spans="1:5">
      <c r="A489" s="22"/>
      <c r="B489" s="25" t="s">
        <v>2370</v>
      </c>
      <c r="C489" s="28" t="s">
        <v>5966</v>
      </c>
      <c r="D489" s="27" t="s">
        <v>5520</v>
      </c>
      <c r="E489" s="22" t="s">
        <v>436</v>
      </c>
    </row>
    <row r="490" ht="15.75" customHeight="1" spans="1:5">
      <c r="A490" s="22"/>
      <c r="B490" s="25" t="s">
        <v>2372</v>
      </c>
      <c r="C490" s="28" t="s">
        <v>5967</v>
      </c>
      <c r="D490" s="27" t="s">
        <v>5520</v>
      </c>
      <c r="E490" s="22" t="s">
        <v>549</v>
      </c>
    </row>
    <row r="491" ht="15.75" customHeight="1" spans="1:5">
      <c r="A491" s="22"/>
      <c r="B491" s="25" t="s">
        <v>2374</v>
      </c>
      <c r="C491" s="28" t="s">
        <v>5968</v>
      </c>
      <c r="D491" s="27" t="s">
        <v>5520</v>
      </c>
      <c r="E491" s="22"/>
    </row>
    <row r="492" ht="15.75" customHeight="1" spans="1:5">
      <c r="A492" s="22"/>
      <c r="B492" s="25" t="s">
        <v>2376</v>
      </c>
      <c r="C492" s="28" t="s">
        <v>5969</v>
      </c>
      <c r="D492" s="27" t="s">
        <v>5520</v>
      </c>
      <c r="E492" s="22"/>
    </row>
    <row r="493" ht="15.75" customHeight="1" spans="1:5">
      <c r="A493" s="22"/>
      <c r="B493" s="25" t="s">
        <v>2378</v>
      </c>
      <c r="C493" s="28" t="s">
        <v>5970</v>
      </c>
      <c r="D493" s="27" t="s">
        <v>5520</v>
      </c>
      <c r="E493" s="22"/>
    </row>
    <row r="494" ht="15.75" customHeight="1" spans="1:5">
      <c r="A494" s="22"/>
      <c r="B494" s="25" t="s">
        <v>2380</v>
      </c>
      <c r="C494" s="28" t="s">
        <v>5971</v>
      </c>
      <c r="D494" s="27" t="s">
        <v>5520</v>
      </c>
      <c r="E494" s="22"/>
    </row>
    <row r="495" ht="15.75" customHeight="1" spans="1:5">
      <c r="A495" s="22"/>
      <c r="B495" s="25" t="s">
        <v>2382</v>
      </c>
      <c r="C495" s="28" t="s">
        <v>5972</v>
      </c>
      <c r="D495" s="27" t="s">
        <v>5520</v>
      </c>
      <c r="E495" s="22"/>
    </row>
    <row r="496" ht="15.75" customHeight="1" spans="1:5">
      <c r="A496" s="22"/>
      <c r="B496" s="25" t="s">
        <v>2384</v>
      </c>
      <c r="C496" s="28" t="s">
        <v>5973</v>
      </c>
      <c r="D496" s="27" t="s">
        <v>5520</v>
      </c>
      <c r="E496" s="22"/>
    </row>
    <row r="497" ht="15.75" customHeight="1" spans="1:5">
      <c r="A497" s="22"/>
      <c r="B497" s="25" t="s">
        <v>2386</v>
      </c>
      <c r="C497" s="28" t="s">
        <v>5974</v>
      </c>
      <c r="D497" s="27" t="s">
        <v>5520</v>
      </c>
      <c r="E497" s="22"/>
    </row>
    <row r="498" ht="15.75" customHeight="1" spans="1:5">
      <c r="A498" s="22"/>
      <c r="B498" s="25" t="s">
        <v>2388</v>
      </c>
      <c r="C498" s="28" t="s">
        <v>5975</v>
      </c>
      <c r="D498" s="27" t="s">
        <v>5520</v>
      </c>
      <c r="E498" s="22" t="s">
        <v>497</v>
      </c>
    </row>
    <row r="499" ht="15.75" customHeight="1" spans="1:5">
      <c r="A499" s="22"/>
      <c r="B499" s="25" t="s">
        <v>2390</v>
      </c>
      <c r="C499" s="28" t="s">
        <v>5976</v>
      </c>
      <c r="D499" s="27" t="s">
        <v>5520</v>
      </c>
      <c r="E499" s="22" t="s">
        <v>436</v>
      </c>
    </row>
    <row r="500" ht="15.75" customHeight="1" spans="1:5">
      <c r="A500" s="22"/>
      <c r="B500" s="25" t="s">
        <v>2392</v>
      </c>
      <c r="C500" s="28" t="s">
        <v>5977</v>
      </c>
      <c r="D500" s="27" t="s">
        <v>5520</v>
      </c>
      <c r="E500" s="22" t="s">
        <v>492</v>
      </c>
    </row>
    <row r="501" ht="15.75" customHeight="1" spans="1:5">
      <c r="A501" s="22"/>
      <c r="B501" s="25" t="s">
        <v>2394</v>
      </c>
      <c r="C501" s="28" t="s">
        <v>5978</v>
      </c>
      <c r="D501" s="27" t="s">
        <v>5520</v>
      </c>
      <c r="E501" s="22" t="s">
        <v>497</v>
      </c>
    </row>
    <row r="502" ht="15.75" customHeight="1" spans="1:5">
      <c r="A502" s="22"/>
      <c r="B502" s="25" t="s">
        <v>2396</v>
      </c>
      <c r="C502" s="28" t="s">
        <v>5979</v>
      </c>
      <c r="D502" s="27" t="s">
        <v>5520</v>
      </c>
      <c r="E502" s="22" t="s">
        <v>534</v>
      </c>
    </row>
    <row r="503" ht="15.75" customHeight="1" spans="1:5">
      <c r="A503" s="22"/>
      <c r="B503" s="25" t="s">
        <v>2398</v>
      </c>
      <c r="C503" s="28" t="s">
        <v>5980</v>
      </c>
      <c r="D503" s="27" t="s">
        <v>5520</v>
      </c>
      <c r="E503" s="22" t="s">
        <v>325</v>
      </c>
    </row>
    <row r="504" ht="15.75" customHeight="1" spans="1:5">
      <c r="A504" s="22"/>
      <c r="B504" s="25" t="s">
        <v>2400</v>
      </c>
      <c r="C504" s="28" t="s">
        <v>5980</v>
      </c>
      <c r="D504" s="27" t="s">
        <v>5520</v>
      </c>
      <c r="E504" s="22"/>
    </row>
    <row r="505" ht="15.75" customHeight="1" spans="1:5">
      <c r="A505" s="22"/>
      <c r="B505" s="25" t="s">
        <v>2402</v>
      </c>
      <c r="C505" s="28" t="s">
        <v>5981</v>
      </c>
      <c r="D505" s="27" t="s">
        <v>5520</v>
      </c>
      <c r="E505" s="22" t="s">
        <v>416</v>
      </c>
    </row>
    <row r="506" ht="15.75" customHeight="1" spans="1:5">
      <c r="A506" s="22"/>
      <c r="B506" s="25" t="s">
        <v>2404</v>
      </c>
      <c r="C506" s="28" t="s">
        <v>5982</v>
      </c>
      <c r="D506" s="27" t="s">
        <v>5520</v>
      </c>
      <c r="E506" s="22" t="s">
        <v>376</v>
      </c>
    </row>
    <row r="507" ht="15.75" customHeight="1" spans="1:5">
      <c r="A507" s="22"/>
      <c r="B507" s="25" t="s">
        <v>2406</v>
      </c>
      <c r="C507" s="28" t="s">
        <v>5983</v>
      </c>
      <c r="D507" s="27" t="s">
        <v>5520</v>
      </c>
      <c r="E507" s="22" t="s">
        <v>513</v>
      </c>
    </row>
    <row r="508" ht="15.75" customHeight="1" spans="1:5">
      <c r="A508" s="22"/>
      <c r="B508" s="25" t="s">
        <v>2408</v>
      </c>
      <c r="C508" s="28" t="s">
        <v>5984</v>
      </c>
      <c r="D508" s="27" t="s">
        <v>5520</v>
      </c>
      <c r="E508" s="22" t="s">
        <v>513</v>
      </c>
    </row>
    <row r="509" ht="15.75" customHeight="1" spans="1:5">
      <c r="A509" s="22"/>
      <c r="B509" s="25" t="s">
        <v>2410</v>
      </c>
      <c r="C509" s="28" t="s">
        <v>5985</v>
      </c>
      <c r="D509" s="27" t="s">
        <v>5520</v>
      </c>
      <c r="E509" s="22" t="s">
        <v>376</v>
      </c>
    </row>
    <row r="510" ht="15.75" customHeight="1" spans="1:5">
      <c r="A510" s="22"/>
      <c r="B510" s="25" t="s">
        <v>2412</v>
      </c>
      <c r="C510" s="28" t="s">
        <v>5986</v>
      </c>
      <c r="D510" s="27" t="s">
        <v>5520</v>
      </c>
      <c r="E510" s="22"/>
    </row>
    <row r="511" ht="15.75" customHeight="1" spans="1:5">
      <c r="A511" s="22"/>
      <c r="B511" s="25" t="s">
        <v>2414</v>
      </c>
      <c r="C511" s="28" t="s">
        <v>5987</v>
      </c>
      <c r="D511" s="27" t="s">
        <v>5520</v>
      </c>
      <c r="E511" s="22"/>
    </row>
    <row r="512" ht="15.75" customHeight="1" spans="1:5">
      <c r="A512" s="22"/>
      <c r="B512" s="25" t="s">
        <v>2416</v>
      </c>
      <c r="C512" s="28" t="s">
        <v>5988</v>
      </c>
      <c r="D512" s="27" t="s">
        <v>5520</v>
      </c>
      <c r="E512" s="22" t="s">
        <v>325</v>
      </c>
    </row>
    <row r="513" ht="15.75" customHeight="1" spans="1:5">
      <c r="A513" s="22"/>
      <c r="B513" s="25" t="s">
        <v>2418</v>
      </c>
      <c r="C513" s="28" t="s">
        <v>5989</v>
      </c>
      <c r="D513" s="27" t="s">
        <v>5520</v>
      </c>
      <c r="E513" s="22" t="s">
        <v>424</v>
      </c>
    </row>
    <row r="514" ht="15.75" customHeight="1" spans="1:5">
      <c r="A514" s="22"/>
      <c r="B514" s="25" t="s">
        <v>2420</v>
      </c>
      <c r="C514" s="28" t="s">
        <v>5990</v>
      </c>
      <c r="D514" s="27" t="s">
        <v>5520</v>
      </c>
      <c r="E514" s="22" t="s">
        <v>376</v>
      </c>
    </row>
    <row r="515" ht="15.75" customHeight="1" spans="1:5">
      <c r="A515" s="22"/>
      <c r="B515" s="25" t="s">
        <v>2422</v>
      </c>
      <c r="C515" s="28" t="s">
        <v>5991</v>
      </c>
      <c r="D515" s="27" t="s">
        <v>5520</v>
      </c>
      <c r="E515" s="22" t="s">
        <v>376</v>
      </c>
    </row>
    <row r="516" ht="15.75" customHeight="1" spans="1:5">
      <c r="A516" s="22"/>
      <c r="B516" s="25" t="s">
        <v>2424</v>
      </c>
      <c r="C516" s="28" t="s">
        <v>5992</v>
      </c>
      <c r="D516" s="27" t="s">
        <v>5520</v>
      </c>
      <c r="E516" s="22" t="s">
        <v>416</v>
      </c>
    </row>
    <row r="517" ht="15.75" customHeight="1" spans="1:5">
      <c r="A517" s="22"/>
      <c r="B517" s="25" t="s">
        <v>2426</v>
      </c>
      <c r="C517" s="28" t="s">
        <v>5993</v>
      </c>
      <c r="D517" s="27" t="s">
        <v>5520</v>
      </c>
      <c r="E517" s="22" t="s">
        <v>526</v>
      </c>
    </row>
    <row r="518" ht="15.75" customHeight="1" spans="1:5">
      <c r="A518" s="22"/>
      <c r="B518" s="25" t="s">
        <v>2428</v>
      </c>
      <c r="C518" s="28" t="s">
        <v>5994</v>
      </c>
      <c r="D518" s="27" t="s">
        <v>5520</v>
      </c>
      <c r="E518" s="22"/>
    </row>
    <row r="519" ht="15.75" customHeight="1" spans="1:5">
      <c r="A519" s="22"/>
      <c r="B519" s="25" t="s">
        <v>2430</v>
      </c>
      <c r="C519" s="28" t="s">
        <v>5995</v>
      </c>
      <c r="D519" s="27" t="s">
        <v>5520</v>
      </c>
      <c r="E519" s="22"/>
    </row>
    <row r="520" ht="15.75" customHeight="1" spans="1:5">
      <c r="A520" s="22"/>
      <c r="B520" s="25" t="s">
        <v>2432</v>
      </c>
      <c r="C520" s="28" t="s">
        <v>5996</v>
      </c>
      <c r="D520" s="27" t="s">
        <v>5520</v>
      </c>
      <c r="E520" s="22" t="s">
        <v>430</v>
      </c>
    </row>
    <row r="521" ht="15.75" customHeight="1" spans="1:5">
      <c r="A521" s="22"/>
      <c r="B521" s="25" t="s">
        <v>2434</v>
      </c>
      <c r="C521" s="28" t="s">
        <v>5997</v>
      </c>
      <c r="D521" s="27" t="s">
        <v>5520</v>
      </c>
      <c r="E521" s="22" t="s">
        <v>436</v>
      </c>
    </row>
    <row r="522" ht="15.75" customHeight="1" spans="1:5">
      <c r="A522" s="22"/>
      <c r="B522" s="25" t="s">
        <v>2436</v>
      </c>
      <c r="C522" s="28" t="s">
        <v>5998</v>
      </c>
      <c r="D522" s="27" t="s">
        <v>5520</v>
      </c>
      <c r="E522" s="22"/>
    </row>
    <row r="523" ht="15.75" customHeight="1" spans="1:5">
      <c r="A523" s="22"/>
      <c r="B523" s="25" t="s">
        <v>2438</v>
      </c>
      <c r="C523" s="28" t="s">
        <v>5999</v>
      </c>
      <c r="D523" s="27" t="s">
        <v>5520</v>
      </c>
      <c r="E523" s="22"/>
    </row>
    <row r="524" ht="15.75" customHeight="1" spans="1:5">
      <c r="A524" s="22"/>
      <c r="B524" s="25" t="s">
        <v>2440</v>
      </c>
      <c r="C524" s="28" t="s">
        <v>6000</v>
      </c>
      <c r="D524" s="27" t="s">
        <v>5520</v>
      </c>
      <c r="E524" s="22"/>
    </row>
    <row r="525" ht="15.75" customHeight="1" spans="1:5">
      <c r="A525" s="22"/>
      <c r="B525" s="25" t="s">
        <v>2442</v>
      </c>
      <c r="C525" s="28" t="s">
        <v>6001</v>
      </c>
      <c r="D525" s="27" t="s">
        <v>5520</v>
      </c>
      <c r="E525" s="22"/>
    </row>
    <row r="526" ht="15.75" customHeight="1" spans="1:5">
      <c r="A526" s="22"/>
      <c r="B526" s="25" t="s">
        <v>2444</v>
      </c>
      <c r="C526" s="28" t="s">
        <v>6002</v>
      </c>
      <c r="D526" s="27" t="s">
        <v>5520</v>
      </c>
      <c r="E526" s="22"/>
    </row>
    <row r="527" ht="15.75" customHeight="1" spans="1:5">
      <c r="A527" s="22"/>
      <c r="B527" s="25" t="s">
        <v>2446</v>
      </c>
      <c r="C527" s="28" t="s">
        <v>6003</v>
      </c>
      <c r="D527" s="27" t="s">
        <v>5520</v>
      </c>
      <c r="E527" s="22"/>
    </row>
    <row r="528" ht="15.75" customHeight="1" spans="1:5">
      <c r="A528" s="22"/>
      <c r="B528" s="25" t="s">
        <v>2448</v>
      </c>
      <c r="C528" s="28" t="s">
        <v>6004</v>
      </c>
      <c r="D528" s="27" t="s">
        <v>5520</v>
      </c>
      <c r="E528" s="22"/>
    </row>
    <row r="529" ht="15.75" customHeight="1" spans="1:5">
      <c r="A529" s="22"/>
      <c r="B529" s="25" t="s">
        <v>2450</v>
      </c>
      <c r="C529" s="28" t="s">
        <v>6005</v>
      </c>
      <c r="D529" s="27" t="s">
        <v>5520</v>
      </c>
      <c r="E529" s="22"/>
    </row>
    <row r="530" ht="15.75" customHeight="1" spans="1:5">
      <c r="A530" s="22"/>
      <c r="B530" s="25" t="s">
        <v>2452</v>
      </c>
      <c r="C530" s="28" t="s">
        <v>6006</v>
      </c>
      <c r="D530" s="27" t="s">
        <v>5520</v>
      </c>
      <c r="E530" s="22" t="s">
        <v>513</v>
      </c>
    </row>
    <row r="531" ht="15.75" customHeight="1" spans="1:5">
      <c r="A531" s="22"/>
      <c r="B531" s="25" t="s">
        <v>2454</v>
      </c>
      <c r="C531" s="28" t="s">
        <v>6007</v>
      </c>
      <c r="D531" s="27" t="s">
        <v>5520</v>
      </c>
      <c r="E531" s="22" t="s">
        <v>497</v>
      </c>
    </row>
    <row r="532" ht="15.75" customHeight="1" spans="1:5">
      <c r="A532" s="22"/>
      <c r="B532" s="25" t="s">
        <v>2456</v>
      </c>
      <c r="C532" s="28" t="s">
        <v>6008</v>
      </c>
      <c r="D532" s="27" t="s">
        <v>5520</v>
      </c>
      <c r="E532" s="22"/>
    </row>
    <row r="533" ht="15.75" customHeight="1" spans="1:5">
      <c r="A533" s="22"/>
      <c r="B533" s="25" t="s">
        <v>2458</v>
      </c>
      <c r="C533" s="28" t="s">
        <v>6009</v>
      </c>
      <c r="D533" s="27" t="s">
        <v>5520</v>
      </c>
      <c r="E533" s="22"/>
    </row>
    <row r="534" ht="15.75" customHeight="1" spans="1:5">
      <c r="A534" s="22"/>
      <c r="B534" s="25" t="s">
        <v>2460</v>
      </c>
      <c r="C534" s="28" t="s">
        <v>6010</v>
      </c>
      <c r="D534" s="27" t="s">
        <v>5520</v>
      </c>
      <c r="E534" s="22"/>
    </row>
    <row r="535" ht="15.75" customHeight="1" spans="1:5">
      <c r="A535" s="22"/>
      <c r="B535" s="25" t="s">
        <v>2462</v>
      </c>
      <c r="C535" s="28" t="s">
        <v>6011</v>
      </c>
      <c r="D535" s="27" t="s">
        <v>5520</v>
      </c>
      <c r="E535" s="22"/>
    </row>
    <row r="536" ht="15.75" customHeight="1" spans="1:5">
      <c r="A536" s="22"/>
      <c r="B536" s="25" t="s">
        <v>2464</v>
      </c>
      <c r="C536" s="28" t="s">
        <v>6012</v>
      </c>
      <c r="D536" s="27" t="s">
        <v>5520</v>
      </c>
      <c r="E536" s="22"/>
    </row>
    <row r="537" ht="15.75" customHeight="1" spans="1:5">
      <c r="A537" s="22"/>
      <c r="B537" s="25" t="s">
        <v>2466</v>
      </c>
      <c r="C537" s="28" t="s">
        <v>6013</v>
      </c>
      <c r="D537" s="27" t="s">
        <v>5520</v>
      </c>
      <c r="E537" s="22"/>
    </row>
    <row r="538" ht="15.75" customHeight="1" spans="1:5">
      <c r="A538" s="22"/>
      <c r="B538" s="25" t="s">
        <v>2468</v>
      </c>
      <c r="C538" s="28" t="s">
        <v>6014</v>
      </c>
      <c r="D538" s="27" t="s">
        <v>5520</v>
      </c>
      <c r="E538" s="22" t="s">
        <v>436</v>
      </c>
    </row>
    <row r="539" ht="15.75" customHeight="1" spans="1:5">
      <c r="A539" s="22"/>
      <c r="B539" s="25" t="s">
        <v>2470</v>
      </c>
      <c r="C539" s="28" t="s">
        <v>6015</v>
      </c>
      <c r="D539" s="27" t="s">
        <v>5520</v>
      </c>
      <c r="E539" s="22"/>
    </row>
    <row r="540" ht="15.75" customHeight="1" spans="1:5">
      <c r="A540" s="22"/>
      <c r="B540" s="25" t="s">
        <v>2472</v>
      </c>
      <c r="C540" s="28" t="s">
        <v>6016</v>
      </c>
      <c r="D540" s="27" t="s">
        <v>5520</v>
      </c>
      <c r="E540" s="22"/>
    </row>
    <row r="541" ht="15.75" customHeight="1" spans="1:5">
      <c r="A541" s="22"/>
      <c r="B541" s="25" t="s">
        <v>2474</v>
      </c>
      <c r="C541" s="28" t="s">
        <v>6017</v>
      </c>
      <c r="D541" s="27" t="s">
        <v>5520</v>
      </c>
      <c r="E541" s="22" t="s">
        <v>436</v>
      </c>
    </row>
    <row r="542" ht="15.75" customHeight="1" spans="1:5">
      <c r="A542" s="22"/>
      <c r="B542" s="25" t="s">
        <v>2476</v>
      </c>
      <c r="C542" s="28" t="s">
        <v>6018</v>
      </c>
      <c r="D542" s="27" t="s">
        <v>5520</v>
      </c>
      <c r="E542" s="22"/>
    </row>
    <row r="543" ht="15.75" customHeight="1" spans="1:5">
      <c r="A543" s="22"/>
      <c r="B543" s="25" t="s">
        <v>2478</v>
      </c>
      <c r="C543" s="28" t="s">
        <v>6019</v>
      </c>
      <c r="D543" s="27" t="s">
        <v>5520</v>
      </c>
      <c r="E543" s="22" t="s">
        <v>436</v>
      </c>
    </row>
    <row r="544" ht="15.75" customHeight="1" spans="1:5">
      <c r="A544" s="22"/>
      <c r="B544" s="25" t="s">
        <v>2480</v>
      </c>
      <c r="C544" s="28" t="s">
        <v>6020</v>
      </c>
      <c r="D544" s="27" t="s">
        <v>5520</v>
      </c>
      <c r="E544" s="22"/>
    </row>
    <row r="545" ht="15.75" customHeight="1" spans="1:5">
      <c r="A545" s="22"/>
      <c r="B545" s="25" t="s">
        <v>2482</v>
      </c>
      <c r="C545" s="28" t="s">
        <v>6021</v>
      </c>
      <c r="D545" s="27" t="s">
        <v>5520</v>
      </c>
      <c r="E545" s="22"/>
    </row>
    <row r="546" ht="15.75" customHeight="1" spans="1:5">
      <c r="A546" s="22"/>
      <c r="B546" s="25" t="s">
        <v>2484</v>
      </c>
      <c r="C546" s="28" t="s">
        <v>6022</v>
      </c>
      <c r="D546" s="27" t="s">
        <v>5520</v>
      </c>
      <c r="E546" s="22" t="s">
        <v>416</v>
      </c>
    </row>
    <row r="547" ht="15.75" customHeight="1" spans="1:5">
      <c r="A547" s="22"/>
      <c r="B547" s="25" t="s">
        <v>2486</v>
      </c>
      <c r="C547" s="28" t="s">
        <v>6023</v>
      </c>
      <c r="D547" s="27" t="s">
        <v>5520</v>
      </c>
      <c r="E547" s="22"/>
    </row>
    <row r="548" ht="15.75" customHeight="1" spans="1:5">
      <c r="A548" s="22"/>
      <c r="B548" s="25" t="s">
        <v>2488</v>
      </c>
      <c r="C548" s="28" t="s">
        <v>6024</v>
      </c>
      <c r="D548" s="27" t="s">
        <v>5520</v>
      </c>
      <c r="E548" s="22" t="s">
        <v>342</v>
      </c>
    </row>
    <row r="549" ht="15.75" customHeight="1" spans="1:5">
      <c r="A549" s="22"/>
      <c r="B549" s="25" t="s">
        <v>2490</v>
      </c>
      <c r="C549" s="28" t="s">
        <v>6025</v>
      </c>
      <c r="D549" s="27" t="s">
        <v>5520</v>
      </c>
      <c r="E549" s="22" t="s">
        <v>534</v>
      </c>
    </row>
    <row r="550" ht="15.75" customHeight="1" spans="1:5">
      <c r="A550" s="22"/>
      <c r="B550" s="25" t="s">
        <v>2492</v>
      </c>
      <c r="C550" s="28" t="s">
        <v>6026</v>
      </c>
      <c r="D550" s="27" t="s">
        <v>5520</v>
      </c>
      <c r="E550" s="22"/>
    </row>
    <row r="551" ht="15.75" customHeight="1" spans="1:5">
      <c r="A551" s="22"/>
      <c r="B551" s="25" t="s">
        <v>2494</v>
      </c>
      <c r="C551" s="28" t="s">
        <v>6025</v>
      </c>
      <c r="D551" s="27" t="s">
        <v>5520</v>
      </c>
      <c r="E551" s="22" t="s">
        <v>534</v>
      </c>
    </row>
    <row r="552" ht="15.75" customHeight="1" spans="1:5">
      <c r="A552" s="22"/>
      <c r="B552" s="25" t="s">
        <v>2496</v>
      </c>
      <c r="C552" s="28" t="s">
        <v>6027</v>
      </c>
      <c r="D552" s="27" t="s">
        <v>5520</v>
      </c>
      <c r="E552" s="22"/>
    </row>
    <row r="553" ht="15.75" customHeight="1" spans="1:5">
      <c r="A553" s="22"/>
      <c r="B553" s="25" t="s">
        <v>2498</v>
      </c>
      <c r="C553" s="28" t="s">
        <v>6028</v>
      </c>
      <c r="D553" s="27" t="s">
        <v>5520</v>
      </c>
      <c r="E553" s="22"/>
    </row>
    <row r="554" ht="15.75" customHeight="1" spans="1:5">
      <c r="A554" s="22"/>
      <c r="B554" s="25" t="s">
        <v>2500</v>
      </c>
      <c r="C554" s="28" t="s">
        <v>6029</v>
      </c>
      <c r="D554" s="27" t="s">
        <v>5520</v>
      </c>
      <c r="E554" s="22"/>
    </row>
    <row r="555" ht="15.75" customHeight="1" spans="1:5">
      <c r="A555" s="22"/>
      <c r="B555" s="25" t="s">
        <v>2502</v>
      </c>
      <c r="C555" s="28" t="s">
        <v>6030</v>
      </c>
      <c r="D555" s="27" t="s">
        <v>5520</v>
      </c>
      <c r="E555" s="22" t="s">
        <v>376</v>
      </c>
    </row>
    <row r="556" ht="15.75" customHeight="1" spans="1:5">
      <c r="A556" s="22"/>
      <c r="B556" s="25" t="s">
        <v>2504</v>
      </c>
      <c r="C556" s="28" t="s">
        <v>6031</v>
      </c>
      <c r="D556" s="27" t="s">
        <v>5520</v>
      </c>
      <c r="E556" s="22"/>
    </row>
    <row r="557" ht="15.75" customHeight="1" spans="1:5">
      <c r="A557" s="22"/>
      <c r="B557" s="25" t="s">
        <v>2506</v>
      </c>
      <c r="C557" s="28" t="s">
        <v>6032</v>
      </c>
      <c r="D557" s="27" t="s">
        <v>5520</v>
      </c>
      <c r="E557" s="22"/>
    </row>
    <row r="558" ht="15.75" customHeight="1" spans="1:5">
      <c r="A558" s="22"/>
      <c r="B558" s="25" t="s">
        <v>2508</v>
      </c>
      <c r="C558" s="28" t="s">
        <v>6033</v>
      </c>
      <c r="D558" s="27" t="s">
        <v>5520</v>
      </c>
      <c r="E558" s="22" t="s">
        <v>325</v>
      </c>
    </row>
    <row r="559" ht="15.75" customHeight="1" spans="1:5">
      <c r="A559" s="22"/>
      <c r="B559" s="25" t="s">
        <v>2510</v>
      </c>
      <c r="C559" s="28" t="s">
        <v>6034</v>
      </c>
      <c r="D559" s="27" t="s">
        <v>5520</v>
      </c>
      <c r="E559" s="22" t="s">
        <v>6035</v>
      </c>
    </row>
    <row r="560" ht="15.75" customHeight="1" spans="1:5">
      <c r="A560" s="22"/>
      <c r="B560" s="25" t="s">
        <v>2512</v>
      </c>
      <c r="C560" s="28" t="s">
        <v>6036</v>
      </c>
      <c r="D560" s="27" t="s">
        <v>5520</v>
      </c>
      <c r="E560" s="22" t="s">
        <v>436</v>
      </c>
    </row>
    <row r="561" ht="15.75" customHeight="1" spans="1:5">
      <c r="A561" s="22"/>
      <c r="B561" s="25" t="s">
        <v>2514</v>
      </c>
      <c r="C561" s="28" t="s">
        <v>6037</v>
      </c>
      <c r="D561" s="27" t="s">
        <v>5520</v>
      </c>
      <c r="E561" s="22" t="s">
        <v>436</v>
      </c>
    </row>
    <row r="562" ht="15.75" customHeight="1" spans="1:5">
      <c r="A562" s="22"/>
      <c r="B562" s="25" t="s">
        <v>2516</v>
      </c>
      <c r="C562" s="28" t="s">
        <v>6038</v>
      </c>
      <c r="D562" s="27" t="s">
        <v>5520</v>
      </c>
      <c r="E562" s="22" t="s">
        <v>436</v>
      </c>
    </row>
    <row r="563" ht="15.75" customHeight="1" spans="1:5">
      <c r="A563" s="22"/>
      <c r="B563" s="25" t="s">
        <v>2518</v>
      </c>
      <c r="C563" s="28" t="s">
        <v>6039</v>
      </c>
      <c r="D563" s="27" t="s">
        <v>5520</v>
      </c>
      <c r="E563" s="22" t="s">
        <v>408</v>
      </c>
    </row>
    <row r="564" ht="15.75" customHeight="1" spans="1:5">
      <c r="A564" s="22"/>
      <c r="B564" s="25" t="s">
        <v>2520</v>
      </c>
      <c r="C564" s="28" t="s">
        <v>6040</v>
      </c>
      <c r="D564" s="27" t="s">
        <v>5520</v>
      </c>
      <c r="E564" s="22" t="s">
        <v>416</v>
      </c>
    </row>
    <row r="565" ht="15.75" customHeight="1" spans="1:5">
      <c r="A565" s="22"/>
      <c r="B565" s="25" t="s">
        <v>2522</v>
      </c>
      <c r="C565" s="28" t="s">
        <v>6041</v>
      </c>
      <c r="D565" s="27" t="s">
        <v>5520</v>
      </c>
      <c r="E565" s="22" t="s">
        <v>436</v>
      </c>
    </row>
    <row r="566" ht="15.75" customHeight="1" spans="1:5">
      <c r="A566" s="22"/>
      <c r="B566" s="25" t="s">
        <v>2524</v>
      </c>
      <c r="C566" s="28" t="s">
        <v>6042</v>
      </c>
      <c r="D566" s="27" t="s">
        <v>5520</v>
      </c>
      <c r="E566" s="22" t="s">
        <v>513</v>
      </c>
    </row>
    <row r="567" ht="15.75" customHeight="1" spans="1:5">
      <c r="A567" s="22"/>
      <c r="B567" s="25" t="s">
        <v>2526</v>
      </c>
      <c r="C567" s="28" t="s">
        <v>6043</v>
      </c>
      <c r="D567" s="27" t="s">
        <v>5520</v>
      </c>
      <c r="E567" s="22" t="s">
        <v>376</v>
      </c>
    </row>
    <row r="568" ht="15.75" customHeight="1" spans="1:5">
      <c r="A568" s="22"/>
      <c r="B568" s="25" t="s">
        <v>2528</v>
      </c>
      <c r="C568" s="28" t="s">
        <v>6044</v>
      </c>
      <c r="D568" s="27" t="s">
        <v>5520</v>
      </c>
      <c r="E568" s="22" t="s">
        <v>534</v>
      </c>
    </row>
    <row r="569" ht="15.75" customHeight="1" spans="1:5">
      <c r="A569" s="22"/>
      <c r="B569" s="25" t="s">
        <v>2530</v>
      </c>
      <c r="C569" s="28" t="s">
        <v>6045</v>
      </c>
      <c r="D569" s="27" t="s">
        <v>5520</v>
      </c>
      <c r="E569" s="22" t="s">
        <v>424</v>
      </c>
    </row>
    <row r="570" ht="15.75" customHeight="1" spans="1:5">
      <c r="A570" s="22"/>
      <c r="B570" s="25" t="s">
        <v>2532</v>
      </c>
      <c r="C570" s="28" t="s">
        <v>6046</v>
      </c>
      <c r="D570" s="27" t="s">
        <v>5520</v>
      </c>
      <c r="E570" s="22" t="s">
        <v>342</v>
      </c>
    </row>
    <row r="571" ht="15.75" customHeight="1" spans="1:5">
      <c r="A571" s="22"/>
      <c r="B571" s="25" t="s">
        <v>2534</v>
      </c>
      <c r="C571" s="28" t="s">
        <v>6047</v>
      </c>
      <c r="D571" s="27" t="s">
        <v>5520</v>
      </c>
      <c r="E571" s="22" t="s">
        <v>497</v>
      </c>
    </row>
    <row r="572" ht="15.75" customHeight="1" spans="1:5">
      <c r="A572" s="22"/>
      <c r="B572" s="25" t="s">
        <v>2536</v>
      </c>
      <c r="C572" s="28" t="s">
        <v>6047</v>
      </c>
      <c r="D572" s="27" t="s">
        <v>5520</v>
      </c>
      <c r="E572" s="22"/>
    </row>
    <row r="573" ht="15.75" customHeight="1" spans="1:5">
      <c r="A573" s="22"/>
      <c r="B573" s="25" t="s">
        <v>2538</v>
      </c>
      <c r="C573" s="28" t="s">
        <v>6047</v>
      </c>
      <c r="D573" s="27" t="s">
        <v>5520</v>
      </c>
      <c r="E573" s="22"/>
    </row>
    <row r="574" ht="15.75" customHeight="1" spans="1:5">
      <c r="A574" s="22"/>
      <c r="B574" s="25" t="s">
        <v>2540</v>
      </c>
      <c r="C574" s="28" t="s">
        <v>6048</v>
      </c>
      <c r="D574" s="27" t="s">
        <v>5520</v>
      </c>
      <c r="E574" s="22" t="s">
        <v>376</v>
      </c>
    </row>
    <row r="575" ht="15.75" customHeight="1" spans="1:5">
      <c r="A575" s="22"/>
      <c r="B575" s="25" t="s">
        <v>2542</v>
      </c>
      <c r="C575" s="28" t="s">
        <v>6049</v>
      </c>
      <c r="D575" s="27" t="s">
        <v>5520</v>
      </c>
      <c r="E575" s="22"/>
    </row>
    <row r="576" ht="15.75" customHeight="1" spans="1:5">
      <c r="A576" s="22"/>
      <c r="B576" s="25" t="s">
        <v>2544</v>
      </c>
      <c r="C576" s="28" t="s">
        <v>6050</v>
      </c>
      <c r="D576" s="27" t="s">
        <v>5520</v>
      </c>
      <c r="E576" s="22"/>
    </row>
    <row r="577" ht="15.75" customHeight="1" spans="1:5">
      <c r="A577" s="22"/>
      <c r="B577" s="25" t="s">
        <v>2546</v>
      </c>
      <c r="C577" s="28" t="s">
        <v>6051</v>
      </c>
      <c r="D577" s="27" t="s">
        <v>5520</v>
      </c>
      <c r="E577" s="22"/>
    </row>
    <row r="578" ht="15.75" customHeight="1" spans="1:5">
      <c r="A578" s="22"/>
      <c r="B578" s="25" t="s">
        <v>2548</v>
      </c>
      <c r="C578" s="28" t="s">
        <v>6052</v>
      </c>
      <c r="D578" s="27" t="s">
        <v>5520</v>
      </c>
      <c r="E578" s="22"/>
    </row>
    <row r="579" ht="15.75" customHeight="1" spans="1:5">
      <c r="A579" s="22"/>
      <c r="B579" s="25" t="s">
        <v>2550</v>
      </c>
      <c r="C579" s="28" t="s">
        <v>6053</v>
      </c>
      <c r="D579" s="27" t="s">
        <v>5520</v>
      </c>
      <c r="E579" s="22"/>
    </row>
    <row r="580" ht="15.75" customHeight="1" spans="1:5">
      <c r="A580" s="22"/>
      <c r="B580" s="25" t="s">
        <v>2552</v>
      </c>
      <c r="C580" s="28" t="s">
        <v>6054</v>
      </c>
      <c r="D580" s="27" t="s">
        <v>5520</v>
      </c>
      <c r="E580" s="22" t="s">
        <v>376</v>
      </c>
    </row>
    <row r="581" ht="15.75" customHeight="1" spans="1:5">
      <c r="A581" s="22"/>
      <c r="B581" s="25" t="s">
        <v>2554</v>
      </c>
      <c r="C581" s="28" t="s">
        <v>6055</v>
      </c>
      <c r="D581" s="27" t="s">
        <v>5520</v>
      </c>
      <c r="E581" s="22" t="s">
        <v>416</v>
      </c>
    </row>
    <row r="582" ht="15.75" customHeight="1" spans="1:5">
      <c r="A582" s="22"/>
      <c r="B582" s="25" t="s">
        <v>2556</v>
      </c>
      <c r="C582" s="28" t="s">
        <v>6056</v>
      </c>
      <c r="D582" s="27" t="s">
        <v>5520</v>
      </c>
      <c r="E582" s="22" t="s">
        <v>325</v>
      </c>
    </row>
    <row r="583" ht="15.75" customHeight="1" spans="1:5">
      <c r="A583" s="22"/>
      <c r="B583" s="25" t="s">
        <v>2558</v>
      </c>
      <c r="C583" s="28" t="s">
        <v>6057</v>
      </c>
      <c r="D583" s="27" t="s">
        <v>5520</v>
      </c>
      <c r="E583" s="22" t="s">
        <v>424</v>
      </c>
    </row>
    <row r="584" ht="15.75" customHeight="1" spans="1:5">
      <c r="A584" s="22"/>
      <c r="B584" s="25" t="s">
        <v>2560</v>
      </c>
      <c r="C584" s="28" t="s">
        <v>6058</v>
      </c>
      <c r="D584" s="27" t="s">
        <v>5520</v>
      </c>
      <c r="E584" s="22" t="s">
        <v>534</v>
      </c>
    </row>
    <row r="585" ht="15.75" customHeight="1" spans="1:5">
      <c r="A585" s="22"/>
      <c r="B585" s="25" t="s">
        <v>2562</v>
      </c>
      <c r="C585" s="28" t="s">
        <v>6059</v>
      </c>
      <c r="D585" s="27" t="s">
        <v>5520</v>
      </c>
      <c r="E585" s="22" t="s">
        <v>526</v>
      </c>
    </row>
    <row r="586" ht="15.75" customHeight="1" spans="1:5">
      <c r="A586" s="22"/>
      <c r="B586" s="25" t="s">
        <v>2564</v>
      </c>
      <c r="C586" s="28" t="s">
        <v>6060</v>
      </c>
      <c r="D586" s="27" t="s">
        <v>5520</v>
      </c>
      <c r="E586" s="22"/>
    </row>
    <row r="587" ht="15.75" customHeight="1" spans="1:5">
      <c r="A587" s="22"/>
      <c r="B587" s="25" t="s">
        <v>2566</v>
      </c>
      <c r="C587" s="28" t="s">
        <v>6061</v>
      </c>
      <c r="D587" s="27" t="s">
        <v>5520</v>
      </c>
      <c r="E587" s="22" t="s">
        <v>337</v>
      </c>
    </row>
    <row r="588" ht="15.75" customHeight="1" spans="1:5">
      <c r="A588" s="22"/>
      <c r="B588" s="25" t="s">
        <v>2568</v>
      </c>
      <c r="C588" s="28" t="s">
        <v>6062</v>
      </c>
      <c r="D588" s="27" t="s">
        <v>5520</v>
      </c>
      <c r="E588" s="22" t="s">
        <v>416</v>
      </c>
    </row>
    <row r="589" ht="15.75" customHeight="1" spans="1:5">
      <c r="A589" s="22"/>
      <c r="B589" s="25" t="s">
        <v>2570</v>
      </c>
      <c r="C589" s="28" t="s">
        <v>6063</v>
      </c>
      <c r="D589" s="27" t="s">
        <v>5520</v>
      </c>
      <c r="E589" s="22"/>
    </row>
    <row r="590" ht="15.75" customHeight="1" spans="1:5">
      <c r="A590" s="22"/>
      <c r="B590" s="25" t="s">
        <v>2572</v>
      </c>
      <c r="C590" s="28" t="s">
        <v>6064</v>
      </c>
      <c r="D590" s="27" t="s">
        <v>5520</v>
      </c>
      <c r="E590" s="22"/>
    </row>
    <row r="591" ht="15.75" customHeight="1" spans="1:5">
      <c r="A591" s="22"/>
      <c r="B591" s="25" t="s">
        <v>2574</v>
      </c>
      <c r="C591" s="28" t="s">
        <v>6065</v>
      </c>
      <c r="D591" s="27" t="s">
        <v>5520</v>
      </c>
      <c r="E591" s="22"/>
    </row>
    <row r="592" ht="15.75" customHeight="1" spans="1:5">
      <c r="A592" s="22"/>
      <c r="B592" s="25" t="s">
        <v>2576</v>
      </c>
      <c r="C592" s="28" t="s">
        <v>6066</v>
      </c>
      <c r="D592" s="27" t="s">
        <v>5520</v>
      </c>
      <c r="E592" s="22"/>
    </row>
    <row r="593" ht="15.75" customHeight="1" spans="1:5">
      <c r="A593" s="22"/>
      <c r="B593" s="25" t="s">
        <v>2578</v>
      </c>
      <c r="C593" s="28" t="s">
        <v>6067</v>
      </c>
      <c r="D593" s="27" t="s">
        <v>5520</v>
      </c>
      <c r="E593" s="22"/>
    </row>
    <row r="594" ht="15.75" customHeight="1" spans="1:5">
      <c r="A594" s="22"/>
      <c r="B594" s="25" t="s">
        <v>2580</v>
      </c>
      <c r="C594" s="28" t="s">
        <v>6068</v>
      </c>
      <c r="D594" s="27" t="s">
        <v>5520</v>
      </c>
      <c r="E594" s="22" t="s">
        <v>492</v>
      </c>
    </row>
    <row r="595" ht="15.75" customHeight="1" spans="1:5">
      <c r="A595" s="22"/>
      <c r="B595" s="25" t="s">
        <v>2582</v>
      </c>
      <c r="C595" s="28" t="s">
        <v>6069</v>
      </c>
      <c r="D595" s="27" t="s">
        <v>5520</v>
      </c>
      <c r="E595" s="22" t="s">
        <v>549</v>
      </c>
    </row>
    <row r="596" ht="15.75" customHeight="1" spans="1:5">
      <c r="A596" s="22"/>
      <c r="B596" s="25" t="s">
        <v>2584</v>
      </c>
      <c r="C596" s="28" t="s">
        <v>6070</v>
      </c>
      <c r="D596" s="27" t="s">
        <v>5520</v>
      </c>
      <c r="E596" s="22" t="s">
        <v>534</v>
      </c>
    </row>
    <row r="597" ht="15.75" customHeight="1" spans="1:5">
      <c r="A597" s="22"/>
      <c r="B597" s="25" t="s">
        <v>2586</v>
      </c>
      <c r="C597" s="28" t="s">
        <v>6071</v>
      </c>
      <c r="D597" s="27" t="s">
        <v>5520</v>
      </c>
      <c r="E597" s="22"/>
    </row>
    <row r="598" ht="15.75" customHeight="1" spans="1:5">
      <c r="A598" s="22"/>
      <c r="B598" s="25" t="s">
        <v>2588</v>
      </c>
      <c r="C598" s="28" t="s">
        <v>6072</v>
      </c>
      <c r="D598" s="27" t="s">
        <v>5520</v>
      </c>
      <c r="E598" s="22" t="s">
        <v>534</v>
      </c>
    </row>
    <row r="599" ht="15.75" customHeight="1" spans="1:5">
      <c r="A599" s="22"/>
      <c r="B599" s="25" t="s">
        <v>2590</v>
      </c>
      <c r="C599" s="28" t="s">
        <v>6073</v>
      </c>
      <c r="D599" s="27" t="s">
        <v>5520</v>
      </c>
      <c r="E599" s="22"/>
    </row>
    <row r="600" ht="15.75" customHeight="1" spans="1:5">
      <c r="A600" s="22"/>
      <c r="B600" s="25" t="s">
        <v>2592</v>
      </c>
      <c r="C600" s="28" t="s">
        <v>6074</v>
      </c>
      <c r="D600" s="27" t="s">
        <v>5520</v>
      </c>
      <c r="E600" s="22"/>
    </row>
    <row r="601" ht="15.75" customHeight="1" spans="1:5">
      <c r="A601" s="22"/>
      <c r="B601" s="25" t="s">
        <v>2594</v>
      </c>
      <c r="C601" s="28" t="s">
        <v>6075</v>
      </c>
      <c r="D601" s="27" t="s">
        <v>5520</v>
      </c>
      <c r="E601" s="22"/>
    </row>
    <row r="602" ht="15.75" customHeight="1" spans="1:5">
      <c r="A602" s="22"/>
      <c r="B602" s="25" t="s">
        <v>2596</v>
      </c>
      <c r="C602" s="28" t="s">
        <v>6076</v>
      </c>
      <c r="D602" s="27" t="s">
        <v>5520</v>
      </c>
      <c r="E602" s="22"/>
    </row>
    <row r="603" ht="15.75" customHeight="1" spans="1:5">
      <c r="A603" s="22"/>
      <c r="B603" s="25" t="s">
        <v>2598</v>
      </c>
      <c r="C603" s="28" t="s">
        <v>6077</v>
      </c>
      <c r="D603" s="27" t="s">
        <v>5520</v>
      </c>
      <c r="E603" s="22"/>
    </row>
    <row r="604" ht="15.75" customHeight="1" spans="1:5">
      <c r="A604" s="22"/>
      <c r="B604" s="25" t="s">
        <v>2600</v>
      </c>
      <c r="C604" s="28" t="s">
        <v>6078</v>
      </c>
      <c r="D604" s="27" t="s">
        <v>5520</v>
      </c>
      <c r="E604" s="22" t="s">
        <v>376</v>
      </c>
    </row>
    <row r="605" ht="15.75" customHeight="1" spans="1:5">
      <c r="A605" s="22"/>
      <c r="B605" s="25" t="s">
        <v>2602</v>
      </c>
      <c r="C605" s="28" t="s">
        <v>6079</v>
      </c>
      <c r="D605" s="27" t="s">
        <v>5520</v>
      </c>
      <c r="E605" s="22"/>
    </row>
    <row r="606" ht="15.75" customHeight="1" spans="1:5">
      <c r="A606" s="22"/>
      <c r="B606" s="25" t="s">
        <v>2604</v>
      </c>
      <c r="C606" s="28" t="s">
        <v>6080</v>
      </c>
      <c r="D606" s="27" t="s">
        <v>5520</v>
      </c>
      <c r="E606" s="22" t="s">
        <v>416</v>
      </c>
    </row>
    <row r="607" ht="15.75" customHeight="1" spans="1:5">
      <c r="A607" s="22"/>
      <c r="B607" s="25" t="s">
        <v>2606</v>
      </c>
      <c r="C607" s="28" t="s">
        <v>6081</v>
      </c>
      <c r="D607" s="27" t="s">
        <v>5520</v>
      </c>
      <c r="E607" s="22"/>
    </row>
    <row r="608" ht="15.75" customHeight="1" spans="1:5">
      <c r="A608" s="22"/>
      <c r="B608" s="25" t="s">
        <v>2608</v>
      </c>
      <c r="C608" s="28" t="s">
        <v>6082</v>
      </c>
      <c r="D608" s="27" t="s">
        <v>5520</v>
      </c>
      <c r="E608" s="22"/>
    </row>
    <row r="609" ht="15.75" customHeight="1" spans="1:5">
      <c r="A609" s="22"/>
      <c r="B609" s="25" t="s">
        <v>2610</v>
      </c>
      <c r="C609" s="28" t="s">
        <v>6083</v>
      </c>
      <c r="D609" s="27" t="s">
        <v>5520</v>
      </c>
      <c r="E609" s="22" t="s">
        <v>337</v>
      </c>
    </row>
    <row r="610" ht="15.75" customHeight="1" spans="1:5">
      <c r="A610" s="22"/>
      <c r="B610" s="25" t="s">
        <v>2612</v>
      </c>
      <c r="C610" s="28" t="s">
        <v>6084</v>
      </c>
      <c r="D610" s="27" t="s">
        <v>5520</v>
      </c>
      <c r="E610" s="22" t="s">
        <v>492</v>
      </c>
    </row>
    <row r="611" ht="15.75" customHeight="1" spans="1:5">
      <c r="A611" s="22"/>
      <c r="B611" s="25" t="s">
        <v>2614</v>
      </c>
      <c r="C611" s="28" t="s">
        <v>6068</v>
      </c>
      <c r="D611" s="27" t="s">
        <v>5520</v>
      </c>
      <c r="E611" s="22"/>
    </row>
    <row r="612" ht="15.75" customHeight="1" spans="1:5">
      <c r="A612" s="22"/>
      <c r="B612" s="25" t="s">
        <v>2616</v>
      </c>
      <c r="C612" s="28" t="s">
        <v>6085</v>
      </c>
      <c r="D612" s="27" t="s">
        <v>5520</v>
      </c>
      <c r="E612" s="22"/>
    </row>
    <row r="613" ht="15.75" customHeight="1" spans="1:5">
      <c r="A613" s="22"/>
      <c r="B613" s="25" t="s">
        <v>2618</v>
      </c>
      <c r="C613" s="28" t="s">
        <v>6068</v>
      </c>
      <c r="D613" s="27" t="s">
        <v>5520</v>
      </c>
      <c r="E613" s="22"/>
    </row>
    <row r="614" ht="15.75" customHeight="1" spans="1:5">
      <c r="A614" s="22"/>
      <c r="B614" s="25" t="s">
        <v>2620</v>
      </c>
      <c r="C614" s="28" t="s">
        <v>5673</v>
      </c>
      <c r="D614" s="27" t="s">
        <v>5520</v>
      </c>
      <c r="E614" s="22"/>
    </row>
    <row r="615" ht="15.75" customHeight="1" spans="1:5">
      <c r="A615" s="22"/>
      <c r="B615" s="25" t="s">
        <v>2622</v>
      </c>
      <c r="C615" s="28" t="s">
        <v>6086</v>
      </c>
      <c r="D615" s="27" t="s">
        <v>5520</v>
      </c>
      <c r="E615" s="22" t="s">
        <v>513</v>
      </c>
    </row>
    <row r="616" ht="15.75" customHeight="1" spans="1:5">
      <c r="A616" s="22"/>
      <c r="B616" s="25" t="s">
        <v>2624</v>
      </c>
      <c r="C616" s="28" t="s">
        <v>6086</v>
      </c>
      <c r="D616" s="27" t="s">
        <v>5520</v>
      </c>
      <c r="E616" s="22" t="s">
        <v>513</v>
      </c>
    </row>
    <row r="617" ht="15.75" customHeight="1" spans="1:5">
      <c r="A617" s="22"/>
      <c r="B617" s="25" t="s">
        <v>2626</v>
      </c>
      <c r="C617" s="28" t="s">
        <v>6086</v>
      </c>
      <c r="D617" s="27" t="s">
        <v>5520</v>
      </c>
      <c r="E617" s="22"/>
    </row>
    <row r="618" ht="15.75" customHeight="1" spans="1:5">
      <c r="A618" s="22"/>
      <c r="B618" s="25" t="s">
        <v>2628</v>
      </c>
      <c r="C618" s="28" t="s">
        <v>6087</v>
      </c>
      <c r="D618" s="27" t="s">
        <v>5520</v>
      </c>
      <c r="E618" s="22" t="s">
        <v>513</v>
      </c>
    </row>
    <row r="619" ht="15.75" customHeight="1" spans="1:5">
      <c r="A619" s="22"/>
      <c r="B619" s="25" t="s">
        <v>2630</v>
      </c>
      <c r="C619" s="28" t="s">
        <v>6088</v>
      </c>
      <c r="D619" s="27" t="s">
        <v>5520</v>
      </c>
      <c r="E619" s="22"/>
    </row>
    <row r="620" ht="15.75" customHeight="1" spans="1:5">
      <c r="A620" s="22"/>
      <c r="B620" s="25" t="s">
        <v>2632</v>
      </c>
      <c r="C620" s="28" t="s">
        <v>6089</v>
      </c>
      <c r="D620" s="27" t="s">
        <v>5520</v>
      </c>
      <c r="E620" s="22" t="s">
        <v>513</v>
      </c>
    </row>
    <row r="621" ht="15.75" customHeight="1" spans="1:5">
      <c r="A621" s="22"/>
      <c r="B621" s="25" t="s">
        <v>2634</v>
      </c>
      <c r="C621" s="28" t="s">
        <v>6090</v>
      </c>
      <c r="D621" s="27" t="s">
        <v>5520</v>
      </c>
      <c r="E621" s="22"/>
    </row>
    <row r="622" ht="15.75" customHeight="1" spans="1:5">
      <c r="A622" s="22"/>
      <c r="B622" s="25" t="s">
        <v>2636</v>
      </c>
      <c r="C622" s="28" t="s">
        <v>6091</v>
      </c>
      <c r="D622" s="27" t="s">
        <v>5520</v>
      </c>
      <c r="E622" s="22"/>
    </row>
    <row r="623" ht="15.75" customHeight="1" spans="1:5">
      <c r="A623" s="22"/>
      <c r="B623" s="25" t="s">
        <v>2638</v>
      </c>
      <c r="C623" s="28" t="s">
        <v>6092</v>
      </c>
      <c r="D623" s="27" t="s">
        <v>5520</v>
      </c>
      <c r="E623" s="22" t="s">
        <v>408</v>
      </c>
    </row>
    <row r="624" ht="15.75" customHeight="1" spans="1:5">
      <c r="A624" s="22"/>
      <c r="B624" s="25" t="s">
        <v>2640</v>
      </c>
      <c r="C624" s="28" t="s">
        <v>6093</v>
      </c>
      <c r="D624" s="27" t="s">
        <v>5520</v>
      </c>
      <c r="E624" s="22" t="s">
        <v>325</v>
      </c>
    </row>
    <row r="625" ht="15.75" customHeight="1" spans="1:5">
      <c r="A625" s="22"/>
      <c r="B625" s="25" t="s">
        <v>2642</v>
      </c>
      <c r="C625" s="28" t="s">
        <v>6094</v>
      </c>
      <c r="D625" s="27" t="s">
        <v>5520</v>
      </c>
      <c r="E625" s="22" t="s">
        <v>408</v>
      </c>
    </row>
    <row r="626" ht="15.75" customHeight="1" spans="1:5">
      <c r="A626" s="22"/>
      <c r="B626" s="25" t="s">
        <v>2644</v>
      </c>
      <c r="C626" s="28" t="s">
        <v>6095</v>
      </c>
      <c r="D626" s="27" t="s">
        <v>5520</v>
      </c>
      <c r="E626" s="22" t="s">
        <v>513</v>
      </c>
    </row>
    <row r="627" ht="15.75" customHeight="1" spans="1:5">
      <c r="A627" s="22"/>
      <c r="B627" s="25" t="s">
        <v>2646</v>
      </c>
      <c r="C627" s="28" t="s">
        <v>6096</v>
      </c>
      <c r="D627" s="27" t="s">
        <v>5520</v>
      </c>
      <c r="E627" s="22" t="s">
        <v>534</v>
      </c>
    </row>
    <row r="628" ht="15.75" customHeight="1" spans="1:5">
      <c r="A628" s="22"/>
      <c r="B628" s="25" t="s">
        <v>2648</v>
      </c>
      <c r="C628" s="28" t="s">
        <v>6097</v>
      </c>
      <c r="D628" s="27" t="s">
        <v>5520</v>
      </c>
      <c r="E628" s="22" t="s">
        <v>534</v>
      </c>
    </row>
    <row r="629" ht="15.75" customHeight="1" spans="1:5">
      <c r="A629" s="22"/>
      <c r="B629" s="25" t="s">
        <v>2650</v>
      </c>
      <c r="C629" s="28" t="s">
        <v>6098</v>
      </c>
      <c r="D629" s="27" t="s">
        <v>5520</v>
      </c>
      <c r="E629" s="22" t="s">
        <v>534</v>
      </c>
    </row>
    <row r="630" ht="15.75" customHeight="1" spans="1:5">
      <c r="A630" s="22"/>
      <c r="B630" s="25" t="s">
        <v>2652</v>
      </c>
      <c r="C630" s="28" t="s">
        <v>6099</v>
      </c>
      <c r="D630" s="27" t="s">
        <v>5520</v>
      </c>
      <c r="E630" s="22" t="s">
        <v>416</v>
      </c>
    </row>
    <row r="631" ht="15.75" customHeight="1" spans="1:5">
      <c r="A631" s="22"/>
      <c r="B631" s="25" t="s">
        <v>2654</v>
      </c>
      <c r="C631" s="28" t="s">
        <v>6100</v>
      </c>
      <c r="D631" s="27" t="s">
        <v>5520</v>
      </c>
      <c r="E631" s="22" t="s">
        <v>376</v>
      </c>
    </row>
    <row r="632" ht="15.75" customHeight="1" spans="1:5">
      <c r="A632" s="22"/>
      <c r="B632" s="25" t="s">
        <v>2656</v>
      </c>
      <c r="C632" s="28" t="s">
        <v>6101</v>
      </c>
      <c r="D632" s="27" t="s">
        <v>5520</v>
      </c>
      <c r="E632" s="22" t="s">
        <v>430</v>
      </c>
    </row>
    <row r="633" ht="15.75" customHeight="1" spans="1:5">
      <c r="A633" s="22"/>
      <c r="B633" s="25" t="s">
        <v>2658</v>
      </c>
      <c r="C633" s="28" t="s">
        <v>6102</v>
      </c>
      <c r="D633" s="27" t="s">
        <v>5520</v>
      </c>
      <c r="E633" s="22" t="s">
        <v>325</v>
      </c>
    </row>
    <row r="634" ht="15.75" customHeight="1" spans="1:5">
      <c r="A634" s="22"/>
      <c r="B634" s="25" t="s">
        <v>2660</v>
      </c>
      <c r="C634" s="28" t="s">
        <v>6103</v>
      </c>
      <c r="D634" s="27" t="s">
        <v>5520</v>
      </c>
      <c r="E634" s="22" t="s">
        <v>371</v>
      </c>
    </row>
    <row r="635" ht="15.75" customHeight="1" spans="1:5">
      <c r="A635" s="22"/>
      <c r="B635" s="25" t="s">
        <v>2662</v>
      </c>
      <c r="C635" s="28" t="s">
        <v>6104</v>
      </c>
      <c r="D635" s="27" t="s">
        <v>5520</v>
      </c>
      <c r="E635" s="22" t="s">
        <v>376</v>
      </c>
    </row>
    <row r="636" ht="15.75" customHeight="1" spans="1:5">
      <c r="A636" s="22"/>
      <c r="B636" s="25" t="s">
        <v>2664</v>
      </c>
      <c r="C636" s="28" t="s">
        <v>6105</v>
      </c>
      <c r="D636" s="27" t="s">
        <v>5520</v>
      </c>
      <c r="E636" s="22" t="s">
        <v>513</v>
      </c>
    </row>
    <row r="637" ht="15.75" customHeight="1" spans="1:5">
      <c r="A637" s="22"/>
      <c r="B637" s="25" t="s">
        <v>2666</v>
      </c>
      <c r="C637" s="28" t="s">
        <v>6106</v>
      </c>
      <c r="D637" s="27" t="s">
        <v>5520</v>
      </c>
      <c r="E637" s="22"/>
    </row>
    <row r="638" ht="15.75" customHeight="1" spans="1:5">
      <c r="A638" s="22"/>
      <c r="B638" s="25" t="s">
        <v>2668</v>
      </c>
      <c r="C638" s="28" t="s">
        <v>6107</v>
      </c>
      <c r="D638" s="27" t="s">
        <v>5520</v>
      </c>
      <c r="E638" s="22" t="s">
        <v>376</v>
      </c>
    </row>
    <row r="639" ht="15.75" customHeight="1" spans="1:5">
      <c r="A639" s="22"/>
      <c r="B639" s="25" t="s">
        <v>2670</v>
      </c>
      <c r="C639" s="28" t="s">
        <v>6108</v>
      </c>
      <c r="D639" s="27" t="s">
        <v>5520</v>
      </c>
      <c r="E639" s="22" t="s">
        <v>5710</v>
      </c>
    </row>
    <row r="640" ht="15.75" customHeight="1" spans="1:5">
      <c r="A640" s="22"/>
      <c r="B640" s="25" t="s">
        <v>2672</v>
      </c>
      <c r="C640" s="28" t="s">
        <v>6109</v>
      </c>
      <c r="D640" s="27" t="s">
        <v>5520</v>
      </c>
      <c r="E640" s="22"/>
    </row>
    <row r="641" ht="15.75" customHeight="1" spans="1:5">
      <c r="A641" s="22"/>
      <c r="B641" s="25" t="s">
        <v>2674</v>
      </c>
      <c r="C641" s="28" t="s">
        <v>6089</v>
      </c>
      <c r="D641" s="27" t="s">
        <v>5520</v>
      </c>
      <c r="E641" s="22" t="s">
        <v>513</v>
      </c>
    </row>
    <row r="642" ht="15.75" customHeight="1" spans="1:5">
      <c r="A642" s="22"/>
      <c r="B642" s="25" t="s">
        <v>2676</v>
      </c>
      <c r="C642" s="28" t="s">
        <v>6110</v>
      </c>
      <c r="D642" s="27" t="s">
        <v>5520</v>
      </c>
      <c r="E642" s="22" t="s">
        <v>452</v>
      </c>
    </row>
    <row r="643" ht="15.75" customHeight="1" spans="1:5">
      <c r="A643" s="22"/>
      <c r="B643" s="25" t="s">
        <v>2678</v>
      </c>
      <c r="C643" s="28" t="s">
        <v>6111</v>
      </c>
      <c r="D643" s="27" t="s">
        <v>5520</v>
      </c>
      <c r="E643" s="22" t="s">
        <v>376</v>
      </c>
    </row>
    <row r="644" ht="15.75" customHeight="1" spans="1:5">
      <c r="A644" s="22"/>
      <c r="B644" s="25" t="s">
        <v>2680</v>
      </c>
      <c r="C644" s="28" t="s">
        <v>6112</v>
      </c>
      <c r="D644" s="27" t="s">
        <v>5520</v>
      </c>
      <c r="E644" s="22" t="s">
        <v>376</v>
      </c>
    </row>
    <row r="645" ht="15.75" customHeight="1" spans="1:5">
      <c r="A645" s="22"/>
      <c r="B645" s="25" t="s">
        <v>2682</v>
      </c>
      <c r="C645" s="28" t="s">
        <v>6113</v>
      </c>
      <c r="D645" s="27" t="s">
        <v>5520</v>
      </c>
      <c r="E645" s="22" t="s">
        <v>549</v>
      </c>
    </row>
    <row r="646" ht="15.75" customHeight="1" spans="1:5">
      <c r="A646" s="22"/>
      <c r="B646" s="25" t="s">
        <v>2684</v>
      </c>
      <c r="C646" s="28" t="s">
        <v>6090</v>
      </c>
      <c r="D646" s="27" t="s">
        <v>5520</v>
      </c>
      <c r="E646" s="22" t="s">
        <v>416</v>
      </c>
    </row>
    <row r="647" ht="15.75" customHeight="1" spans="1:5">
      <c r="A647" s="22"/>
      <c r="B647" s="25" t="s">
        <v>2686</v>
      </c>
      <c r="C647" s="28" t="s">
        <v>6114</v>
      </c>
      <c r="D647" s="27" t="s">
        <v>5520</v>
      </c>
      <c r="E647" s="22" t="s">
        <v>526</v>
      </c>
    </row>
    <row r="648" ht="15.75" customHeight="1" spans="1:5">
      <c r="A648" s="22"/>
      <c r="B648" s="25" t="s">
        <v>2688</v>
      </c>
      <c r="C648" s="28" t="s">
        <v>6115</v>
      </c>
      <c r="D648" s="27" t="s">
        <v>5520</v>
      </c>
      <c r="E648" s="22" t="s">
        <v>337</v>
      </c>
    </row>
    <row r="649" ht="15.75" customHeight="1" spans="1:5">
      <c r="A649" s="22"/>
      <c r="B649" s="25" t="s">
        <v>2690</v>
      </c>
      <c r="C649" s="28" t="s">
        <v>6116</v>
      </c>
      <c r="D649" s="27" t="s">
        <v>5520</v>
      </c>
      <c r="E649" s="22" t="s">
        <v>337</v>
      </c>
    </row>
    <row r="650" ht="15.75" customHeight="1" spans="1:5">
      <c r="A650" s="22"/>
      <c r="B650" s="25" t="s">
        <v>2692</v>
      </c>
      <c r="C650" s="28" t="s">
        <v>6117</v>
      </c>
      <c r="D650" s="27" t="s">
        <v>5520</v>
      </c>
      <c r="E650" s="22"/>
    </row>
    <row r="651" ht="15.75" customHeight="1" spans="1:5">
      <c r="A651" s="22"/>
      <c r="B651" s="25" t="s">
        <v>2694</v>
      </c>
      <c r="C651" s="28" t="s">
        <v>6118</v>
      </c>
      <c r="D651" s="27" t="s">
        <v>5520</v>
      </c>
      <c r="E651" s="22" t="s">
        <v>376</v>
      </c>
    </row>
    <row r="652" ht="15.75" customHeight="1" spans="1:5">
      <c r="A652" s="22"/>
      <c r="B652" s="25" t="s">
        <v>2696</v>
      </c>
      <c r="C652" s="28" t="s">
        <v>6119</v>
      </c>
      <c r="D652" s="27" t="s">
        <v>5520</v>
      </c>
      <c r="E652" s="22" t="s">
        <v>416</v>
      </c>
    </row>
    <row r="653" ht="15.75" customHeight="1" spans="1:5">
      <c r="A653" s="22"/>
      <c r="B653" s="25" t="s">
        <v>2698</v>
      </c>
      <c r="C653" s="28" t="s">
        <v>6120</v>
      </c>
      <c r="D653" s="27" t="s">
        <v>5520</v>
      </c>
      <c r="E653" s="22" t="s">
        <v>436</v>
      </c>
    </row>
    <row r="654" ht="15.75" customHeight="1" spans="1:5">
      <c r="A654" s="22"/>
      <c r="B654" s="25" t="s">
        <v>2700</v>
      </c>
      <c r="C654" s="28" t="s">
        <v>6121</v>
      </c>
      <c r="D654" s="27" t="s">
        <v>5520</v>
      </c>
      <c r="E654" s="22" t="s">
        <v>497</v>
      </c>
    </row>
    <row r="655" ht="15.75" customHeight="1" spans="1:5">
      <c r="A655" s="22"/>
      <c r="B655" s="25" t="s">
        <v>2702</v>
      </c>
      <c r="C655" s="28" t="s">
        <v>6122</v>
      </c>
      <c r="D655" s="27" t="s">
        <v>5520</v>
      </c>
      <c r="E655" s="22" t="s">
        <v>436</v>
      </c>
    </row>
    <row r="656" ht="15.75" customHeight="1" spans="1:5">
      <c r="A656" s="22"/>
      <c r="B656" s="25" t="s">
        <v>2704</v>
      </c>
      <c r="C656" s="28" t="s">
        <v>6123</v>
      </c>
      <c r="D656" s="27" t="s">
        <v>5520</v>
      </c>
      <c r="E656" s="22" t="s">
        <v>337</v>
      </c>
    </row>
    <row r="657" ht="15.75" customHeight="1" spans="1:5">
      <c r="A657" s="22"/>
      <c r="B657" s="25" t="s">
        <v>2706</v>
      </c>
      <c r="C657" s="28" t="s">
        <v>6124</v>
      </c>
      <c r="D657" s="27" t="s">
        <v>5520</v>
      </c>
      <c r="E657" s="22" t="s">
        <v>436</v>
      </c>
    </row>
    <row r="658" ht="15.75" customHeight="1" spans="1:5">
      <c r="A658" s="22"/>
      <c r="B658" s="25" t="s">
        <v>2708</v>
      </c>
      <c r="C658" s="28" t="s">
        <v>6125</v>
      </c>
      <c r="D658" s="27" t="s">
        <v>5520</v>
      </c>
      <c r="E658" s="22"/>
    </row>
    <row r="659" ht="15.75" customHeight="1" spans="1:5">
      <c r="A659" s="22"/>
      <c r="B659" s="25" t="s">
        <v>2710</v>
      </c>
      <c r="C659" s="28" t="s">
        <v>6126</v>
      </c>
      <c r="D659" s="27" t="s">
        <v>5520</v>
      </c>
      <c r="E659" s="22"/>
    </row>
    <row r="660" ht="15.75" customHeight="1" spans="1:5">
      <c r="A660" s="22"/>
      <c r="B660" s="25" t="s">
        <v>2712</v>
      </c>
      <c r="C660" s="28" t="s">
        <v>6127</v>
      </c>
      <c r="D660" s="27" t="s">
        <v>5520</v>
      </c>
      <c r="E660" s="22"/>
    </row>
    <row r="661" ht="15.75" customHeight="1" spans="1:5">
      <c r="A661" s="22"/>
      <c r="B661" s="25" t="s">
        <v>2714</v>
      </c>
      <c r="C661" s="28" t="s">
        <v>6128</v>
      </c>
      <c r="D661" s="27" t="s">
        <v>5520</v>
      </c>
      <c r="E661" s="22" t="s">
        <v>430</v>
      </c>
    </row>
    <row r="662" ht="15.75" customHeight="1" spans="1:5">
      <c r="A662" s="22"/>
      <c r="B662" s="25" t="s">
        <v>2716</v>
      </c>
      <c r="C662" s="28" t="s">
        <v>6129</v>
      </c>
      <c r="D662" s="27" t="s">
        <v>5520</v>
      </c>
      <c r="E662" s="22"/>
    </row>
    <row r="663" ht="15.75" customHeight="1" spans="1:5">
      <c r="A663" s="22"/>
      <c r="B663" s="25" t="s">
        <v>2718</v>
      </c>
      <c r="C663" s="28" t="s">
        <v>6130</v>
      </c>
      <c r="D663" s="27" t="s">
        <v>5520</v>
      </c>
      <c r="E663" s="22" t="s">
        <v>436</v>
      </c>
    </row>
    <row r="664" ht="15.75" customHeight="1" spans="1:5">
      <c r="A664" s="22"/>
      <c r="B664" s="25" t="s">
        <v>2720</v>
      </c>
      <c r="C664" s="28" t="s">
        <v>6131</v>
      </c>
      <c r="D664" s="27" t="s">
        <v>5520</v>
      </c>
      <c r="E664" s="22" t="s">
        <v>436</v>
      </c>
    </row>
    <row r="665" ht="15.75" customHeight="1" spans="1:5">
      <c r="A665" s="22"/>
      <c r="B665" s="25" t="s">
        <v>2722</v>
      </c>
      <c r="C665" s="28" t="s">
        <v>6132</v>
      </c>
      <c r="D665" s="27" t="s">
        <v>5520</v>
      </c>
      <c r="E665" s="22" t="s">
        <v>444</v>
      </c>
    </row>
    <row r="666" ht="15.75" customHeight="1" spans="1:5">
      <c r="A666" s="22"/>
      <c r="B666" s="25" t="s">
        <v>2724</v>
      </c>
      <c r="C666" s="28" t="s">
        <v>6103</v>
      </c>
      <c r="D666" s="27" t="s">
        <v>5520</v>
      </c>
      <c r="E666" s="22"/>
    </row>
    <row r="667" ht="15.75" customHeight="1" spans="1:5">
      <c r="A667" s="22"/>
      <c r="B667" s="25" t="s">
        <v>2726</v>
      </c>
      <c r="C667" s="28" t="s">
        <v>6133</v>
      </c>
      <c r="D667" s="27" t="s">
        <v>5520</v>
      </c>
      <c r="E667" s="22" t="s">
        <v>436</v>
      </c>
    </row>
    <row r="668" ht="15.75" customHeight="1" spans="1:5">
      <c r="A668" s="22"/>
      <c r="B668" s="25" t="s">
        <v>2728</v>
      </c>
      <c r="C668" s="28" t="s">
        <v>6134</v>
      </c>
      <c r="D668" s="27" t="s">
        <v>5520</v>
      </c>
      <c r="E668" s="22" t="s">
        <v>371</v>
      </c>
    </row>
    <row r="669" ht="15.75" customHeight="1" spans="1:5">
      <c r="A669" s="22"/>
      <c r="B669" s="25" t="s">
        <v>2730</v>
      </c>
      <c r="C669" s="28" t="s">
        <v>6135</v>
      </c>
      <c r="D669" s="27" t="s">
        <v>5520</v>
      </c>
      <c r="E669" s="22"/>
    </row>
    <row r="670" ht="15.75" customHeight="1" spans="1:5">
      <c r="A670" s="22"/>
      <c r="B670" s="25" t="s">
        <v>2732</v>
      </c>
      <c r="C670" s="28" t="s">
        <v>6136</v>
      </c>
      <c r="D670" s="27" t="s">
        <v>5520</v>
      </c>
      <c r="E670" s="22" t="s">
        <v>376</v>
      </c>
    </row>
    <row r="671" ht="15.75" customHeight="1" spans="1:5">
      <c r="A671" s="22"/>
      <c r="B671" s="25" t="s">
        <v>2734</v>
      </c>
      <c r="C671" s="28" t="s">
        <v>6137</v>
      </c>
      <c r="D671" s="27" t="s">
        <v>5520</v>
      </c>
      <c r="E671" s="22" t="s">
        <v>436</v>
      </c>
    </row>
    <row r="672" ht="15.75" customHeight="1" spans="1:5">
      <c r="A672" s="22"/>
      <c r="B672" s="25" t="s">
        <v>2736</v>
      </c>
      <c r="C672" s="28" t="s">
        <v>6138</v>
      </c>
      <c r="D672" s="27" t="s">
        <v>5520</v>
      </c>
      <c r="E672" s="22" t="s">
        <v>436</v>
      </c>
    </row>
    <row r="673" ht="15.75" customHeight="1" spans="1:5">
      <c r="A673" s="22"/>
      <c r="B673" s="25" t="s">
        <v>2738</v>
      </c>
      <c r="C673" s="28" t="s">
        <v>6139</v>
      </c>
      <c r="D673" s="27" t="s">
        <v>5520</v>
      </c>
      <c r="E673" s="22" t="s">
        <v>376</v>
      </c>
    </row>
    <row r="674" ht="15.75" customHeight="1" spans="1:5">
      <c r="A674" s="22"/>
      <c r="B674" s="25" t="s">
        <v>2740</v>
      </c>
      <c r="C674" s="28" t="s">
        <v>6131</v>
      </c>
      <c r="D674" s="27" t="s">
        <v>5520</v>
      </c>
      <c r="E674" s="22"/>
    </row>
    <row r="675" ht="15.75" customHeight="1" spans="1:5">
      <c r="A675" s="22"/>
      <c r="B675" s="25" t="s">
        <v>2742</v>
      </c>
      <c r="C675" s="28" t="s">
        <v>6140</v>
      </c>
      <c r="D675" s="27" t="s">
        <v>5520</v>
      </c>
      <c r="E675" s="22"/>
    </row>
    <row r="676" ht="15.75" customHeight="1" spans="1:5">
      <c r="A676" s="22"/>
      <c r="B676" s="25" t="s">
        <v>2744</v>
      </c>
      <c r="C676" s="28" t="s">
        <v>6141</v>
      </c>
      <c r="D676" s="27" t="s">
        <v>5520</v>
      </c>
      <c r="E676" s="22" t="s">
        <v>436</v>
      </c>
    </row>
    <row r="677" ht="15.75" customHeight="1" spans="1:5">
      <c r="A677" s="22"/>
      <c r="B677" s="25" t="s">
        <v>2746</v>
      </c>
      <c r="C677" s="28" t="s">
        <v>6142</v>
      </c>
      <c r="D677" s="27" t="s">
        <v>5520</v>
      </c>
      <c r="E677" s="22" t="s">
        <v>5710</v>
      </c>
    </row>
    <row r="678" ht="15.75" customHeight="1" spans="1:5">
      <c r="A678" s="22"/>
      <c r="B678" s="25" t="s">
        <v>2748</v>
      </c>
      <c r="C678" s="28" t="s">
        <v>6143</v>
      </c>
      <c r="D678" s="27" t="s">
        <v>5520</v>
      </c>
      <c r="E678" s="22"/>
    </row>
    <row r="679" ht="15.75" customHeight="1" spans="1:5">
      <c r="A679" s="22"/>
      <c r="B679" s="25" t="s">
        <v>2750</v>
      </c>
      <c r="C679" s="28" t="s">
        <v>6144</v>
      </c>
      <c r="D679" s="27" t="s">
        <v>5520</v>
      </c>
      <c r="E679" s="22"/>
    </row>
    <row r="680" ht="15.75" customHeight="1" spans="1:5">
      <c r="A680" s="22"/>
      <c r="B680" s="25" t="s">
        <v>2752</v>
      </c>
      <c r="C680" s="28" t="s">
        <v>6145</v>
      </c>
      <c r="D680" s="27" t="s">
        <v>5520</v>
      </c>
      <c r="E680" s="22"/>
    </row>
    <row r="681" ht="15.75" customHeight="1" spans="1:5">
      <c r="A681" s="22"/>
      <c r="B681" s="25" t="s">
        <v>2754</v>
      </c>
      <c r="C681" s="28" t="s">
        <v>6146</v>
      </c>
      <c r="D681" s="27" t="s">
        <v>5520</v>
      </c>
      <c r="E681" s="22"/>
    </row>
    <row r="682" ht="15.75" customHeight="1" spans="1:5">
      <c r="A682" s="22"/>
      <c r="B682" s="25" t="s">
        <v>2756</v>
      </c>
      <c r="C682" s="28" t="s">
        <v>6147</v>
      </c>
      <c r="D682" s="27" t="s">
        <v>5520</v>
      </c>
      <c r="E682" s="22"/>
    </row>
    <row r="683" ht="15.75" customHeight="1" spans="1:5">
      <c r="A683" s="22"/>
      <c r="B683" s="25" t="s">
        <v>2758</v>
      </c>
      <c r="C683" s="28" t="s">
        <v>6148</v>
      </c>
      <c r="D683" s="27" t="s">
        <v>5520</v>
      </c>
      <c r="E683" s="22" t="s">
        <v>436</v>
      </c>
    </row>
    <row r="684" ht="15.75" customHeight="1" spans="1:5">
      <c r="A684" s="22"/>
      <c r="B684" s="25" t="s">
        <v>2760</v>
      </c>
      <c r="C684" s="28" t="s">
        <v>6148</v>
      </c>
      <c r="D684" s="27" t="s">
        <v>5520</v>
      </c>
      <c r="E684" s="22"/>
    </row>
    <row r="685" ht="15.75" customHeight="1" spans="1:5">
      <c r="A685" s="22"/>
      <c r="B685" s="25" t="s">
        <v>2762</v>
      </c>
      <c r="C685" s="28" t="s">
        <v>6149</v>
      </c>
      <c r="D685" s="27" t="s">
        <v>5520</v>
      </c>
      <c r="E685" s="22" t="s">
        <v>5943</v>
      </c>
    </row>
    <row r="686" ht="15.75" customHeight="1" spans="1:5">
      <c r="A686" s="22"/>
      <c r="B686" s="25" t="s">
        <v>2764</v>
      </c>
      <c r="C686" s="28" t="s">
        <v>6150</v>
      </c>
      <c r="D686" s="27" t="s">
        <v>5520</v>
      </c>
      <c r="E686" s="22" t="s">
        <v>376</v>
      </c>
    </row>
    <row r="687" ht="15.75" customHeight="1" spans="1:5">
      <c r="A687" s="22"/>
      <c r="B687" s="25" t="s">
        <v>2766</v>
      </c>
      <c r="C687" s="28" t="s">
        <v>6151</v>
      </c>
      <c r="D687" s="27" t="s">
        <v>5520</v>
      </c>
      <c r="E687" s="22" t="s">
        <v>534</v>
      </c>
    </row>
    <row r="688" ht="15.75" customHeight="1" spans="1:5">
      <c r="A688" s="22"/>
      <c r="B688" s="25" t="s">
        <v>2768</v>
      </c>
      <c r="C688" s="28" t="s">
        <v>6152</v>
      </c>
      <c r="D688" s="27" t="s">
        <v>5520</v>
      </c>
      <c r="E688" s="22"/>
    </row>
    <row r="689" ht="15.75" customHeight="1" spans="1:5">
      <c r="A689" s="22"/>
      <c r="B689" s="25" t="s">
        <v>2770</v>
      </c>
      <c r="C689" s="28" t="s">
        <v>6153</v>
      </c>
      <c r="D689" s="27" t="s">
        <v>5520</v>
      </c>
      <c r="E689" s="22" t="s">
        <v>436</v>
      </c>
    </row>
    <row r="690" ht="15.75" customHeight="1" spans="1:5">
      <c r="A690" s="22"/>
      <c r="B690" s="25" t="s">
        <v>2772</v>
      </c>
      <c r="C690" s="28" t="s">
        <v>6154</v>
      </c>
      <c r="D690" s="27" t="s">
        <v>5520</v>
      </c>
      <c r="E690" s="22"/>
    </row>
    <row r="691" ht="15.75" customHeight="1" spans="1:5">
      <c r="A691" s="22"/>
      <c r="B691" s="25" t="s">
        <v>2774</v>
      </c>
      <c r="C691" s="28" t="s">
        <v>6155</v>
      </c>
      <c r="D691" s="27" t="s">
        <v>5520</v>
      </c>
      <c r="E691" s="22" t="s">
        <v>416</v>
      </c>
    </row>
    <row r="692" ht="15.75" customHeight="1" spans="1:5">
      <c r="A692" s="22"/>
      <c r="B692" s="25" t="s">
        <v>2776</v>
      </c>
      <c r="C692" s="28" t="s">
        <v>6156</v>
      </c>
      <c r="D692" s="27" t="s">
        <v>5520</v>
      </c>
      <c r="E692" s="22"/>
    </row>
    <row r="693" ht="15.75" customHeight="1" spans="1:5">
      <c r="A693" s="22"/>
      <c r="B693" s="25" t="s">
        <v>2778</v>
      </c>
      <c r="C693" s="28" t="s">
        <v>6157</v>
      </c>
      <c r="D693" s="27" t="s">
        <v>5520</v>
      </c>
      <c r="E693" s="22"/>
    </row>
    <row r="694" ht="15.75" customHeight="1" spans="1:5">
      <c r="A694" s="22"/>
      <c r="B694" s="25" t="s">
        <v>2780</v>
      </c>
      <c r="C694" s="28" t="s">
        <v>6158</v>
      </c>
      <c r="D694" s="27" t="s">
        <v>5520</v>
      </c>
      <c r="E694" s="22"/>
    </row>
    <row r="695" ht="15.75" customHeight="1" spans="1:5">
      <c r="A695" s="22"/>
      <c r="B695" s="25" t="s">
        <v>2782</v>
      </c>
      <c r="C695" s="28" t="s">
        <v>6159</v>
      </c>
      <c r="D695" s="27" t="s">
        <v>5520</v>
      </c>
      <c r="E695" s="22"/>
    </row>
    <row r="696" ht="15.75" customHeight="1" spans="1:5">
      <c r="A696" s="22"/>
      <c r="B696" s="25" t="s">
        <v>2784</v>
      </c>
      <c r="C696" s="28" t="s">
        <v>6148</v>
      </c>
      <c r="D696" s="27" t="s">
        <v>5520</v>
      </c>
      <c r="E696" s="22" t="s">
        <v>436</v>
      </c>
    </row>
    <row r="697" ht="15.75" customHeight="1" spans="1:5">
      <c r="A697" s="22"/>
      <c r="B697" s="25" t="s">
        <v>2786</v>
      </c>
      <c r="C697" s="28" t="s">
        <v>6160</v>
      </c>
      <c r="D697" s="27" t="s">
        <v>5520</v>
      </c>
      <c r="E697" s="22" t="s">
        <v>534</v>
      </c>
    </row>
    <row r="698" ht="15.75" customHeight="1" spans="1:5">
      <c r="A698" s="22"/>
      <c r="B698" s="25" t="s">
        <v>2788</v>
      </c>
      <c r="C698" s="28" t="s">
        <v>6161</v>
      </c>
      <c r="D698" s="27" t="s">
        <v>5520</v>
      </c>
      <c r="E698" s="22" t="s">
        <v>389</v>
      </c>
    </row>
    <row r="699" ht="15.75" customHeight="1" spans="1:5">
      <c r="A699" s="22"/>
      <c r="B699" s="25" t="s">
        <v>2790</v>
      </c>
      <c r="C699" s="28" t="s">
        <v>6162</v>
      </c>
      <c r="D699" s="27" t="s">
        <v>5520</v>
      </c>
      <c r="E699" s="22" t="s">
        <v>436</v>
      </c>
    </row>
    <row r="700" ht="15.75" customHeight="1" spans="1:5">
      <c r="A700" s="22"/>
      <c r="B700" s="25" t="s">
        <v>2792</v>
      </c>
      <c r="C700" s="28" t="s">
        <v>6163</v>
      </c>
      <c r="D700" s="27" t="s">
        <v>5520</v>
      </c>
      <c r="E700" s="22" t="s">
        <v>549</v>
      </c>
    </row>
    <row r="701" ht="15.75" customHeight="1" spans="1:5">
      <c r="A701" s="22"/>
      <c r="B701" s="25" t="s">
        <v>2794</v>
      </c>
      <c r="C701" s="28" t="s">
        <v>6164</v>
      </c>
      <c r="D701" s="27" t="s">
        <v>5520</v>
      </c>
      <c r="E701" s="22" t="s">
        <v>408</v>
      </c>
    </row>
    <row r="702" ht="15.75" customHeight="1" spans="1:5">
      <c r="A702" s="22"/>
      <c r="B702" s="25" t="s">
        <v>2796</v>
      </c>
      <c r="C702" s="28" t="s">
        <v>6165</v>
      </c>
      <c r="D702" s="27" t="s">
        <v>5520</v>
      </c>
      <c r="E702" s="22" t="s">
        <v>337</v>
      </c>
    </row>
    <row r="703" ht="15.75" customHeight="1" spans="1:5">
      <c r="A703" s="22"/>
      <c r="B703" s="25" t="s">
        <v>2798</v>
      </c>
      <c r="C703" s="28" t="s">
        <v>6166</v>
      </c>
      <c r="D703" s="27" t="s">
        <v>5520</v>
      </c>
      <c r="E703" s="22" t="s">
        <v>513</v>
      </c>
    </row>
    <row r="704" ht="15.75" customHeight="1" spans="1:5">
      <c r="A704" s="22"/>
      <c r="B704" s="25" t="s">
        <v>2800</v>
      </c>
      <c r="C704" s="28" t="s">
        <v>6167</v>
      </c>
      <c r="D704" s="27" t="s">
        <v>5520</v>
      </c>
      <c r="E704" s="22" t="s">
        <v>332</v>
      </c>
    </row>
    <row r="705" ht="15.75" customHeight="1" spans="1:5">
      <c r="A705" s="22"/>
      <c r="B705" s="25" t="s">
        <v>2802</v>
      </c>
      <c r="C705" s="28" t="s">
        <v>6168</v>
      </c>
      <c r="D705" s="27" t="s">
        <v>5520</v>
      </c>
      <c r="E705" s="22" t="s">
        <v>513</v>
      </c>
    </row>
    <row r="706" ht="15.75" customHeight="1" spans="1:5">
      <c r="A706" s="22"/>
      <c r="B706" s="25" t="s">
        <v>2804</v>
      </c>
      <c r="C706" s="28" t="s">
        <v>6169</v>
      </c>
      <c r="D706" s="27" t="s">
        <v>5520</v>
      </c>
      <c r="E706" s="22" t="s">
        <v>325</v>
      </c>
    </row>
    <row r="707" ht="15.75" customHeight="1" spans="1:5">
      <c r="A707" s="22"/>
      <c r="B707" s="25" t="s">
        <v>2806</v>
      </c>
      <c r="C707" s="28" t="s">
        <v>6170</v>
      </c>
      <c r="D707" s="27" t="s">
        <v>5520</v>
      </c>
      <c r="E707" s="22" t="s">
        <v>436</v>
      </c>
    </row>
    <row r="708" ht="15.75" customHeight="1" spans="1:5">
      <c r="A708" s="22"/>
      <c r="B708" s="25" t="s">
        <v>2808</v>
      </c>
      <c r="C708" s="28" t="s">
        <v>5919</v>
      </c>
      <c r="D708" s="27" t="s">
        <v>5520</v>
      </c>
      <c r="E708" s="22" t="s">
        <v>436</v>
      </c>
    </row>
    <row r="709" ht="15.75" customHeight="1" spans="1:5">
      <c r="A709" s="22"/>
      <c r="B709" s="25" t="s">
        <v>2810</v>
      </c>
      <c r="C709" s="28" t="s">
        <v>6171</v>
      </c>
      <c r="D709" s="27" t="s">
        <v>5520</v>
      </c>
      <c r="E709" s="22"/>
    </row>
    <row r="710" ht="15.75" customHeight="1" spans="1:5">
      <c r="A710" s="22"/>
      <c r="B710" s="25" t="s">
        <v>2812</v>
      </c>
      <c r="C710" s="28" t="s">
        <v>6172</v>
      </c>
      <c r="D710" s="27" t="s">
        <v>5520</v>
      </c>
      <c r="E710" s="22"/>
    </row>
    <row r="711" ht="15.75" customHeight="1" spans="1:5">
      <c r="A711" s="22"/>
      <c r="B711" s="25" t="s">
        <v>2814</v>
      </c>
      <c r="C711" s="28" t="s">
        <v>6173</v>
      </c>
      <c r="D711" s="27" t="s">
        <v>5520</v>
      </c>
      <c r="E711" s="22" t="s">
        <v>384</v>
      </c>
    </row>
    <row r="712" ht="15.75" customHeight="1" spans="1:5">
      <c r="A712" s="22"/>
      <c r="B712" s="25" t="s">
        <v>2816</v>
      </c>
      <c r="C712" s="28" t="s">
        <v>6174</v>
      </c>
      <c r="D712" s="27" t="s">
        <v>5520</v>
      </c>
      <c r="E712" s="22" t="s">
        <v>376</v>
      </c>
    </row>
    <row r="713" ht="15.75" customHeight="1" spans="1:5">
      <c r="A713" s="22"/>
      <c r="B713" s="25" t="s">
        <v>2818</v>
      </c>
      <c r="C713" s="28" t="s">
        <v>6175</v>
      </c>
      <c r="D713" s="27" t="s">
        <v>5520</v>
      </c>
      <c r="E713" s="22" t="s">
        <v>325</v>
      </c>
    </row>
    <row r="714" ht="15.75" customHeight="1" spans="1:5">
      <c r="A714" s="22"/>
      <c r="B714" s="25" t="s">
        <v>2820</v>
      </c>
      <c r="C714" s="28" t="s">
        <v>6176</v>
      </c>
      <c r="D714" s="27" t="s">
        <v>5520</v>
      </c>
      <c r="E714" s="22" t="s">
        <v>436</v>
      </c>
    </row>
    <row r="715" ht="15.75" customHeight="1" spans="1:5">
      <c r="A715" s="22"/>
      <c r="B715" s="25" t="s">
        <v>2822</v>
      </c>
      <c r="C715" s="28" t="s">
        <v>6177</v>
      </c>
      <c r="D715" s="27" t="s">
        <v>5520</v>
      </c>
      <c r="E715" s="22"/>
    </row>
    <row r="716" ht="15.75" customHeight="1" spans="1:5">
      <c r="A716" s="22"/>
      <c r="B716" s="25" t="s">
        <v>2824</v>
      </c>
      <c r="C716" s="28" t="s">
        <v>6178</v>
      </c>
      <c r="D716" s="27" t="s">
        <v>5520</v>
      </c>
      <c r="E716" s="22" t="s">
        <v>436</v>
      </c>
    </row>
    <row r="717" ht="15.75" customHeight="1" spans="1:5">
      <c r="A717" s="22"/>
      <c r="B717" s="25" t="s">
        <v>2826</v>
      </c>
      <c r="C717" s="28" t="s">
        <v>6179</v>
      </c>
      <c r="D717" s="27" t="s">
        <v>5520</v>
      </c>
      <c r="E717" s="22"/>
    </row>
    <row r="718" ht="15.75" customHeight="1" spans="1:5">
      <c r="A718" s="22"/>
      <c r="B718" s="25" t="s">
        <v>2828</v>
      </c>
      <c r="C718" s="28" t="s">
        <v>6180</v>
      </c>
      <c r="D718" s="27" t="s">
        <v>5520</v>
      </c>
      <c r="E718" s="22" t="s">
        <v>376</v>
      </c>
    </row>
    <row r="719" ht="15.75" customHeight="1" spans="1:5">
      <c r="A719" s="22"/>
      <c r="B719" s="25" t="s">
        <v>2830</v>
      </c>
      <c r="C719" s="28" t="s">
        <v>6181</v>
      </c>
      <c r="D719" s="27" t="s">
        <v>5520</v>
      </c>
      <c r="E719" s="22"/>
    </row>
    <row r="720" ht="15.75" customHeight="1" spans="1:5">
      <c r="A720" s="22"/>
      <c r="B720" s="25" t="s">
        <v>2832</v>
      </c>
      <c r="C720" s="28" t="s">
        <v>6182</v>
      </c>
      <c r="D720" s="27" t="s">
        <v>5520</v>
      </c>
      <c r="E720" s="22" t="s">
        <v>376</v>
      </c>
    </row>
    <row r="721" ht="15.75" customHeight="1" spans="1:5">
      <c r="A721" s="22"/>
      <c r="B721" s="25" t="s">
        <v>2834</v>
      </c>
      <c r="C721" s="28" t="s">
        <v>6183</v>
      </c>
      <c r="D721" s="27" t="s">
        <v>5520</v>
      </c>
      <c r="E721" s="22" t="s">
        <v>376</v>
      </c>
    </row>
    <row r="722" ht="15.75" customHeight="1" spans="1:5">
      <c r="A722" s="22"/>
      <c r="B722" s="25" t="s">
        <v>2836</v>
      </c>
      <c r="C722" s="28" t="s">
        <v>6184</v>
      </c>
      <c r="D722" s="27" t="s">
        <v>5520</v>
      </c>
      <c r="E722" s="22"/>
    </row>
    <row r="723" ht="15.75" customHeight="1" spans="1:5">
      <c r="A723" s="22"/>
      <c r="B723" s="25" t="s">
        <v>2838</v>
      </c>
      <c r="C723" s="28" t="s">
        <v>6185</v>
      </c>
      <c r="D723" s="27" t="s">
        <v>5520</v>
      </c>
      <c r="E723" s="22"/>
    </row>
    <row r="724" ht="15.75" customHeight="1" spans="1:5">
      <c r="A724" s="22"/>
      <c r="B724" s="25" t="s">
        <v>2840</v>
      </c>
      <c r="C724" s="28" t="s">
        <v>6186</v>
      </c>
      <c r="D724" s="27" t="s">
        <v>5520</v>
      </c>
      <c r="E724" s="22" t="s">
        <v>371</v>
      </c>
    </row>
    <row r="725" ht="15.75" customHeight="1" spans="1:5">
      <c r="A725" s="22"/>
      <c r="B725" s="25" t="s">
        <v>2842</v>
      </c>
      <c r="C725" s="28" t="s">
        <v>6187</v>
      </c>
      <c r="D725" s="27" t="s">
        <v>5520</v>
      </c>
      <c r="E725" s="22"/>
    </row>
    <row r="726" ht="15.75" customHeight="1" spans="1:5">
      <c r="A726" s="22"/>
      <c r="B726" s="25" t="s">
        <v>2844</v>
      </c>
      <c r="C726" s="28" t="s">
        <v>6188</v>
      </c>
      <c r="D726" s="27" t="s">
        <v>5520</v>
      </c>
      <c r="E726" s="22"/>
    </row>
    <row r="727" ht="15.75" customHeight="1" spans="1:5">
      <c r="A727" s="22"/>
      <c r="B727" s="25" t="s">
        <v>2846</v>
      </c>
      <c r="C727" s="28" t="s">
        <v>6189</v>
      </c>
      <c r="D727" s="27" t="s">
        <v>5520</v>
      </c>
      <c r="E727" s="22" t="s">
        <v>342</v>
      </c>
    </row>
    <row r="728" ht="15.75" customHeight="1" spans="1:5">
      <c r="A728" s="22"/>
      <c r="B728" s="25" t="s">
        <v>2848</v>
      </c>
      <c r="C728" s="28" t="s">
        <v>6190</v>
      </c>
      <c r="D728" s="27" t="s">
        <v>5520</v>
      </c>
      <c r="E728" s="22" t="s">
        <v>376</v>
      </c>
    </row>
    <row r="729" ht="15.75" customHeight="1" spans="1:5">
      <c r="A729" s="22"/>
      <c r="B729" s="25" t="s">
        <v>2850</v>
      </c>
      <c r="C729" s="28" t="s">
        <v>6190</v>
      </c>
      <c r="D729" s="27" t="s">
        <v>5520</v>
      </c>
      <c r="E729" s="22"/>
    </row>
    <row r="730" ht="15.75" customHeight="1" spans="1:5">
      <c r="A730" s="22"/>
      <c r="B730" s="25" t="s">
        <v>2852</v>
      </c>
      <c r="C730" s="28" t="s">
        <v>6191</v>
      </c>
      <c r="D730" s="27" t="s">
        <v>5520</v>
      </c>
      <c r="E730" s="22" t="s">
        <v>376</v>
      </c>
    </row>
    <row r="731" ht="15.75" customHeight="1" spans="1:5">
      <c r="A731" s="22"/>
      <c r="B731" s="25" t="s">
        <v>2854</v>
      </c>
      <c r="C731" s="28" t="s">
        <v>6191</v>
      </c>
      <c r="D731" s="27" t="s">
        <v>5520</v>
      </c>
      <c r="E731" s="22"/>
    </row>
    <row r="732" ht="15.75" customHeight="1" spans="1:5">
      <c r="A732" s="22"/>
      <c r="B732" s="25" t="s">
        <v>2856</v>
      </c>
      <c r="C732" s="28" t="s">
        <v>6192</v>
      </c>
      <c r="D732" s="27" t="s">
        <v>5520</v>
      </c>
      <c r="E732" s="22"/>
    </row>
    <row r="733" ht="15.75" customHeight="1" spans="1:5">
      <c r="A733" s="22"/>
      <c r="B733" s="25" t="s">
        <v>2858</v>
      </c>
      <c r="C733" s="28" t="s">
        <v>6193</v>
      </c>
      <c r="D733" s="27" t="s">
        <v>5520</v>
      </c>
      <c r="E733" s="22" t="s">
        <v>408</v>
      </c>
    </row>
    <row r="734" ht="15.75" customHeight="1" spans="1:5">
      <c r="A734" s="22"/>
      <c r="B734" s="25" t="s">
        <v>2860</v>
      </c>
      <c r="C734" s="28" t="s">
        <v>6194</v>
      </c>
      <c r="D734" s="27" t="s">
        <v>5520</v>
      </c>
      <c r="E734" s="22" t="s">
        <v>436</v>
      </c>
    </row>
    <row r="735" ht="15.75" customHeight="1" spans="1:5">
      <c r="A735" s="22"/>
      <c r="B735" s="25" t="s">
        <v>2862</v>
      </c>
      <c r="C735" s="28" t="s">
        <v>6195</v>
      </c>
      <c r="D735" s="27" t="s">
        <v>5520</v>
      </c>
      <c r="E735" s="22"/>
    </row>
    <row r="736" ht="15.75" customHeight="1" spans="1:5">
      <c r="A736" s="22"/>
      <c r="B736" s="25" t="s">
        <v>2864</v>
      </c>
      <c r="C736" s="28" t="s">
        <v>6196</v>
      </c>
      <c r="D736" s="27" t="s">
        <v>5520</v>
      </c>
      <c r="E736" s="22" t="s">
        <v>337</v>
      </c>
    </row>
    <row r="737" ht="15.75" customHeight="1" spans="1:5">
      <c r="A737" s="22"/>
      <c r="B737" s="25" t="s">
        <v>2866</v>
      </c>
      <c r="C737" s="28" t="s">
        <v>6197</v>
      </c>
      <c r="D737" s="27" t="s">
        <v>5520</v>
      </c>
      <c r="E737" s="22"/>
    </row>
    <row r="738" ht="15.75" customHeight="1" spans="1:5">
      <c r="A738" s="22"/>
      <c r="B738" s="25" t="s">
        <v>2868</v>
      </c>
      <c r="C738" s="28" t="s">
        <v>6198</v>
      </c>
      <c r="D738" s="27" t="s">
        <v>5520</v>
      </c>
      <c r="E738" s="22" t="s">
        <v>376</v>
      </c>
    </row>
    <row r="739" ht="15.75" customHeight="1" spans="1:5">
      <c r="A739" s="22"/>
      <c r="B739" s="25" t="s">
        <v>2870</v>
      </c>
      <c r="C739" s="28" t="s">
        <v>6199</v>
      </c>
      <c r="D739" s="27" t="s">
        <v>5520</v>
      </c>
      <c r="E739" s="22" t="s">
        <v>436</v>
      </c>
    </row>
    <row r="740" ht="15.75" customHeight="1" spans="1:5">
      <c r="A740" s="22"/>
      <c r="B740" s="25" t="s">
        <v>2872</v>
      </c>
      <c r="C740" s="28" t="s">
        <v>6200</v>
      </c>
      <c r="D740" s="27" t="s">
        <v>5520</v>
      </c>
      <c r="E740" s="22"/>
    </row>
    <row r="741" ht="15.75" customHeight="1" spans="1:5">
      <c r="A741" s="22"/>
      <c r="B741" s="25" t="s">
        <v>2874</v>
      </c>
      <c r="C741" s="28" t="s">
        <v>6201</v>
      </c>
      <c r="D741" s="27" t="s">
        <v>5520</v>
      </c>
      <c r="E741" s="22" t="s">
        <v>384</v>
      </c>
    </row>
    <row r="742" ht="15.75" customHeight="1" spans="1:5">
      <c r="A742" s="22"/>
      <c r="B742" s="25" t="s">
        <v>2876</v>
      </c>
      <c r="C742" s="28" t="s">
        <v>6202</v>
      </c>
      <c r="D742" s="27" t="s">
        <v>5520</v>
      </c>
      <c r="E742" s="22" t="s">
        <v>513</v>
      </c>
    </row>
    <row r="743" ht="15.75" customHeight="1" spans="1:5">
      <c r="A743" s="22"/>
      <c r="B743" s="25" t="s">
        <v>2878</v>
      </c>
      <c r="C743" s="28" t="s">
        <v>6203</v>
      </c>
      <c r="D743" s="27" t="s">
        <v>5520</v>
      </c>
      <c r="E743" s="22" t="s">
        <v>436</v>
      </c>
    </row>
    <row r="744" ht="15.75" customHeight="1" spans="1:5">
      <c r="A744" s="22"/>
      <c r="B744" s="25" t="s">
        <v>2880</v>
      </c>
      <c r="C744" s="28" t="s">
        <v>6204</v>
      </c>
      <c r="D744" s="27" t="s">
        <v>5520</v>
      </c>
      <c r="E744" s="22" t="s">
        <v>436</v>
      </c>
    </row>
    <row r="745" ht="15.75" customHeight="1" spans="1:5">
      <c r="A745" s="22"/>
      <c r="B745" s="25" t="s">
        <v>2882</v>
      </c>
      <c r="C745" s="28" t="s">
        <v>6205</v>
      </c>
      <c r="D745" s="27" t="s">
        <v>5520</v>
      </c>
      <c r="E745" s="22"/>
    </row>
    <row r="746" ht="15.75" customHeight="1" spans="1:5">
      <c r="A746" s="22"/>
      <c r="B746" s="25" t="s">
        <v>2884</v>
      </c>
      <c r="C746" s="28" t="s">
        <v>6206</v>
      </c>
      <c r="D746" s="27" t="s">
        <v>5520</v>
      </c>
      <c r="E746" s="22" t="s">
        <v>436</v>
      </c>
    </row>
    <row r="747" ht="15.75" customHeight="1" spans="1:5">
      <c r="A747" s="22"/>
      <c r="B747" s="25" t="s">
        <v>2886</v>
      </c>
      <c r="C747" s="28" t="s">
        <v>6207</v>
      </c>
      <c r="D747" s="27" t="s">
        <v>5520</v>
      </c>
      <c r="E747" s="22"/>
    </row>
    <row r="748" ht="15.75" customHeight="1" spans="1:5">
      <c r="A748" s="22"/>
      <c r="B748" s="25" t="s">
        <v>2888</v>
      </c>
      <c r="C748" s="28" t="s">
        <v>6208</v>
      </c>
      <c r="D748" s="27" t="s">
        <v>5520</v>
      </c>
      <c r="E748" s="22"/>
    </row>
    <row r="749" ht="15.75" customHeight="1" spans="1:5">
      <c r="A749" s="22"/>
      <c r="B749" s="25" t="s">
        <v>2890</v>
      </c>
      <c r="C749" s="28" t="s">
        <v>6209</v>
      </c>
      <c r="D749" s="27" t="s">
        <v>5520</v>
      </c>
      <c r="E749" s="22" t="s">
        <v>371</v>
      </c>
    </row>
    <row r="750" ht="15.75" customHeight="1" spans="1:5">
      <c r="A750" s="22"/>
      <c r="B750" s="25" t="s">
        <v>2892</v>
      </c>
      <c r="C750" s="28" t="s">
        <v>6210</v>
      </c>
      <c r="D750" s="27" t="s">
        <v>5520</v>
      </c>
      <c r="E750" s="22" t="s">
        <v>534</v>
      </c>
    </row>
    <row r="751" ht="15.75" customHeight="1" spans="1:5">
      <c r="A751" s="22"/>
      <c r="B751" s="25" t="s">
        <v>2894</v>
      </c>
      <c r="C751" s="28" t="s">
        <v>6211</v>
      </c>
      <c r="D751" s="27" t="s">
        <v>5520</v>
      </c>
      <c r="E751" s="22"/>
    </row>
    <row r="752" ht="15.75" customHeight="1" spans="1:5">
      <c r="A752" s="22"/>
      <c r="B752" s="25" t="s">
        <v>2896</v>
      </c>
      <c r="C752" s="28" t="s">
        <v>6212</v>
      </c>
      <c r="D752" s="27" t="s">
        <v>5520</v>
      </c>
      <c r="E752" s="22"/>
    </row>
    <row r="753" ht="15.75" customHeight="1" spans="1:5">
      <c r="A753" s="22"/>
      <c r="B753" s="25" t="s">
        <v>2898</v>
      </c>
      <c r="C753" s="28" t="s">
        <v>6213</v>
      </c>
      <c r="D753" s="27" t="s">
        <v>5520</v>
      </c>
      <c r="E753" s="22" t="s">
        <v>416</v>
      </c>
    </row>
    <row r="754" ht="15.75" customHeight="1" spans="1:5">
      <c r="A754" s="22"/>
      <c r="B754" s="25" t="s">
        <v>2900</v>
      </c>
      <c r="C754" s="28" t="s">
        <v>6214</v>
      </c>
      <c r="D754" s="27" t="s">
        <v>5520</v>
      </c>
      <c r="E754" s="22" t="s">
        <v>384</v>
      </c>
    </row>
    <row r="755" ht="15.75" customHeight="1" spans="1:5">
      <c r="A755" s="22"/>
      <c r="B755" s="25" t="s">
        <v>2902</v>
      </c>
      <c r="C755" s="28" t="s">
        <v>6215</v>
      </c>
      <c r="D755" s="27" t="s">
        <v>5520</v>
      </c>
      <c r="E755" s="22"/>
    </row>
    <row r="756" ht="15.75" customHeight="1" spans="1:5">
      <c r="A756" s="22"/>
      <c r="B756" s="25" t="s">
        <v>2904</v>
      </c>
      <c r="C756" s="28" t="s">
        <v>6215</v>
      </c>
      <c r="D756" s="27" t="s">
        <v>5520</v>
      </c>
      <c r="E756" s="22" t="s">
        <v>436</v>
      </c>
    </row>
    <row r="757" ht="15.75" customHeight="1" spans="1:5">
      <c r="A757" s="22"/>
      <c r="B757" s="25" t="s">
        <v>2906</v>
      </c>
      <c r="C757" s="28" t="s">
        <v>6216</v>
      </c>
      <c r="D757" s="27" t="s">
        <v>5520</v>
      </c>
      <c r="E757" s="22"/>
    </row>
    <row r="758" ht="15.75" customHeight="1" spans="1:5">
      <c r="A758" s="22"/>
      <c r="B758" s="25" t="s">
        <v>2908</v>
      </c>
      <c r="C758" s="28" t="s">
        <v>6217</v>
      </c>
      <c r="D758" s="27" t="s">
        <v>5520</v>
      </c>
      <c r="E758" s="22" t="s">
        <v>549</v>
      </c>
    </row>
    <row r="759" ht="15.75" customHeight="1" spans="1:5">
      <c r="A759" s="22"/>
      <c r="B759" s="25" t="s">
        <v>2910</v>
      </c>
      <c r="C759" s="28" t="s">
        <v>6218</v>
      </c>
      <c r="D759" s="27" t="s">
        <v>5520</v>
      </c>
      <c r="E759" s="22" t="s">
        <v>436</v>
      </c>
    </row>
    <row r="760" ht="15.75" customHeight="1" spans="1:5">
      <c r="A760" s="22"/>
      <c r="B760" s="25" t="s">
        <v>2912</v>
      </c>
      <c r="C760" s="28" t="s">
        <v>6219</v>
      </c>
      <c r="D760" s="27" t="s">
        <v>5520</v>
      </c>
      <c r="E760" s="22" t="s">
        <v>436</v>
      </c>
    </row>
    <row r="761" ht="15.75" customHeight="1" spans="1:5">
      <c r="A761" s="22"/>
      <c r="B761" s="25" t="s">
        <v>2914</v>
      </c>
      <c r="C761" s="28" t="s">
        <v>6035</v>
      </c>
      <c r="D761" s="27" t="s">
        <v>5520</v>
      </c>
      <c r="E761" s="22" t="s">
        <v>6035</v>
      </c>
    </row>
    <row r="762" ht="15.75" customHeight="1" spans="1:5">
      <c r="A762" s="22"/>
      <c r="B762" s="25" t="s">
        <v>2916</v>
      </c>
      <c r="C762" s="28" t="s">
        <v>6035</v>
      </c>
      <c r="D762" s="27" t="s">
        <v>5520</v>
      </c>
      <c r="E762" s="22"/>
    </row>
    <row r="763" ht="15.75" customHeight="1" spans="1:5">
      <c r="A763" s="22"/>
      <c r="B763" s="25" t="s">
        <v>2918</v>
      </c>
      <c r="C763" s="28" t="s">
        <v>6220</v>
      </c>
      <c r="D763" s="27" t="s">
        <v>5520</v>
      </c>
      <c r="E763" s="22" t="s">
        <v>6035</v>
      </c>
    </row>
    <row r="764" ht="15.75" customHeight="1" spans="1:5">
      <c r="A764" s="22"/>
      <c r="B764" s="25" t="s">
        <v>2920</v>
      </c>
      <c r="C764" s="28" t="s">
        <v>6221</v>
      </c>
      <c r="D764" s="27" t="s">
        <v>5520</v>
      </c>
      <c r="E764" s="22" t="s">
        <v>366</v>
      </c>
    </row>
    <row r="765" ht="15.75" customHeight="1" spans="1:5">
      <c r="A765" s="22"/>
      <c r="B765" s="25" t="s">
        <v>2922</v>
      </c>
      <c r="C765" s="28" t="s">
        <v>6222</v>
      </c>
      <c r="D765" s="27" t="s">
        <v>5520</v>
      </c>
      <c r="E765" s="22" t="s">
        <v>371</v>
      </c>
    </row>
    <row r="766" ht="15.75" customHeight="1" spans="1:5">
      <c r="A766" s="22"/>
      <c r="B766" s="25" t="s">
        <v>2924</v>
      </c>
      <c r="C766" s="28" t="s">
        <v>6223</v>
      </c>
      <c r="D766" s="27" t="s">
        <v>5520</v>
      </c>
      <c r="E766" s="22"/>
    </row>
    <row r="767" ht="15.75" customHeight="1" spans="1:5">
      <c r="A767" s="22"/>
      <c r="B767" s="25" t="s">
        <v>2926</v>
      </c>
      <c r="C767" s="28" t="s">
        <v>6224</v>
      </c>
      <c r="D767" s="27" t="s">
        <v>5520</v>
      </c>
      <c r="E767" s="22" t="s">
        <v>436</v>
      </c>
    </row>
    <row r="768" ht="15.75" customHeight="1" spans="1:5">
      <c r="A768" s="22"/>
      <c r="B768" s="25" t="s">
        <v>2928</v>
      </c>
      <c r="C768" s="28" t="s">
        <v>6225</v>
      </c>
      <c r="D768" s="27" t="s">
        <v>5520</v>
      </c>
      <c r="E768" s="22"/>
    </row>
    <row r="769" ht="15.75" customHeight="1" spans="1:5">
      <c r="A769" s="22"/>
      <c r="B769" s="25" t="s">
        <v>2930</v>
      </c>
      <c r="C769" s="28" t="s">
        <v>6226</v>
      </c>
      <c r="D769" s="27" t="s">
        <v>5520</v>
      </c>
      <c r="E769" s="22" t="s">
        <v>482</v>
      </c>
    </row>
    <row r="770" ht="15.75" customHeight="1" spans="1:5">
      <c r="A770" s="22"/>
      <c r="B770" s="25" t="s">
        <v>2932</v>
      </c>
      <c r="C770" s="28" t="s">
        <v>6227</v>
      </c>
      <c r="D770" s="27" t="s">
        <v>5520</v>
      </c>
      <c r="E770" s="22" t="s">
        <v>436</v>
      </c>
    </row>
    <row r="771" ht="15.75" customHeight="1" spans="1:5">
      <c r="A771" s="22"/>
      <c r="B771" s="25" t="s">
        <v>2934</v>
      </c>
      <c r="C771" s="28" t="s">
        <v>6228</v>
      </c>
      <c r="D771" s="27" t="s">
        <v>5520</v>
      </c>
      <c r="E771" s="22" t="s">
        <v>436</v>
      </c>
    </row>
    <row r="772" ht="15.75" customHeight="1" spans="1:5">
      <c r="A772" s="22"/>
      <c r="B772" s="25" t="s">
        <v>2936</v>
      </c>
      <c r="C772" s="28" t="s">
        <v>6229</v>
      </c>
      <c r="D772" s="27" t="s">
        <v>5520</v>
      </c>
      <c r="E772" s="22"/>
    </row>
    <row r="773" ht="15.75" customHeight="1" spans="1:5">
      <c r="A773" s="22"/>
      <c r="B773" s="25" t="s">
        <v>2938</v>
      </c>
      <c r="C773" s="28" t="s">
        <v>6230</v>
      </c>
      <c r="D773" s="27" t="s">
        <v>5520</v>
      </c>
      <c r="E773" s="22"/>
    </row>
    <row r="774" ht="15.75" customHeight="1" spans="1:5">
      <c r="A774" s="22"/>
      <c r="B774" s="25" t="s">
        <v>2940</v>
      </c>
      <c r="C774" s="28" t="s">
        <v>6231</v>
      </c>
      <c r="D774" s="27" t="s">
        <v>5520</v>
      </c>
      <c r="E774" s="22" t="s">
        <v>384</v>
      </c>
    </row>
    <row r="775" ht="15.75" customHeight="1" spans="1:5">
      <c r="A775" s="22"/>
      <c r="B775" s="25" t="s">
        <v>2942</v>
      </c>
      <c r="C775" s="28" t="s">
        <v>6232</v>
      </c>
      <c r="D775" s="27" t="s">
        <v>5520</v>
      </c>
      <c r="E775" s="22" t="s">
        <v>513</v>
      </c>
    </row>
    <row r="776" ht="15.75" customHeight="1" spans="1:5">
      <c r="A776" s="22"/>
      <c r="B776" s="25" t="s">
        <v>2944</v>
      </c>
      <c r="C776" s="28" t="s">
        <v>6233</v>
      </c>
      <c r="D776" s="27" t="s">
        <v>5520</v>
      </c>
      <c r="E776" s="22" t="s">
        <v>549</v>
      </c>
    </row>
    <row r="777" ht="15.75" customHeight="1" spans="1:5">
      <c r="A777" s="22"/>
      <c r="B777" s="25" t="s">
        <v>2946</v>
      </c>
      <c r="C777" s="28" t="s">
        <v>6234</v>
      </c>
      <c r="D777" s="27" t="s">
        <v>5520</v>
      </c>
      <c r="E777" s="22"/>
    </row>
    <row r="778" ht="15.75" customHeight="1" spans="1:5">
      <c r="A778" s="22"/>
      <c r="B778" s="25" t="s">
        <v>2948</v>
      </c>
      <c r="C778" s="28" t="s">
        <v>6235</v>
      </c>
      <c r="D778" s="27" t="s">
        <v>5520</v>
      </c>
      <c r="E778" s="22"/>
    </row>
    <row r="779" ht="15.75" customHeight="1" spans="1:5">
      <c r="A779" s="22"/>
      <c r="B779" s="25" t="s">
        <v>2950</v>
      </c>
      <c r="C779" s="28" t="s">
        <v>6236</v>
      </c>
      <c r="D779" s="27" t="s">
        <v>5520</v>
      </c>
      <c r="E779" s="22"/>
    </row>
    <row r="780" ht="15.75" customHeight="1" spans="1:5">
      <c r="A780" s="22"/>
      <c r="B780" s="25" t="s">
        <v>2952</v>
      </c>
      <c r="C780" s="28" t="s">
        <v>6237</v>
      </c>
      <c r="D780" s="27" t="s">
        <v>5520</v>
      </c>
      <c r="E780" s="22"/>
    </row>
    <row r="781" ht="15.75" customHeight="1" spans="1:5">
      <c r="A781" s="22"/>
      <c r="B781" s="25" t="s">
        <v>2954</v>
      </c>
      <c r="C781" s="28" t="s">
        <v>6238</v>
      </c>
      <c r="D781" s="27" t="s">
        <v>5520</v>
      </c>
      <c r="E781" s="22" t="s">
        <v>436</v>
      </c>
    </row>
    <row r="782" ht="15.75" customHeight="1" spans="1:5">
      <c r="A782" s="22"/>
      <c r="B782" s="25" t="s">
        <v>2956</v>
      </c>
      <c r="C782" s="28" t="s">
        <v>6239</v>
      </c>
      <c r="D782" s="27" t="s">
        <v>5520</v>
      </c>
      <c r="E782" s="22" t="s">
        <v>436</v>
      </c>
    </row>
    <row r="783" ht="15.75" customHeight="1" spans="1:5">
      <c r="A783" s="22"/>
      <c r="B783" s="25" t="s">
        <v>2958</v>
      </c>
      <c r="C783" s="28" t="s">
        <v>6240</v>
      </c>
      <c r="D783" s="27" t="s">
        <v>5520</v>
      </c>
      <c r="E783" s="22"/>
    </row>
    <row r="784" ht="15.75" customHeight="1" spans="1:5">
      <c r="A784" s="22"/>
      <c r="B784" s="25" t="s">
        <v>2960</v>
      </c>
      <c r="C784" s="28" t="s">
        <v>6241</v>
      </c>
      <c r="D784" s="27" t="s">
        <v>5520</v>
      </c>
      <c r="E784" s="22"/>
    </row>
    <row r="785" ht="15.75" customHeight="1" spans="1:5">
      <c r="A785" s="22"/>
      <c r="B785" s="25" t="s">
        <v>2962</v>
      </c>
      <c r="C785" s="28" t="s">
        <v>6242</v>
      </c>
      <c r="D785" s="27" t="s">
        <v>5520</v>
      </c>
      <c r="E785" s="22" t="s">
        <v>436</v>
      </c>
    </row>
    <row r="786" ht="15.75" customHeight="1" spans="1:5">
      <c r="A786" s="22"/>
      <c r="B786" s="25" t="s">
        <v>2964</v>
      </c>
      <c r="C786" s="28" t="s">
        <v>6243</v>
      </c>
      <c r="D786" s="27" t="s">
        <v>5520</v>
      </c>
      <c r="E786" s="22"/>
    </row>
    <row r="787" ht="15.75" customHeight="1" spans="1:5">
      <c r="A787" s="22"/>
      <c r="B787" s="25" t="s">
        <v>2966</v>
      </c>
      <c r="C787" s="28" t="s">
        <v>6244</v>
      </c>
      <c r="D787" s="27" t="s">
        <v>5520</v>
      </c>
      <c r="E787" s="22"/>
    </row>
    <row r="788" ht="15.75" customHeight="1" spans="1:5">
      <c r="A788" s="22"/>
      <c r="B788" s="25" t="s">
        <v>2968</v>
      </c>
      <c r="C788" s="28" t="s">
        <v>6245</v>
      </c>
      <c r="D788" s="27" t="s">
        <v>5520</v>
      </c>
      <c r="E788" s="22"/>
    </row>
    <row r="789" ht="15.75" customHeight="1" spans="1:5">
      <c r="A789" s="22"/>
      <c r="B789" s="25" t="s">
        <v>2970</v>
      </c>
      <c r="C789" s="28" t="s">
        <v>6246</v>
      </c>
      <c r="D789" s="27" t="s">
        <v>5520</v>
      </c>
      <c r="E789" s="22" t="s">
        <v>513</v>
      </c>
    </row>
    <row r="790" ht="15.75" customHeight="1" spans="1:5">
      <c r="A790" s="22"/>
      <c r="B790" s="25" t="s">
        <v>2972</v>
      </c>
      <c r="C790" s="28" t="s">
        <v>6247</v>
      </c>
      <c r="D790" s="27" t="s">
        <v>5520</v>
      </c>
      <c r="E790" s="22"/>
    </row>
    <row r="791" ht="15.75" customHeight="1" spans="1:5">
      <c r="A791" s="22"/>
      <c r="B791" s="25" t="s">
        <v>2974</v>
      </c>
      <c r="C791" s="28" t="s">
        <v>6248</v>
      </c>
      <c r="D791" s="27" t="s">
        <v>5520</v>
      </c>
      <c r="E791" s="22"/>
    </row>
    <row r="792" ht="15.75" customHeight="1" spans="1:5">
      <c r="A792" s="22"/>
      <c r="B792" s="25" t="s">
        <v>2976</v>
      </c>
      <c r="C792" s="28" t="s">
        <v>6249</v>
      </c>
      <c r="D792" s="27" t="s">
        <v>5520</v>
      </c>
      <c r="E792" s="22"/>
    </row>
    <row r="793" ht="15.75" customHeight="1" spans="1:5">
      <c r="A793" s="22"/>
      <c r="B793" s="25" t="s">
        <v>2978</v>
      </c>
      <c r="C793" s="28" t="s">
        <v>6250</v>
      </c>
      <c r="D793" s="27" t="s">
        <v>5520</v>
      </c>
      <c r="E793" s="22" t="s">
        <v>355</v>
      </c>
    </row>
    <row r="794" ht="15.75" customHeight="1" spans="1:5">
      <c r="A794" s="22"/>
      <c r="B794" s="25" t="s">
        <v>2980</v>
      </c>
      <c r="C794" s="28" t="s">
        <v>6251</v>
      </c>
      <c r="D794" s="27" t="s">
        <v>5520</v>
      </c>
      <c r="E794" s="22"/>
    </row>
    <row r="795" ht="15.75" customHeight="1" spans="1:5">
      <c r="A795" s="22"/>
      <c r="B795" s="25" t="s">
        <v>2982</v>
      </c>
      <c r="C795" s="28" t="s">
        <v>6251</v>
      </c>
      <c r="D795" s="27" t="s">
        <v>5520</v>
      </c>
      <c r="E795" s="22" t="s">
        <v>376</v>
      </c>
    </row>
    <row r="796" ht="15.75" customHeight="1" spans="1:5">
      <c r="A796" s="22"/>
      <c r="B796" s="25" t="s">
        <v>2984</v>
      </c>
      <c r="C796" s="28" t="s">
        <v>6252</v>
      </c>
      <c r="D796" s="27" t="s">
        <v>5520</v>
      </c>
      <c r="E796" s="22" t="s">
        <v>513</v>
      </c>
    </row>
    <row r="797" ht="15.75" customHeight="1" spans="1:5">
      <c r="A797" s="22"/>
      <c r="B797" s="25" t="s">
        <v>2986</v>
      </c>
      <c r="C797" s="28" t="s">
        <v>6253</v>
      </c>
      <c r="D797" s="27" t="s">
        <v>5520</v>
      </c>
      <c r="E797" s="22" t="s">
        <v>549</v>
      </c>
    </row>
    <row r="798" ht="15.75" customHeight="1" spans="1:5">
      <c r="A798" s="22"/>
      <c r="B798" s="25" t="s">
        <v>2988</v>
      </c>
      <c r="C798" s="28" t="s">
        <v>6254</v>
      </c>
      <c r="D798" s="27" t="s">
        <v>5520</v>
      </c>
      <c r="E798" s="22" t="s">
        <v>384</v>
      </c>
    </row>
    <row r="799" ht="15.75" customHeight="1" spans="1:5">
      <c r="A799" s="22"/>
      <c r="B799" s="25" t="s">
        <v>2990</v>
      </c>
      <c r="C799" s="28" t="s">
        <v>6255</v>
      </c>
      <c r="D799" s="27" t="s">
        <v>5520</v>
      </c>
      <c r="E799" s="22" t="s">
        <v>436</v>
      </c>
    </row>
    <row r="800" ht="15.75" customHeight="1" spans="1:5">
      <c r="A800" s="22"/>
      <c r="B800" s="25" t="s">
        <v>2992</v>
      </c>
      <c r="C800" s="28" t="s">
        <v>6256</v>
      </c>
      <c r="D800" s="27" t="s">
        <v>5520</v>
      </c>
      <c r="E800" s="22"/>
    </row>
    <row r="801" ht="15.75" customHeight="1" spans="1:5">
      <c r="A801" s="22"/>
      <c r="B801" s="25" t="s">
        <v>2994</v>
      </c>
      <c r="C801" s="28" t="s">
        <v>6257</v>
      </c>
      <c r="D801" s="27" t="s">
        <v>5520</v>
      </c>
      <c r="E801" s="22" t="s">
        <v>526</v>
      </c>
    </row>
    <row r="802" ht="15.75" customHeight="1" spans="1:5">
      <c r="A802" s="22"/>
      <c r="B802" s="25" t="s">
        <v>2996</v>
      </c>
      <c r="C802" s="28" t="s">
        <v>6258</v>
      </c>
      <c r="D802" s="27" t="s">
        <v>5520</v>
      </c>
      <c r="E802" s="22"/>
    </row>
    <row r="803" ht="15.75" customHeight="1" spans="1:5">
      <c r="A803" s="22"/>
      <c r="B803" s="25" t="s">
        <v>2998</v>
      </c>
      <c r="C803" s="28" t="s">
        <v>6259</v>
      </c>
      <c r="D803" s="27" t="s">
        <v>5520</v>
      </c>
      <c r="E803" s="22"/>
    </row>
    <row r="804" ht="15.75" customHeight="1" spans="1:5">
      <c r="A804" s="22"/>
      <c r="B804" s="25" t="s">
        <v>3000</v>
      </c>
      <c r="C804" s="28" t="s">
        <v>6260</v>
      </c>
      <c r="D804" s="27" t="s">
        <v>5520</v>
      </c>
      <c r="E804" s="22" t="s">
        <v>5710</v>
      </c>
    </row>
    <row r="805" ht="15.75" customHeight="1" spans="1:5">
      <c r="A805" s="22"/>
      <c r="B805" s="25" t="s">
        <v>3002</v>
      </c>
      <c r="C805" s="28" t="s">
        <v>6261</v>
      </c>
      <c r="D805" s="27" t="s">
        <v>5520</v>
      </c>
      <c r="E805" s="22" t="s">
        <v>452</v>
      </c>
    </row>
    <row r="806" ht="15.75" customHeight="1" spans="1:5">
      <c r="A806" s="22"/>
      <c r="B806" s="25" t="s">
        <v>3004</v>
      </c>
      <c r="C806" s="28" t="s">
        <v>6262</v>
      </c>
      <c r="D806" s="27" t="s">
        <v>5520</v>
      </c>
      <c r="E806" s="22"/>
    </row>
    <row r="807" ht="15.75" customHeight="1" spans="1:5">
      <c r="A807" s="22"/>
      <c r="B807" s="25" t="s">
        <v>3006</v>
      </c>
      <c r="C807" s="28" t="s">
        <v>6263</v>
      </c>
      <c r="D807" s="27" t="s">
        <v>5520</v>
      </c>
      <c r="E807" s="22"/>
    </row>
    <row r="808" ht="15.75" customHeight="1" spans="1:5">
      <c r="A808" s="22"/>
      <c r="B808" s="25" t="s">
        <v>3008</v>
      </c>
      <c r="C808" s="28" t="s">
        <v>6264</v>
      </c>
      <c r="D808" s="27" t="s">
        <v>5520</v>
      </c>
      <c r="E808" s="22" t="s">
        <v>355</v>
      </c>
    </row>
    <row r="809" ht="15.75" customHeight="1" spans="1:5">
      <c r="A809" s="22"/>
      <c r="B809" s="25" t="s">
        <v>3010</v>
      </c>
      <c r="C809" s="28" t="s">
        <v>6265</v>
      </c>
      <c r="D809" s="27" t="s">
        <v>5520</v>
      </c>
      <c r="E809" s="22" t="s">
        <v>376</v>
      </c>
    </row>
    <row r="810" ht="15.75" customHeight="1" spans="1:5">
      <c r="A810" s="22"/>
      <c r="B810" s="25" t="s">
        <v>3012</v>
      </c>
      <c r="C810" s="28" t="s">
        <v>6266</v>
      </c>
      <c r="D810" s="27" t="s">
        <v>5520</v>
      </c>
      <c r="E810" s="22" t="s">
        <v>436</v>
      </c>
    </row>
    <row r="811" ht="15.75" customHeight="1" spans="1:5">
      <c r="A811" s="22"/>
      <c r="B811" s="25" t="s">
        <v>3014</v>
      </c>
      <c r="C811" s="28" t="s">
        <v>6267</v>
      </c>
      <c r="D811" s="27" t="s">
        <v>5520</v>
      </c>
      <c r="E811" s="22" t="s">
        <v>416</v>
      </c>
    </row>
    <row r="812" ht="15.75" customHeight="1" spans="1:5">
      <c r="A812" s="22"/>
      <c r="B812" s="25" t="s">
        <v>3016</v>
      </c>
      <c r="C812" s="28" t="s">
        <v>6268</v>
      </c>
      <c r="D812" s="27" t="s">
        <v>5520</v>
      </c>
      <c r="E812" s="22"/>
    </row>
    <row r="813" ht="15.75" customHeight="1" spans="1:5">
      <c r="A813" s="22"/>
      <c r="B813" s="25" t="s">
        <v>3018</v>
      </c>
      <c r="C813" s="28" t="s">
        <v>6269</v>
      </c>
      <c r="D813" s="27" t="s">
        <v>5520</v>
      </c>
      <c r="E813" s="22"/>
    </row>
    <row r="814" ht="15.75" customHeight="1" spans="1:5">
      <c r="A814" s="22"/>
      <c r="B814" s="25" t="s">
        <v>3020</v>
      </c>
      <c r="C814" s="28" t="s">
        <v>6270</v>
      </c>
      <c r="D814" s="27" t="s">
        <v>5520</v>
      </c>
      <c r="E814" s="22"/>
    </row>
    <row r="815" ht="15.75" customHeight="1" spans="1:5">
      <c r="A815" s="22"/>
      <c r="B815" s="25" t="s">
        <v>3022</v>
      </c>
      <c r="C815" s="28" t="s">
        <v>6271</v>
      </c>
      <c r="D815" s="27" t="s">
        <v>5520</v>
      </c>
      <c r="E815" s="22" t="s">
        <v>549</v>
      </c>
    </row>
    <row r="816" ht="15.75" customHeight="1" spans="1:5">
      <c r="A816" s="22"/>
      <c r="B816" s="25" t="s">
        <v>3024</v>
      </c>
      <c r="C816" s="28" t="s">
        <v>6272</v>
      </c>
      <c r="D816" s="27" t="s">
        <v>5520</v>
      </c>
      <c r="E816" s="22" t="s">
        <v>436</v>
      </c>
    </row>
    <row r="817" ht="15.75" customHeight="1" spans="1:5">
      <c r="A817" s="22"/>
      <c r="B817" s="25" t="s">
        <v>3026</v>
      </c>
      <c r="C817" s="28" t="s">
        <v>6273</v>
      </c>
      <c r="D817" s="27" t="s">
        <v>5520</v>
      </c>
      <c r="E817" s="22" t="s">
        <v>325</v>
      </c>
    </row>
    <row r="818" ht="15.75" customHeight="1" spans="1:5">
      <c r="A818" s="22"/>
      <c r="B818" s="25" t="s">
        <v>3028</v>
      </c>
      <c r="C818" s="28" t="s">
        <v>6250</v>
      </c>
      <c r="D818" s="27" t="s">
        <v>5520</v>
      </c>
      <c r="E818" s="22"/>
    </row>
    <row r="819" ht="15.75" customHeight="1" spans="1:5">
      <c r="A819" s="22"/>
      <c r="B819" s="25" t="s">
        <v>3030</v>
      </c>
      <c r="C819" s="28" t="s">
        <v>6250</v>
      </c>
      <c r="D819" s="27" t="s">
        <v>5520</v>
      </c>
      <c r="E819" s="22"/>
    </row>
    <row r="820" ht="15.75" customHeight="1" spans="1:5">
      <c r="A820" s="22"/>
      <c r="B820" s="25" t="s">
        <v>3032</v>
      </c>
      <c r="C820" s="28" t="s">
        <v>6274</v>
      </c>
      <c r="D820" s="27" t="s">
        <v>5520</v>
      </c>
      <c r="E820" s="22"/>
    </row>
    <row r="821" ht="15.75" customHeight="1" spans="1:5">
      <c r="A821" s="22"/>
      <c r="B821" s="25" t="s">
        <v>3034</v>
      </c>
      <c r="C821" s="28" t="s">
        <v>6275</v>
      </c>
      <c r="D821" s="27" t="s">
        <v>5520</v>
      </c>
      <c r="E821" s="22"/>
    </row>
    <row r="822" ht="15.75" customHeight="1" spans="1:5">
      <c r="A822" s="22"/>
      <c r="B822" s="25" t="s">
        <v>3036</v>
      </c>
      <c r="C822" s="28" t="s">
        <v>6276</v>
      </c>
      <c r="D822" s="27" t="s">
        <v>5520</v>
      </c>
      <c r="E822" s="22"/>
    </row>
    <row r="823" ht="15.75" customHeight="1" spans="1:5">
      <c r="A823" s="22"/>
      <c r="B823" s="25" t="s">
        <v>3038</v>
      </c>
      <c r="C823" s="28" t="s">
        <v>6277</v>
      </c>
      <c r="D823" s="27" t="s">
        <v>5520</v>
      </c>
      <c r="E823" s="22" t="s">
        <v>436</v>
      </c>
    </row>
    <row r="824" ht="15.75" customHeight="1" spans="1:5">
      <c r="A824" s="22"/>
      <c r="B824" s="25" t="s">
        <v>3040</v>
      </c>
      <c r="C824" s="28" t="s">
        <v>6277</v>
      </c>
      <c r="D824" s="27" t="s">
        <v>5520</v>
      </c>
      <c r="E824" s="22"/>
    </row>
    <row r="825" ht="15.75" customHeight="1" spans="1:5">
      <c r="A825" s="22"/>
      <c r="B825" s="25" t="s">
        <v>3042</v>
      </c>
      <c r="C825" s="28" t="s">
        <v>6278</v>
      </c>
      <c r="D825" s="27" t="s">
        <v>5520</v>
      </c>
      <c r="E825" s="22" t="s">
        <v>430</v>
      </c>
    </row>
    <row r="826" ht="15.75" customHeight="1" spans="1:5">
      <c r="A826" s="22"/>
      <c r="B826" s="25" t="s">
        <v>3044</v>
      </c>
      <c r="C826" s="28" t="s">
        <v>6279</v>
      </c>
      <c r="D826" s="27" t="s">
        <v>5520</v>
      </c>
      <c r="E826" s="22"/>
    </row>
    <row r="827" ht="15.75" customHeight="1" spans="1:5">
      <c r="A827" s="22"/>
      <c r="B827" s="25" t="s">
        <v>3046</v>
      </c>
      <c r="C827" s="28" t="s">
        <v>6280</v>
      </c>
      <c r="D827" s="27" t="s">
        <v>5520</v>
      </c>
      <c r="E827" s="22" t="s">
        <v>436</v>
      </c>
    </row>
    <row r="828" ht="15.75" customHeight="1" spans="1:5">
      <c r="A828" s="22"/>
      <c r="B828" s="25" t="s">
        <v>3048</v>
      </c>
      <c r="C828" s="28" t="s">
        <v>6252</v>
      </c>
      <c r="D828" s="27" t="s">
        <v>5520</v>
      </c>
      <c r="E828" s="22" t="s">
        <v>513</v>
      </c>
    </row>
    <row r="829" ht="15.75" customHeight="1" spans="1:5">
      <c r="A829" s="22"/>
      <c r="B829" s="25" t="s">
        <v>3050</v>
      </c>
      <c r="C829" s="28" t="s">
        <v>6281</v>
      </c>
      <c r="D829" s="27" t="s">
        <v>5520</v>
      </c>
      <c r="E829" s="22" t="s">
        <v>342</v>
      </c>
    </row>
    <row r="830" ht="15.75" customHeight="1" spans="1:5">
      <c r="A830" s="22"/>
      <c r="B830" s="25" t="s">
        <v>3052</v>
      </c>
      <c r="C830" s="28" t="s">
        <v>6282</v>
      </c>
      <c r="D830" s="27" t="s">
        <v>5520</v>
      </c>
      <c r="E830" s="22" t="s">
        <v>526</v>
      </c>
    </row>
    <row r="831" ht="15.75" customHeight="1" spans="1:5">
      <c r="A831" s="22"/>
      <c r="B831" s="25" t="s">
        <v>3054</v>
      </c>
      <c r="C831" s="28" t="s">
        <v>6283</v>
      </c>
      <c r="D831" s="27" t="s">
        <v>5520</v>
      </c>
      <c r="E831" s="22" t="s">
        <v>376</v>
      </c>
    </row>
    <row r="832" ht="15.75" customHeight="1" spans="1:5">
      <c r="A832" s="22"/>
      <c r="B832" s="25" t="s">
        <v>3056</v>
      </c>
      <c r="C832" s="28" t="s">
        <v>6284</v>
      </c>
      <c r="D832" s="27" t="s">
        <v>5520</v>
      </c>
      <c r="E832" s="22"/>
    </row>
    <row r="833" ht="15.75" customHeight="1" spans="1:5">
      <c r="A833" s="22"/>
      <c r="B833" s="25" t="s">
        <v>3058</v>
      </c>
      <c r="C833" s="28" t="s">
        <v>6285</v>
      </c>
      <c r="D833" s="27" t="s">
        <v>5520</v>
      </c>
      <c r="E833" s="22" t="s">
        <v>376</v>
      </c>
    </row>
    <row r="834" ht="15.75" customHeight="1" spans="1:5">
      <c r="A834" s="22"/>
      <c r="B834" s="25" t="s">
        <v>3060</v>
      </c>
      <c r="C834" s="28" t="s">
        <v>6286</v>
      </c>
      <c r="D834" s="27" t="s">
        <v>5520</v>
      </c>
      <c r="E834" s="22"/>
    </row>
    <row r="835" ht="15.75" customHeight="1" spans="1:5">
      <c r="A835" s="22"/>
      <c r="B835" s="25" t="s">
        <v>3062</v>
      </c>
      <c r="C835" s="28" t="s">
        <v>6287</v>
      </c>
      <c r="D835" s="27" t="s">
        <v>5520</v>
      </c>
      <c r="E835" s="22" t="s">
        <v>376</v>
      </c>
    </row>
    <row r="836" ht="15.75" customHeight="1" spans="1:5">
      <c r="A836" s="22"/>
      <c r="B836" s="25" t="s">
        <v>3064</v>
      </c>
      <c r="C836" s="28" t="s">
        <v>6288</v>
      </c>
      <c r="D836" s="27" t="s">
        <v>5520</v>
      </c>
      <c r="E836" s="22" t="s">
        <v>408</v>
      </c>
    </row>
    <row r="837" ht="15.75" customHeight="1" spans="1:5">
      <c r="A837" s="22"/>
      <c r="B837" s="25" t="s">
        <v>3066</v>
      </c>
      <c r="C837" s="28" t="s">
        <v>6289</v>
      </c>
      <c r="D837" s="27" t="s">
        <v>5520</v>
      </c>
      <c r="E837" s="22" t="s">
        <v>376</v>
      </c>
    </row>
    <row r="838" ht="15.75" customHeight="1" spans="1:5">
      <c r="A838" s="22"/>
      <c r="B838" s="25" t="s">
        <v>3068</v>
      </c>
      <c r="C838" s="28" t="s">
        <v>6290</v>
      </c>
      <c r="D838" s="27" t="s">
        <v>5520</v>
      </c>
      <c r="E838" s="22" t="s">
        <v>376</v>
      </c>
    </row>
    <row r="839" ht="15.75" customHeight="1" spans="1:5">
      <c r="A839" s="22"/>
      <c r="B839" s="25" t="s">
        <v>3070</v>
      </c>
      <c r="C839" s="28" t="s">
        <v>6291</v>
      </c>
      <c r="D839" s="27" t="s">
        <v>5520</v>
      </c>
      <c r="E839" s="22"/>
    </row>
    <row r="840" ht="15.75" customHeight="1" spans="1:5">
      <c r="A840" s="22"/>
      <c r="B840" s="25" t="s">
        <v>3072</v>
      </c>
      <c r="C840" s="28" t="s">
        <v>6292</v>
      </c>
      <c r="D840" s="27" t="s">
        <v>5520</v>
      </c>
      <c r="E840" s="22"/>
    </row>
    <row r="841" ht="15.75" customHeight="1" spans="1:5">
      <c r="A841" s="22"/>
      <c r="B841" s="25" t="s">
        <v>3074</v>
      </c>
      <c r="C841" s="28" t="s">
        <v>6293</v>
      </c>
      <c r="D841" s="27" t="s">
        <v>5520</v>
      </c>
      <c r="E841" s="22"/>
    </row>
    <row r="842" ht="15.75" customHeight="1" spans="1:5">
      <c r="A842" s="22"/>
      <c r="B842" s="25" t="s">
        <v>3076</v>
      </c>
      <c r="C842" s="28" t="s">
        <v>6294</v>
      </c>
      <c r="D842" s="27" t="s">
        <v>5520</v>
      </c>
      <c r="E842" s="22"/>
    </row>
    <row r="843" ht="15.75" customHeight="1" spans="1:5">
      <c r="A843" s="22"/>
      <c r="B843" s="25" t="s">
        <v>3078</v>
      </c>
      <c r="C843" s="28" t="s">
        <v>6295</v>
      </c>
      <c r="D843" s="27" t="s">
        <v>5520</v>
      </c>
      <c r="E843" s="22" t="s">
        <v>376</v>
      </c>
    </row>
    <row r="844" ht="15.75" customHeight="1" spans="1:5">
      <c r="A844" s="22"/>
      <c r="B844" s="25" t="s">
        <v>3080</v>
      </c>
      <c r="C844" s="28" t="s">
        <v>6296</v>
      </c>
      <c r="D844" s="27" t="s">
        <v>5520</v>
      </c>
      <c r="E844" s="22"/>
    </row>
    <row r="845" ht="15.75" customHeight="1" spans="1:5">
      <c r="A845" s="22"/>
      <c r="B845" s="25" t="s">
        <v>3082</v>
      </c>
      <c r="C845" s="28" t="s">
        <v>6297</v>
      </c>
      <c r="D845" s="27" t="s">
        <v>5520</v>
      </c>
      <c r="E845" s="22"/>
    </row>
    <row r="846" ht="15.75" customHeight="1" spans="1:5">
      <c r="A846" s="22"/>
      <c r="B846" s="25" t="s">
        <v>3084</v>
      </c>
      <c r="C846" s="28" t="s">
        <v>6298</v>
      </c>
      <c r="D846" s="27" t="s">
        <v>5520</v>
      </c>
      <c r="E846" s="22"/>
    </row>
    <row r="847" ht="15.75" customHeight="1" spans="1:5">
      <c r="A847" s="22"/>
      <c r="B847" s="25" t="s">
        <v>3086</v>
      </c>
      <c r="C847" s="28" t="s">
        <v>6299</v>
      </c>
      <c r="D847" s="27" t="s">
        <v>5520</v>
      </c>
      <c r="E847" s="22" t="s">
        <v>6300</v>
      </c>
    </row>
    <row r="848" ht="15.75" customHeight="1" spans="1:5">
      <c r="A848" s="22"/>
      <c r="B848" s="25" t="s">
        <v>3088</v>
      </c>
      <c r="C848" s="28" t="s">
        <v>6301</v>
      </c>
      <c r="D848" s="27" t="s">
        <v>5520</v>
      </c>
      <c r="E848" s="22" t="s">
        <v>376</v>
      </c>
    </row>
    <row r="849" ht="15.75" customHeight="1" spans="1:5">
      <c r="A849" s="22"/>
      <c r="B849" s="25" t="s">
        <v>3090</v>
      </c>
      <c r="C849" s="28" t="s">
        <v>6302</v>
      </c>
      <c r="D849" s="27" t="s">
        <v>5520</v>
      </c>
      <c r="E849" s="22" t="s">
        <v>534</v>
      </c>
    </row>
    <row r="850" ht="15.75" customHeight="1" spans="1:5">
      <c r="A850" s="22"/>
      <c r="B850" s="25" t="s">
        <v>3092</v>
      </c>
      <c r="C850" s="28" t="s">
        <v>6303</v>
      </c>
      <c r="D850" s="27" t="s">
        <v>5520</v>
      </c>
      <c r="E850" s="22" t="s">
        <v>482</v>
      </c>
    </row>
    <row r="851" ht="15.75" customHeight="1" spans="1:5">
      <c r="A851" s="22"/>
      <c r="B851" s="25" t="s">
        <v>3094</v>
      </c>
      <c r="C851" s="28" t="s">
        <v>6304</v>
      </c>
      <c r="D851" s="27" t="s">
        <v>5520</v>
      </c>
      <c r="E851" s="22" t="s">
        <v>549</v>
      </c>
    </row>
    <row r="852" ht="15.75" customHeight="1" spans="1:5">
      <c r="A852" s="22"/>
      <c r="B852" s="25" t="s">
        <v>3096</v>
      </c>
      <c r="C852" s="28" t="s">
        <v>6305</v>
      </c>
      <c r="D852" s="27" t="s">
        <v>5520</v>
      </c>
      <c r="E852" s="22" t="s">
        <v>513</v>
      </c>
    </row>
    <row r="853" ht="15.75" customHeight="1" spans="1:5">
      <c r="A853" s="22"/>
      <c r="B853" s="25" t="s">
        <v>3098</v>
      </c>
      <c r="C853" s="28" t="s">
        <v>6306</v>
      </c>
      <c r="D853" s="27" t="s">
        <v>5520</v>
      </c>
      <c r="E853" s="22" t="s">
        <v>337</v>
      </c>
    </row>
    <row r="854" ht="15.75" customHeight="1" spans="1:5">
      <c r="A854" s="22"/>
      <c r="B854" s="25" t="s">
        <v>3100</v>
      </c>
      <c r="C854" s="28" t="s">
        <v>6307</v>
      </c>
      <c r="D854" s="27" t="s">
        <v>5520</v>
      </c>
      <c r="E854" s="22" t="s">
        <v>337</v>
      </c>
    </row>
    <row r="855" ht="15.75" customHeight="1" spans="1:5">
      <c r="A855" s="22"/>
      <c r="B855" s="25" t="s">
        <v>3102</v>
      </c>
      <c r="C855" s="28" t="s">
        <v>6308</v>
      </c>
      <c r="D855" s="27" t="s">
        <v>5520</v>
      </c>
      <c r="E855" s="22" t="s">
        <v>549</v>
      </c>
    </row>
    <row r="856" ht="15.75" customHeight="1" spans="1:5">
      <c r="A856" s="22"/>
      <c r="B856" s="25" t="s">
        <v>3104</v>
      </c>
      <c r="C856" s="28" t="s">
        <v>6309</v>
      </c>
      <c r="D856" s="27" t="s">
        <v>5520</v>
      </c>
      <c r="E856" s="22"/>
    </row>
    <row r="857" ht="15.75" customHeight="1" spans="1:5">
      <c r="A857" s="22"/>
      <c r="B857" s="25" t="s">
        <v>3106</v>
      </c>
      <c r="C857" s="28" t="s">
        <v>6310</v>
      </c>
      <c r="D857" s="27" t="s">
        <v>5520</v>
      </c>
      <c r="E857" s="22"/>
    </row>
    <row r="858" ht="15.75" customHeight="1" spans="1:5">
      <c r="A858" s="22"/>
      <c r="B858" s="25" t="s">
        <v>3108</v>
      </c>
      <c r="C858" s="28" t="s">
        <v>6311</v>
      </c>
      <c r="D858" s="27" t="s">
        <v>5520</v>
      </c>
      <c r="E858" s="22" t="s">
        <v>526</v>
      </c>
    </row>
    <row r="859" ht="15.75" customHeight="1" spans="1:5">
      <c r="A859" s="22"/>
      <c r="B859" s="25" t="s">
        <v>3110</v>
      </c>
      <c r="C859" s="28" t="s">
        <v>6312</v>
      </c>
      <c r="D859" s="27" t="s">
        <v>5520</v>
      </c>
      <c r="E859" s="22" t="s">
        <v>376</v>
      </c>
    </row>
    <row r="860" ht="15.75" customHeight="1" spans="1:5">
      <c r="A860" s="22"/>
      <c r="B860" s="25" t="s">
        <v>3112</v>
      </c>
      <c r="C860" s="28" t="s">
        <v>6313</v>
      </c>
      <c r="D860" s="27" t="s">
        <v>5520</v>
      </c>
      <c r="E860" s="22"/>
    </row>
    <row r="861" ht="15.75" customHeight="1" spans="1:5">
      <c r="A861" s="22"/>
      <c r="B861" s="25" t="s">
        <v>3114</v>
      </c>
      <c r="C861" s="28" t="s">
        <v>6314</v>
      </c>
      <c r="D861" s="27" t="s">
        <v>5520</v>
      </c>
      <c r="E861" s="22" t="s">
        <v>342</v>
      </c>
    </row>
    <row r="862" ht="15.75" customHeight="1" spans="1:5">
      <c r="A862" s="22"/>
      <c r="B862" s="25" t="s">
        <v>3116</v>
      </c>
      <c r="C862" s="28" t="s">
        <v>6315</v>
      </c>
      <c r="D862" s="27" t="s">
        <v>5520</v>
      </c>
      <c r="E862" s="22" t="s">
        <v>325</v>
      </c>
    </row>
    <row r="863" ht="15.75" customHeight="1" spans="1:5">
      <c r="A863" s="22"/>
      <c r="B863" s="25" t="s">
        <v>3118</v>
      </c>
      <c r="C863" s="28" t="s">
        <v>6316</v>
      </c>
      <c r="D863" s="27" t="s">
        <v>5520</v>
      </c>
      <c r="E863" s="22" t="s">
        <v>549</v>
      </c>
    </row>
    <row r="864" ht="15.75" customHeight="1" spans="1:5">
      <c r="A864" s="22"/>
      <c r="B864" s="25" t="s">
        <v>3120</v>
      </c>
      <c r="C864" s="28" t="s">
        <v>6317</v>
      </c>
      <c r="D864" s="27" t="s">
        <v>5520</v>
      </c>
      <c r="E864" s="22"/>
    </row>
    <row r="865" ht="15.75" customHeight="1" spans="1:5">
      <c r="A865" s="22"/>
      <c r="B865" s="25" t="s">
        <v>3122</v>
      </c>
      <c r="C865" s="28" t="s">
        <v>6318</v>
      </c>
      <c r="D865" s="27" t="s">
        <v>5520</v>
      </c>
      <c r="E865" s="22" t="s">
        <v>534</v>
      </c>
    </row>
    <row r="866" ht="15.75" customHeight="1" spans="1:5">
      <c r="A866" s="22"/>
      <c r="B866" s="25" t="s">
        <v>3124</v>
      </c>
      <c r="C866" s="28" t="s">
        <v>6179</v>
      </c>
      <c r="D866" s="27" t="s">
        <v>5520</v>
      </c>
      <c r="E866" s="22"/>
    </row>
    <row r="867" ht="15.75" customHeight="1" spans="1:5">
      <c r="A867" s="22"/>
      <c r="B867" s="25" t="s">
        <v>3126</v>
      </c>
      <c r="C867" s="28" t="s">
        <v>6319</v>
      </c>
      <c r="D867" s="27" t="s">
        <v>5520</v>
      </c>
      <c r="E867" s="22"/>
    </row>
    <row r="868" ht="15.75" customHeight="1" spans="1:5">
      <c r="A868" s="22"/>
      <c r="B868" s="25" t="s">
        <v>3128</v>
      </c>
      <c r="C868" s="28" t="s">
        <v>6320</v>
      </c>
      <c r="D868" s="27" t="s">
        <v>5520</v>
      </c>
      <c r="E868" s="22"/>
    </row>
    <row r="869" ht="15.75" customHeight="1" spans="1:5">
      <c r="A869" s="22"/>
      <c r="B869" s="25" t="s">
        <v>3130</v>
      </c>
      <c r="C869" s="28" t="s">
        <v>6321</v>
      </c>
      <c r="D869" s="27" t="s">
        <v>5520</v>
      </c>
      <c r="E869" s="22"/>
    </row>
    <row r="870" ht="15.75" customHeight="1" spans="1:5">
      <c r="A870" s="22"/>
      <c r="B870" s="25" t="s">
        <v>3132</v>
      </c>
      <c r="C870" s="28" t="s">
        <v>6322</v>
      </c>
      <c r="D870" s="27" t="s">
        <v>5520</v>
      </c>
      <c r="E870" s="22" t="s">
        <v>325</v>
      </c>
    </row>
    <row r="871" ht="15.75" customHeight="1" spans="1:5">
      <c r="A871" s="22"/>
      <c r="B871" s="25" t="s">
        <v>3134</v>
      </c>
      <c r="C871" s="28" t="s">
        <v>6323</v>
      </c>
      <c r="D871" s="27" t="s">
        <v>5520</v>
      </c>
      <c r="E871" s="22" t="s">
        <v>534</v>
      </c>
    </row>
    <row r="872" ht="15.75" customHeight="1" spans="1:5">
      <c r="A872" s="22"/>
      <c r="B872" s="25" t="s">
        <v>3136</v>
      </c>
      <c r="C872" s="28" t="s">
        <v>6324</v>
      </c>
      <c r="D872" s="27" t="s">
        <v>5520</v>
      </c>
      <c r="E872" s="22"/>
    </row>
    <row r="873" ht="15.75" customHeight="1" spans="1:5">
      <c r="A873" s="22"/>
      <c r="B873" s="25" t="s">
        <v>3138</v>
      </c>
      <c r="C873" s="28" t="s">
        <v>6325</v>
      </c>
      <c r="D873" s="27" t="s">
        <v>5520</v>
      </c>
      <c r="E873" s="22" t="s">
        <v>325</v>
      </c>
    </row>
    <row r="874" ht="15.75" customHeight="1" spans="1:5">
      <c r="A874" s="22"/>
      <c r="B874" s="25" t="s">
        <v>3140</v>
      </c>
      <c r="C874" s="28" t="s">
        <v>6326</v>
      </c>
      <c r="D874" s="27" t="s">
        <v>5520</v>
      </c>
      <c r="E874" s="22"/>
    </row>
    <row r="875" ht="15.75" customHeight="1" spans="1:5">
      <c r="A875" s="22"/>
      <c r="B875" s="25" t="s">
        <v>3142</v>
      </c>
      <c r="C875" s="28" t="s">
        <v>6327</v>
      </c>
      <c r="D875" s="27" t="s">
        <v>5520</v>
      </c>
      <c r="E875" s="22"/>
    </row>
    <row r="876" ht="15.75" customHeight="1" spans="1:5">
      <c r="A876" s="22"/>
      <c r="B876" s="25" t="s">
        <v>3144</v>
      </c>
      <c r="C876" s="28" t="s">
        <v>6328</v>
      </c>
      <c r="D876" s="27" t="s">
        <v>5520</v>
      </c>
      <c r="E876" s="22" t="s">
        <v>549</v>
      </c>
    </row>
    <row r="877" ht="15.75" customHeight="1" spans="1:5">
      <c r="A877" s="22"/>
      <c r="B877" s="25" t="s">
        <v>3146</v>
      </c>
      <c r="C877" s="28" t="s">
        <v>6329</v>
      </c>
      <c r="D877" s="27" t="s">
        <v>5520</v>
      </c>
      <c r="E877" s="22" t="s">
        <v>436</v>
      </c>
    </row>
    <row r="878" ht="15.75" customHeight="1" spans="1:5">
      <c r="A878" s="22"/>
      <c r="B878" s="25" t="s">
        <v>3148</v>
      </c>
      <c r="C878" s="28" t="s">
        <v>6330</v>
      </c>
      <c r="D878" s="27" t="s">
        <v>5520</v>
      </c>
      <c r="E878" s="22" t="s">
        <v>436</v>
      </c>
    </row>
    <row r="879" ht="15.75" customHeight="1" spans="1:5">
      <c r="A879" s="22"/>
      <c r="B879" s="25" t="s">
        <v>3150</v>
      </c>
      <c r="C879" s="28" t="s">
        <v>6331</v>
      </c>
      <c r="D879" s="27" t="s">
        <v>5520</v>
      </c>
      <c r="E879" s="22" t="s">
        <v>337</v>
      </c>
    </row>
    <row r="880" ht="15.75" customHeight="1" spans="1:5">
      <c r="A880" s="22"/>
      <c r="B880" s="25" t="s">
        <v>3152</v>
      </c>
      <c r="C880" s="28" t="s">
        <v>6332</v>
      </c>
      <c r="D880" s="27" t="s">
        <v>5520</v>
      </c>
      <c r="E880" s="22" t="s">
        <v>534</v>
      </c>
    </row>
    <row r="881" ht="15.75" customHeight="1" spans="1:5">
      <c r="A881" s="22"/>
      <c r="B881" s="25" t="s">
        <v>3154</v>
      </c>
      <c r="C881" s="28" t="s">
        <v>6333</v>
      </c>
      <c r="D881" s="27" t="s">
        <v>5520</v>
      </c>
      <c r="E881" s="22" t="s">
        <v>436</v>
      </c>
    </row>
    <row r="882" ht="15.75" customHeight="1" spans="1:5">
      <c r="A882" s="22"/>
      <c r="B882" s="25" t="s">
        <v>3156</v>
      </c>
      <c r="C882" s="28" t="s">
        <v>6334</v>
      </c>
      <c r="D882" s="27" t="s">
        <v>5520</v>
      </c>
      <c r="E882" s="22"/>
    </row>
    <row r="883" ht="15.75" customHeight="1" spans="1:5">
      <c r="A883" s="22"/>
      <c r="B883" s="25" t="s">
        <v>3158</v>
      </c>
      <c r="C883" s="28" t="s">
        <v>6334</v>
      </c>
      <c r="D883" s="27" t="s">
        <v>5520</v>
      </c>
      <c r="E883" s="22"/>
    </row>
    <row r="884" ht="15.75" customHeight="1" spans="1:5">
      <c r="A884" s="22"/>
      <c r="B884" s="25" t="s">
        <v>3160</v>
      </c>
      <c r="C884" s="28" t="s">
        <v>6335</v>
      </c>
      <c r="D884" s="27" t="s">
        <v>5520</v>
      </c>
      <c r="E884" s="22" t="s">
        <v>376</v>
      </c>
    </row>
    <row r="885" ht="15.75" customHeight="1" spans="1:5">
      <c r="A885" s="22"/>
      <c r="B885" s="25" t="s">
        <v>3162</v>
      </c>
      <c r="C885" s="28" t="s">
        <v>6336</v>
      </c>
      <c r="D885" s="27" t="s">
        <v>5520</v>
      </c>
      <c r="E885" s="22" t="s">
        <v>436</v>
      </c>
    </row>
    <row r="886" ht="15.75" customHeight="1" spans="1:5">
      <c r="A886" s="22"/>
      <c r="B886" s="25" t="s">
        <v>3164</v>
      </c>
      <c r="C886" s="28" t="s">
        <v>6337</v>
      </c>
      <c r="D886" s="27" t="s">
        <v>5520</v>
      </c>
      <c r="E886" s="22" t="s">
        <v>513</v>
      </c>
    </row>
    <row r="887" ht="15.75" customHeight="1" spans="1:5">
      <c r="A887" s="22"/>
      <c r="B887" s="25" t="s">
        <v>3166</v>
      </c>
      <c r="C887" s="28" t="s">
        <v>6338</v>
      </c>
      <c r="D887" s="27" t="s">
        <v>5520</v>
      </c>
      <c r="E887" s="22" t="s">
        <v>400</v>
      </c>
    </row>
    <row r="888" ht="15.75" customHeight="1" spans="1:5">
      <c r="A888" s="22"/>
      <c r="B888" s="25" t="s">
        <v>3168</v>
      </c>
      <c r="C888" s="28" t="s">
        <v>6339</v>
      </c>
      <c r="D888" s="27" t="s">
        <v>5520</v>
      </c>
      <c r="E888" s="22"/>
    </row>
    <row r="889" ht="15.75" customHeight="1" spans="1:5">
      <c r="A889" s="22"/>
      <c r="B889" s="25" t="s">
        <v>3170</v>
      </c>
      <c r="C889" s="28" t="s">
        <v>6340</v>
      </c>
      <c r="D889" s="27" t="s">
        <v>5520</v>
      </c>
      <c r="E889" s="22"/>
    </row>
    <row r="890" ht="15.75" customHeight="1" spans="1:5">
      <c r="A890" s="22"/>
      <c r="B890" s="25" t="s">
        <v>3172</v>
      </c>
      <c r="C890" s="28" t="s">
        <v>6340</v>
      </c>
      <c r="D890" s="27" t="s">
        <v>5520</v>
      </c>
      <c r="E890" s="22"/>
    </row>
    <row r="891" ht="15.75" customHeight="1" spans="1:5">
      <c r="A891" s="22"/>
      <c r="B891" s="25" t="s">
        <v>3174</v>
      </c>
      <c r="C891" s="28" t="s">
        <v>6341</v>
      </c>
      <c r="D891" s="27" t="s">
        <v>5520</v>
      </c>
      <c r="E891" s="22"/>
    </row>
    <row r="892" ht="15.75" customHeight="1" spans="1:5">
      <c r="A892" s="22"/>
      <c r="B892" s="25" t="s">
        <v>3176</v>
      </c>
      <c r="C892" s="28" t="s">
        <v>6342</v>
      </c>
      <c r="D892" s="27" t="s">
        <v>5520</v>
      </c>
      <c r="E892" s="22"/>
    </row>
    <row r="893" ht="15.75" customHeight="1" spans="1:5">
      <c r="A893" s="22"/>
      <c r="B893" s="25" t="s">
        <v>3178</v>
      </c>
      <c r="C893" s="28" t="s">
        <v>6343</v>
      </c>
      <c r="D893" s="27" t="s">
        <v>5520</v>
      </c>
      <c r="E893" s="22" t="s">
        <v>513</v>
      </c>
    </row>
    <row r="894" ht="15.75" customHeight="1" spans="1:5">
      <c r="A894" s="22"/>
      <c r="B894" s="25" t="s">
        <v>3180</v>
      </c>
      <c r="C894" s="28" t="s">
        <v>6344</v>
      </c>
      <c r="D894" s="27" t="s">
        <v>5520</v>
      </c>
      <c r="E894" s="22" t="s">
        <v>513</v>
      </c>
    </row>
    <row r="895" ht="15.75" customHeight="1" spans="1:5">
      <c r="A895" s="22"/>
      <c r="B895" s="25" t="s">
        <v>3182</v>
      </c>
      <c r="C895" s="28" t="s">
        <v>6345</v>
      </c>
      <c r="D895" s="27" t="s">
        <v>5520</v>
      </c>
      <c r="E895" s="22"/>
    </row>
    <row r="896" ht="15.75" customHeight="1" spans="1:5">
      <c r="A896" s="22"/>
      <c r="B896" s="25" t="s">
        <v>3184</v>
      </c>
      <c r="C896" s="28" t="s">
        <v>6346</v>
      </c>
      <c r="D896" s="27" t="s">
        <v>5520</v>
      </c>
      <c r="E896" s="22" t="s">
        <v>513</v>
      </c>
    </row>
    <row r="897" ht="15.75" customHeight="1" spans="1:5">
      <c r="A897" s="22"/>
      <c r="B897" s="25" t="s">
        <v>3186</v>
      </c>
      <c r="C897" s="28" t="s">
        <v>6347</v>
      </c>
      <c r="D897" s="27" t="s">
        <v>5520</v>
      </c>
      <c r="E897" s="22" t="s">
        <v>513</v>
      </c>
    </row>
    <row r="898" ht="15.75" customHeight="1" spans="1:5">
      <c r="A898" s="22"/>
      <c r="B898" s="25" t="s">
        <v>3188</v>
      </c>
      <c r="C898" s="28" t="s">
        <v>6348</v>
      </c>
      <c r="D898" s="27" t="s">
        <v>5520</v>
      </c>
      <c r="E898" s="22"/>
    </row>
    <row r="899" ht="15.75" customHeight="1" spans="1:5">
      <c r="A899" s="22"/>
      <c r="B899" s="25" t="s">
        <v>3190</v>
      </c>
      <c r="C899" s="28" t="s">
        <v>6349</v>
      </c>
      <c r="D899" s="27" t="s">
        <v>5520</v>
      </c>
      <c r="E899" s="22" t="s">
        <v>513</v>
      </c>
    </row>
    <row r="900" ht="15.75" customHeight="1" spans="1:5">
      <c r="A900" s="22"/>
      <c r="B900" s="25" t="s">
        <v>3192</v>
      </c>
      <c r="C900" s="28" t="s">
        <v>6350</v>
      </c>
      <c r="D900" s="27" t="s">
        <v>5520</v>
      </c>
      <c r="E900" s="22"/>
    </row>
    <row r="901" ht="15.75" customHeight="1" spans="1:5">
      <c r="A901" s="22"/>
      <c r="B901" s="25" t="s">
        <v>3194</v>
      </c>
      <c r="C901" s="28" t="s">
        <v>6351</v>
      </c>
      <c r="D901" s="27" t="s">
        <v>5520</v>
      </c>
      <c r="E901" s="22" t="s">
        <v>416</v>
      </c>
    </row>
    <row r="902" ht="15.75" customHeight="1" spans="1:5">
      <c r="A902" s="22"/>
      <c r="B902" s="25" t="s">
        <v>3196</v>
      </c>
      <c r="C902" s="28" t="s">
        <v>6352</v>
      </c>
      <c r="D902" s="27" t="s">
        <v>5520</v>
      </c>
      <c r="E902" s="22" t="s">
        <v>513</v>
      </c>
    </row>
    <row r="903" ht="15.75" customHeight="1" spans="1:5">
      <c r="A903" s="22"/>
      <c r="B903" s="25" t="s">
        <v>3198</v>
      </c>
      <c r="C903" s="28" t="s">
        <v>6353</v>
      </c>
      <c r="D903" s="27" t="s">
        <v>5520</v>
      </c>
      <c r="E903" s="22"/>
    </row>
    <row r="904" ht="15.75" customHeight="1" spans="1:5">
      <c r="A904" s="22"/>
      <c r="B904" s="25" t="s">
        <v>3200</v>
      </c>
      <c r="C904" s="28" t="s">
        <v>6354</v>
      </c>
      <c r="D904" s="27" t="s">
        <v>5520</v>
      </c>
      <c r="E904" s="22" t="s">
        <v>436</v>
      </c>
    </row>
    <row r="905" ht="15.75" customHeight="1" spans="1:5">
      <c r="A905" s="22"/>
      <c r="B905" s="25" t="s">
        <v>3202</v>
      </c>
      <c r="C905" s="28" t="s">
        <v>6355</v>
      </c>
      <c r="D905" s="27" t="s">
        <v>5520</v>
      </c>
      <c r="E905" s="22" t="s">
        <v>497</v>
      </c>
    </row>
    <row r="906" ht="15.75" customHeight="1" spans="1:5">
      <c r="A906" s="22"/>
      <c r="B906" s="25" t="s">
        <v>3204</v>
      </c>
      <c r="C906" s="28" t="s">
        <v>6356</v>
      </c>
      <c r="D906" s="27" t="s">
        <v>5520</v>
      </c>
      <c r="E906" s="22" t="s">
        <v>436</v>
      </c>
    </row>
    <row r="907" ht="15.75" customHeight="1" spans="1:5">
      <c r="A907" s="22"/>
      <c r="B907" s="25" t="s">
        <v>3206</v>
      </c>
      <c r="C907" s="28" t="s">
        <v>6357</v>
      </c>
      <c r="D907" s="27" t="s">
        <v>5520</v>
      </c>
      <c r="E907" s="22" t="s">
        <v>513</v>
      </c>
    </row>
    <row r="908" ht="15.75" customHeight="1" spans="1:5">
      <c r="A908" s="22"/>
      <c r="B908" s="25" t="s">
        <v>3208</v>
      </c>
      <c r="C908" s="28" t="s">
        <v>6358</v>
      </c>
      <c r="D908" s="27" t="s">
        <v>5520</v>
      </c>
      <c r="E908" s="22"/>
    </row>
    <row r="909" ht="15.75" customHeight="1" spans="1:5">
      <c r="A909" s="22"/>
      <c r="B909" s="25" t="s">
        <v>3210</v>
      </c>
      <c r="C909" s="28" t="s">
        <v>6359</v>
      </c>
      <c r="D909" s="27" t="s">
        <v>5520</v>
      </c>
      <c r="E909" s="22"/>
    </row>
    <row r="910" ht="15.75" customHeight="1" spans="1:5">
      <c r="A910" s="22"/>
      <c r="B910" s="25" t="s">
        <v>3212</v>
      </c>
      <c r="C910" s="28" t="s">
        <v>6360</v>
      </c>
      <c r="D910" s="27" t="s">
        <v>5520</v>
      </c>
      <c r="E910" s="22" t="s">
        <v>376</v>
      </c>
    </row>
    <row r="911" ht="15.75" customHeight="1" spans="1:5">
      <c r="A911" s="22"/>
      <c r="B911" s="25" t="s">
        <v>3214</v>
      </c>
      <c r="C911" s="28" t="s">
        <v>6361</v>
      </c>
      <c r="D911" s="27" t="s">
        <v>5520</v>
      </c>
      <c r="E911" s="22" t="s">
        <v>337</v>
      </c>
    </row>
    <row r="912" ht="15.75" customHeight="1" spans="1:5">
      <c r="A912" s="22"/>
      <c r="B912" s="25" t="s">
        <v>3216</v>
      </c>
      <c r="C912" s="28" t="s">
        <v>6362</v>
      </c>
      <c r="D912" s="27" t="s">
        <v>5520</v>
      </c>
      <c r="E912" s="22"/>
    </row>
    <row r="913" ht="15.75" customHeight="1" spans="1:5">
      <c r="A913" s="22"/>
      <c r="B913" s="25" t="s">
        <v>3218</v>
      </c>
      <c r="C913" s="28" t="s">
        <v>6154</v>
      </c>
      <c r="D913" s="27" t="s">
        <v>5520</v>
      </c>
      <c r="E913" s="22"/>
    </row>
    <row r="914" ht="15.75" customHeight="1" spans="1:5">
      <c r="A914" s="22"/>
      <c r="B914" s="25" t="s">
        <v>3220</v>
      </c>
      <c r="C914" s="28" t="s">
        <v>6154</v>
      </c>
      <c r="D914" s="27" t="s">
        <v>5520</v>
      </c>
      <c r="E914" s="22" t="s">
        <v>366</v>
      </c>
    </row>
    <row r="915" ht="15.75" customHeight="1" spans="1:5">
      <c r="A915" s="22"/>
      <c r="B915" s="25" t="s">
        <v>3222</v>
      </c>
      <c r="C915" s="28" t="s">
        <v>6363</v>
      </c>
      <c r="D915" s="27" t="s">
        <v>5520</v>
      </c>
      <c r="E915" s="22" t="s">
        <v>534</v>
      </c>
    </row>
    <row r="916" ht="15.75" customHeight="1" spans="1:5">
      <c r="A916" s="22"/>
      <c r="B916" s="25" t="s">
        <v>3224</v>
      </c>
      <c r="C916" s="28" t="s">
        <v>6364</v>
      </c>
      <c r="D916" s="27" t="s">
        <v>5520</v>
      </c>
      <c r="E916" s="22" t="s">
        <v>436</v>
      </c>
    </row>
    <row r="917" ht="15.75" customHeight="1" spans="1:5">
      <c r="A917" s="22"/>
      <c r="B917" s="25" t="s">
        <v>3226</v>
      </c>
      <c r="C917" s="28" t="s">
        <v>6365</v>
      </c>
      <c r="D917" s="27" t="s">
        <v>5520</v>
      </c>
      <c r="E917" s="22" t="s">
        <v>513</v>
      </c>
    </row>
    <row r="918" ht="15.75" customHeight="1" spans="1:5">
      <c r="A918" s="22"/>
      <c r="B918" s="25" t="s">
        <v>3228</v>
      </c>
      <c r="C918" s="28" t="s">
        <v>6366</v>
      </c>
      <c r="D918" s="27" t="s">
        <v>5520</v>
      </c>
      <c r="E918" s="22"/>
    </row>
    <row r="919" ht="15.75" customHeight="1" spans="1:5">
      <c r="A919" s="22"/>
      <c r="B919" s="25" t="s">
        <v>3230</v>
      </c>
      <c r="C919" s="28" t="s">
        <v>6367</v>
      </c>
      <c r="D919" s="27" t="s">
        <v>5520</v>
      </c>
      <c r="E919" s="22" t="s">
        <v>436</v>
      </c>
    </row>
    <row r="920" ht="15.75" customHeight="1" spans="1:5">
      <c r="A920" s="22"/>
      <c r="B920" s="25" t="s">
        <v>3232</v>
      </c>
      <c r="C920" s="28" t="s">
        <v>6368</v>
      </c>
      <c r="D920" s="27" t="s">
        <v>5520</v>
      </c>
      <c r="E920" s="22" t="s">
        <v>325</v>
      </c>
    </row>
    <row r="921" ht="15.75" customHeight="1" spans="1:5">
      <c r="A921" s="22"/>
      <c r="B921" s="25" t="s">
        <v>3234</v>
      </c>
      <c r="C921" s="28" t="s">
        <v>6369</v>
      </c>
      <c r="D921" s="27" t="s">
        <v>5520</v>
      </c>
      <c r="E921" s="22" t="s">
        <v>436</v>
      </c>
    </row>
    <row r="922" ht="15.75" customHeight="1" spans="1:5">
      <c r="A922" s="22"/>
      <c r="B922" s="25" t="s">
        <v>3236</v>
      </c>
      <c r="C922" s="28" t="s">
        <v>6370</v>
      </c>
      <c r="D922" s="27" t="s">
        <v>5520</v>
      </c>
      <c r="E922" s="22" t="s">
        <v>513</v>
      </c>
    </row>
    <row r="923" ht="15.75" customHeight="1" spans="1:5">
      <c r="A923" s="22"/>
      <c r="B923" s="25" t="s">
        <v>3238</v>
      </c>
      <c r="C923" s="28" t="s">
        <v>6371</v>
      </c>
      <c r="D923" s="27" t="s">
        <v>5520</v>
      </c>
      <c r="E923" s="22" t="s">
        <v>513</v>
      </c>
    </row>
    <row r="924" ht="15.75" customHeight="1" spans="1:5">
      <c r="A924" s="22"/>
      <c r="B924" s="25" t="s">
        <v>3240</v>
      </c>
      <c r="C924" s="28" t="s">
        <v>6372</v>
      </c>
      <c r="D924" s="27" t="s">
        <v>5520</v>
      </c>
      <c r="E924" s="22" t="s">
        <v>549</v>
      </c>
    </row>
    <row r="925" ht="15.75" customHeight="1" spans="1:5">
      <c r="A925" s="22"/>
      <c r="B925" s="25" t="s">
        <v>3242</v>
      </c>
      <c r="C925" s="28" t="s">
        <v>6373</v>
      </c>
      <c r="D925" s="27" t="s">
        <v>5520</v>
      </c>
      <c r="E925" s="22" t="s">
        <v>325</v>
      </c>
    </row>
    <row r="926" ht="15.75" customHeight="1" spans="1:5">
      <c r="A926" s="22"/>
      <c r="B926" s="25" t="s">
        <v>3244</v>
      </c>
      <c r="C926" s="28" t="s">
        <v>6374</v>
      </c>
      <c r="D926" s="27" t="s">
        <v>5520</v>
      </c>
      <c r="E926" s="22" t="s">
        <v>376</v>
      </c>
    </row>
    <row r="927" ht="15.75" customHeight="1" spans="1:5">
      <c r="A927" s="22"/>
      <c r="B927" s="25" t="s">
        <v>3246</v>
      </c>
      <c r="C927" s="28" t="s">
        <v>6375</v>
      </c>
      <c r="D927" s="27" t="s">
        <v>5520</v>
      </c>
      <c r="E927" s="22"/>
    </row>
    <row r="928" ht="15.75" customHeight="1" spans="1:5">
      <c r="A928" s="22"/>
      <c r="B928" s="25" t="s">
        <v>3248</v>
      </c>
      <c r="C928" s="28" t="s">
        <v>6376</v>
      </c>
      <c r="D928" s="27" t="s">
        <v>5520</v>
      </c>
      <c r="E928" s="22" t="s">
        <v>513</v>
      </c>
    </row>
    <row r="929" ht="15.75" customHeight="1" spans="1:5">
      <c r="A929" s="22"/>
      <c r="B929" s="25" t="s">
        <v>3250</v>
      </c>
      <c r="C929" s="28" t="s">
        <v>6377</v>
      </c>
      <c r="D929" s="27" t="s">
        <v>5520</v>
      </c>
      <c r="E929" s="22"/>
    </row>
    <row r="930" ht="15.75" customHeight="1" spans="1:5">
      <c r="A930" s="22"/>
      <c r="B930" s="25" t="s">
        <v>3252</v>
      </c>
      <c r="C930" s="28" t="s">
        <v>6378</v>
      </c>
      <c r="D930" s="27" t="s">
        <v>5520</v>
      </c>
      <c r="E930" s="22" t="s">
        <v>371</v>
      </c>
    </row>
    <row r="931" ht="15.75" customHeight="1" spans="1:5">
      <c r="A931" s="22"/>
      <c r="B931" s="25" t="s">
        <v>3254</v>
      </c>
      <c r="C931" s="28" t="s">
        <v>6379</v>
      </c>
      <c r="D931" s="27" t="s">
        <v>5520</v>
      </c>
      <c r="E931" s="22"/>
    </row>
    <row r="932" ht="15.75" customHeight="1" spans="1:5">
      <c r="A932" s="22"/>
      <c r="B932" s="25" t="s">
        <v>3256</v>
      </c>
      <c r="C932" s="28" t="s">
        <v>6380</v>
      </c>
      <c r="D932" s="27" t="s">
        <v>5520</v>
      </c>
      <c r="E932" s="22" t="s">
        <v>513</v>
      </c>
    </row>
    <row r="933" ht="15.75" customHeight="1" spans="1:5">
      <c r="A933" s="22"/>
      <c r="B933" s="25" t="s">
        <v>3258</v>
      </c>
      <c r="C933" s="28" t="s">
        <v>6381</v>
      </c>
      <c r="D933" s="27" t="s">
        <v>5520</v>
      </c>
      <c r="E933" s="22" t="s">
        <v>436</v>
      </c>
    </row>
    <row r="934" ht="15.75" customHeight="1" spans="1:5">
      <c r="A934" s="22"/>
      <c r="B934" s="25" t="s">
        <v>3260</v>
      </c>
      <c r="C934" s="28" t="s">
        <v>6382</v>
      </c>
      <c r="D934" s="27" t="s">
        <v>5520</v>
      </c>
      <c r="E934" s="22" t="s">
        <v>416</v>
      </c>
    </row>
    <row r="935" ht="15.75" customHeight="1" spans="1:5">
      <c r="A935" s="22"/>
      <c r="B935" s="25" t="s">
        <v>3262</v>
      </c>
      <c r="C935" s="28" t="s">
        <v>6383</v>
      </c>
      <c r="D935" s="27" t="s">
        <v>5520</v>
      </c>
      <c r="E935" s="22" t="s">
        <v>513</v>
      </c>
    </row>
    <row r="936" ht="15.75" customHeight="1" spans="1:5">
      <c r="A936" s="22"/>
      <c r="B936" s="25" t="s">
        <v>3264</v>
      </c>
      <c r="C936" s="28" t="s">
        <v>6384</v>
      </c>
      <c r="D936" s="27" t="s">
        <v>5520</v>
      </c>
      <c r="E936" s="22"/>
    </row>
    <row r="937" ht="15.75" customHeight="1" spans="1:5">
      <c r="A937" s="22"/>
      <c r="B937" s="25" t="s">
        <v>3266</v>
      </c>
      <c r="C937" s="28" t="s">
        <v>6385</v>
      </c>
      <c r="D937" s="27" t="s">
        <v>5520</v>
      </c>
      <c r="E937" s="22" t="s">
        <v>534</v>
      </c>
    </row>
    <row r="938" ht="15.75" customHeight="1" spans="1:5">
      <c r="A938" s="22"/>
      <c r="B938" s="25" t="s">
        <v>3268</v>
      </c>
      <c r="C938" s="28" t="s">
        <v>6386</v>
      </c>
      <c r="D938" s="27" t="s">
        <v>5520</v>
      </c>
      <c r="E938" s="22"/>
    </row>
    <row r="939" ht="15.75" customHeight="1" spans="1:5">
      <c r="A939" s="22"/>
      <c r="B939" s="25" t="s">
        <v>3270</v>
      </c>
      <c r="C939" s="28" t="s">
        <v>6387</v>
      </c>
      <c r="D939" s="27" t="s">
        <v>5520</v>
      </c>
      <c r="E939" s="22"/>
    </row>
    <row r="940" ht="15.75" customHeight="1" spans="1:5">
      <c r="A940" s="22"/>
      <c r="B940" s="25" t="s">
        <v>3272</v>
      </c>
      <c r="C940" s="28" t="s">
        <v>6388</v>
      </c>
      <c r="D940" s="27" t="s">
        <v>5520</v>
      </c>
      <c r="E940" s="22" t="s">
        <v>376</v>
      </c>
    </row>
    <row r="941" ht="15.75" customHeight="1" spans="1:5">
      <c r="A941" s="22"/>
      <c r="B941" s="25" t="s">
        <v>3274</v>
      </c>
      <c r="C941" s="28" t="s">
        <v>6389</v>
      </c>
      <c r="D941" s="27" t="s">
        <v>5520</v>
      </c>
      <c r="E941" s="22" t="s">
        <v>513</v>
      </c>
    </row>
    <row r="942" ht="15.75" customHeight="1" spans="1:5">
      <c r="A942" s="22"/>
      <c r="B942" s="25" t="s">
        <v>3276</v>
      </c>
      <c r="C942" s="28" t="s">
        <v>6390</v>
      </c>
      <c r="D942" s="27" t="s">
        <v>5520</v>
      </c>
      <c r="E942" s="22" t="s">
        <v>513</v>
      </c>
    </row>
    <row r="943" ht="15.75" customHeight="1" spans="1:5">
      <c r="A943" s="22"/>
      <c r="B943" s="25" t="s">
        <v>3278</v>
      </c>
      <c r="C943" s="28" t="s">
        <v>6391</v>
      </c>
      <c r="D943" s="27" t="s">
        <v>5520</v>
      </c>
      <c r="E943" s="22" t="s">
        <v>513</v>
      </c>
    </row>
    <row r="944" ht="15.75" customHeight="1" spans="1:5">
      <c r="A944" s="22"/>
      <c r="B944" s="25" t="s">
        <v>3280</v>
      </c>
      <c r="C944" s="28" t="s">
        <v>6392</v>
      </c>
      <c r="D944" s="27" t="s">
        <v>5520</v>
      </c>
      <c r="E944" s="22" t="s">
        <v>416</v>
      </c>
    </row>
    <row r="945" ht="15.75" customHeight="1" spans="1:5">
      <c r="A945" s="22"/>
      <c r="B945" s="25" t="s">
        <v>3282</v>
      </c>
      <c r="C945" s="28" t="s">
        <v>6393</v>
      </c>
      <c r="D945" s="27" t="s">
        <v>5520</v>
      </c>
      <c r="E945" s="22" t="s">
        <v>513</v>
      </c>
    </row>
    <row r="946" ht="15.75" customHeight="1" spans="1:5">
      <c r="A946" s="22"/>
      <c r="B946" s="25" t="s">
        <v>3284</v>
      </c>
      <c r="C946" s="28" t="s">
        <v>6394</v>
      </c>
      <c r="D946" s="27" t="s">
        <v>5520</v>
      </c>
      <c r="E946" s="22" t="s">
        <v>513</v>
      </c>
    </row>
    <row r="947" ht="15.75" customHeight="1" spans="1:5">
      <c r="A947" s="22"/>
      <c r="B947" s="25" t="s">
        <v>3286</v>
      </c>
      <c r="C947" s="28" t="s">
        <v>6395</v>
      </c>
      <c r="D947" s="27" t="s">
        <v>5520</v>
      </c>
      <c r="E947" s="22" t="s">
        <v>408</v>
      </c>
    </row>
    <row r="948" ht="15.75" customHeight="1" spans="1:5">
      <c r="A948" s="22"/>
      <c r="B948" s="25" t="s">
        <v>3288</v>
      </c>
      <c r="C948" s="28" t="s">
        <v>6396</v>
      </c>
      <c r="D948" s="27" t="s">
        <v>5520</v>
      </c>
      <c r="E948" s="22" t="s">
        <v>376</v>
      </c>
    </row>
    <row r="949" ht="15.75" customHeight="1" spans="1:5">
      <c r="A949" s="22"/>
      <c r="B949" s="25" t="s">
        <v>3290</v>
      </c>
      <c r="C949" s="28" t="s">
        <v>6397</v>
      </c>
      <c r="D949" s="27" t="s">
        <v>5520</v>
      </c>
      <c r="E949" s="22"/>
    </row>
    <row r="950" ht="15.75" customHeight="1" spans="1:5">
      <c r="A950" s="22"/>
      <c r="B950" s="25" t="s">
        <v>3292</v>
      </c>
      <c r="C950" s="28" t="s">
        <v>6397</v>
      </c>
      <c r="D950" s="27" t="s">
        <v>5520</v>
      </c>
      <c r="E950" s="22"/>
    </row>
    <row r="951" ht="15.75" customHeight="1" spans="1:5">
      <c r="A951" s="22"/>
      <c r="B951" s="25" t="s">
        <v>3294</v>
      </c>
      <c r="C951" s="28" t="s">
        <v>6397</v>
      </c>
      <c r="D951" s="27" t="s">
        <v>5520</v>
      </c>
      <c r="E951" s="22" t="s">
        <v>497</v>
      </c>
    </row>
    <row r="952" ht="15.75" customHeight="1" spans="1:5">
      <c r="A952" s="22"/>
      <c r="B952" s="25" t="s">
        <v>3296</v>
      </c>
      <c r="C952" s="28" t="s">
        <v>6398</v>
      </c>
      <c r="D952" s="27" t="s">
        <v>5520</v>
      </c>
      <c r="E952" s="22" t="s">
        <v>513</v>
      </c>
    </row>
    <row r="953" ht="15.75" customHeight="1" spans="1:5">
      <c r="A953" s="22"/>
      <c r="B953" s="25" t="s">
        <v>3298</v>
      </c>
      <c r="C953" s="28" t="s">
        <v>6399</v>
      </c>
      <c r="D953" s="27" t="s">
        <v>5520</v>
      </c>
      <c r="E953" s="22" t="s">
        <v>337</v>
      </c>
    </row>
    <row r="954" ht="15.75" customHeight="1" spans="1:5">
      <c r="A954" s="22"/>
      <c r="B954" s="25" t="s">
        <v>3300</v>
      </c>
      <c r="C954" s="28" t="s">
        <v>6400</v>
      </c>
      <c r="D954" s="27" t="s">
        <v>5520</v>
      </c>
      <c r="E954" s="22" t="s">
        <v>436</v>
      </c>
    </row>
    <row r="955" ht="15.75" customHeight="1" spans="1:5">
      <c r="A955" s="22"/>
      <c r="B955" s="25" t="s">
        <v>3302</v>
      </c>
      <c r="C955" s="28" t="s">
        <v>6401</v>
      </c>
      <c r="D955" s="27" t="s">
        <v>5520</v>
      </c>
      <c r="E955" s="22" t="s">
        <v>376</v>
      </c>
    </row>
    <row r="956" ht="15.75" customHeight="1" spans="1:5">
      <c r="A956" s="22"/>
      <c r="B956" s="25" t="s">
        <v>3304</v>
      </c>
      <c r="C956" s="28" t="s">
        <v>6402</v>
      </c>
      <c r="D956" s="27" t="s">
        <v>5520</v>
      </c>
      <c r="E956" s="22" t="s">
        <v>376</v>
      </c>
    </row>
    <row r="957" ht="15.75" customHeight="1" spans="1:5">
      <c r="A957" s="22"/>
      <c r="B957" s="25" t="s">
        <v>3306</v>
      </c>
      <c r="C957" s="28" t="s">
        <v>6403</v>
      </c>
      <c r="D957" s="27" t="s">
        <v>5520</v>
      </c>
      <c r="E957" s="22"/>
    </row>
    <row r="958" ht="15.75" customHeight="1" spans="1:5">
      <c r="A958" s="22"/>
      <c r="B958" s="25" t="s">
        <v>3308</v>
      </c>
      <c r="C958" s="28" t="s">
        <v>6404</v>
      </c>
      <c r="D958" s="27" t="s">
        <v>5520</v>
      </c>
      <c r="E958" s="22"/>
    </row>
    <row r="959" ht="15.75" customHeight="1" spans="1:5">
      <c r="A959" s="22"/>
      <c r="B959" s="25" t="s">
        <v>3310</v>
      </c>
      <c r="C959" s="28" t="s">
        <v>6405</v>
      </c>
      <c r="D959" s="27" t="s">
        <v>5520</v>
      </c>
      <c r="E959" s="22"/>
    </row>
    <row r="960" ht="15.75" customHeight="1" spans="1:5">
      <c r="A960" s="22"/>
      <c r="B960" s="25" t="s">
        <v>3312</v>
      </c>
      <c r="C960" s="28" t="s">
        <v>6406</v>
      </c>
      <c r="D960" s="27" t="s">
        <v>5520</v>
      </c>
      <c r="E960" s="22"/>
    </row>
    <row r="961" ht="15.75" customHeight="1" spans="1:5">
      <c r="A961" s="22"/>
      <c r="B961" s="25" t="s">
        <v>3314</v>
      </c>
      <c r="C961" s="28" t="s">
        <v>6407</v>
      </c>
      <c r="D961" s="27" t="s">
        <v>5520</v>
      </c>
      <c r="E961" s="22" t="s">
        <v>436</v>
      </c>
    </row>
    <row r="962" ht="15.75" customHeight="1" spans="1:5">
      <c r="A962" s="22"/>
      <c r="B962" s="25" t="s">
        <v>3316</v>
      </c>
      <c r="C962" s="28" t="s">
        <v>6408</v>
      </c>
      <c r="D962" s="27" t="s">
        <v>5520</v>
      </c>
      <c r="E962" s="22" t="s">
        <v>376</v>
      </c>
    </row>
    <row r="963" ht="15.75" customHeight="1" spans="1:5">
      <c r="A963" s="22"/>
      <c r="B963" s="25" t="s">
        <v>3318</v>
      </c>
      <c r="C963" s="28" t="s">
        <v>6409</v>
      </c>
      <c r="D963" s="27" t="s">
        <v>5520</v>
      </c>
      <c r="E963" s="22" t="s">
        <v>376</v>
      </c>
    </row>
    <row r="964" ht="15.75" customHeight="1" spans="1:5">
      <c r="A964" s="22"/>
      <c r="B964" s="25" t="s">
        <v>3320</v>
      </c>
      <c r="C964" s="28" t="s">
        <v>6410</v>
      </c>
      <c r="D964" s="27" t="s">
        <v>5520</v>
      </c>
      <c r="E964" s="22"/>
    </row>
    <row r="965" ht="15.75" customHeight="1" spans="1:5">
      <c r="A965" s="22"/>
      <c r="B965" s="25" t="s">
        <v>3322</v>
      </c>
      <c r="C965" s="28" t="s">
        <v>6411</v>
      </c>
      <c r="D965" s="27" t="s">
        <v>5520</v>
      </c>
      <c r="E965" s="22"/>
    </row>
    <row r="966" ht="15.75" customHeight="1" spans="1:5">
      <c r="A966" s="22"/>
      <c r="B966" s="25" t="s">
        <v>3324</v>
      </c>
      <c r="C966" s="28" t="s">
        <v>6412</v>
      </c>
      <c r="D966" s="27" t="s">
        <v>5520</v>
      </c>
      <c r="E966" s="22" t="s">
        <v>513</v>
      </c>
    </row>
    <row r="967" ht="15.75" customHeight="1" spans="1:5">
      <c r="A967" s="22"/>
      <c r="B967" s="25" t="s">
        <v>3326</v>
      </c>
      <c r="C967" s="28" t="s">
        <v>6413</v>
      </c>
      <c r="D967" s="27" t="s">
        <v>5520</v>
      </c>
      <c r="E967" s="22"/>
    </row>
    <row r="968" ht="15.75" customHeight="1" spans="1:5">
      <c r="A968" s="22"/>
      <c r="B968" s="25" t="s">
        <v>3328</v>
      </c>
      <c r="C968" s="28" t="s">
        <v>6414</v>
      </c>
      <c r="D968" s="27" t="s">
        <v>5520</v>
      </c>
      <c r="E968" s="22"/>
    </row>
    <row r="969" ht="15.75" customHeight="1" spans="1:5">
      <c r="A969" s="22"/>
      <c r="B969" s="25" t="s">
        <v>3330</v>
      </c>
      <c r="C969" s="28" t="s">
        <v>6415</v>
      </c>
      <c r="D969" s="27" t="s">
        <v>5520</v>
      </c>
      <c r="E969" s="22"/>
    </row>
    <row r="970" ht="15.75" customHeight="1" spans="1:5">
      <c r="A970" s="22"/>
      <c r="B970" s="25" t="s">
        <v>3332</v>
      </c>
      <c r="C970" s="28" t="s">
        <v>6416</v>
      </c>
      <c r="D970" s="27" t="s">
        <v>5520</v>
      </c>
      <c r="E970" s="22" t="s">
        <v>436</v>
      </c>
    </row>
    <row r="971" ht="15.75" customHeight="1" spans="1:5">
      <c r="A971" s="22"/>
      <c r="B971" s="25" t="s">
        <v>3334</v>
      </c>
      <c r="C971" s="28" t="s">
        <v>6417</v>
      </c>
      <c r="D971" s="27" t="s">
        <v>5520</v>
      </c>
      <c r="E971" s="22" t="s">
        <v>513</v>
      </c>
    </row>
    <row r="972" ht="15.75" customHeight="1" spans="1:5">
      <c r="A972" s="22"/>
      <c r="B972" s="25" t="s">
        <v>3336</v>
      </c>
      <c r="C972" s="28" t="s">
        <v>6418</v>
      </c>
      <c r="D972" s="27" t="s">
        <v>5520</v>
      </c>
      <c r="E972" s="22"/>
    </row>
    <row r="973" ht="15.75" customHeight="1" spans="1:5">
      <c r="A973" s="22"/>
      <c r="B973" s="25" t="s">
        <v>3338</v>
      </c>
      <c r="C973" s="28" t="s">
        <v>6419</v>
      </c>
      <c r="D973" s="27" t="s">
        <v>5520</v>
      </c>
      <c r="E973" s="22"/>
    </row>
    <row r="974" ht="15.75" customHeight="1" spans="1:5">
      <c r="A974" s="22"/>
      <c r="B974" s="25" t="s">
        <v>3340</v>
      </c>
      <c r="C974" s="28" t="s">
        <v>6420</v>
      </c>
      <c r="D974" s="27" t="s">
        <v>5520</v>
      </c>
      <c r="E974" s="22" t="s">
        <v>513</v>
      </c>
    </row>
    <row r="975" ht="15.75" customHeight="1" spans="1:5">
      <c r="A975" s="22"/>
      <c r="B975" s="25" t="s">
        <v>3342</v>
      </c>
      <c r="C975" s="28" t="s">
        <v>6411</v>
      </c>
      <c r="D975" s="27" t="s">
        <v>5520</v>
      </c>
      <c r="E975" s="22" t="s">
        <v>436</v>
      </c>
    </row>
    <row r="976" ht="15.75" customHeight="1" spans="1:5">
      <c r="A976" s="22"/>
      <c r="B976" s="25" t="s">
        <v>3344</v>
      </c>
      <c r="C976" s="28" t="s">
        <v>5639</v>
      </c>
      <c r="D976" s="27" t="s">
        <v>5520</v>
      </c>
      <c r="E976" s="22" t="s">
        <v>534</v>
      </c>
    </row>
    <row r="977" ht="15.75" customHeight="1" spans="1:5">
      <c r="A977" s="22"/>
      <c r="B977" s="25" t="s">
        <v>3346</v>
      </c>
      <c r="C977" s="28" t="s">
        <v>6421</v>
      </c>
      <c r="D977" s="27" t="s">
        <v>5520</v>
      </c>
      <c r="E977" s="22"/>
    </row>
    <row r="978" ht="15.75" customHeight="1" spans="1:5">
      <c r="A978" s="22"/>
      <c r="B978" s="25" t="s">
        <v>3348</v>
      </c>
      <c r="C978" s="28" t="s">
        <v>5639</v>
      </c>
      <c r="D978" s="27" t="s">
        <v>5520</v>
      </c>
      <c r="E978" s="22"/>
    </row>
    <row r="979" ht="15.75" customHeight="1" spans="1:5">
      <c r="A979" s="22"/>
      <c r="B979" s="25" t="s">
        <v>3350</v>
      </c>
      <c r="C979" s="28" t="s">
        <v>6410</v>
      </c>
      <c r="D979" s="27" t="s">
        <v>5520</v>
      </c>
      <c r="E979" s="22" t="s">
        <v>376</v>
      </c>
    </row>
    <row r="980" ht="15.75" customHeight="1" spans="1:5">
      <c r="A980" s="22"/>
      <c r="B980" s="25" t="s">
        <v>3352</v>
      </c>
      <c r="C980" s="28" t="s">
        <v>6422</v>
      </c>
      <c r="D980" s="27" t="s">
        <v>5520</v>
      </c>
      <c r="E980" s="22" t="s">
        <v>436</v>
      </c>
    </row>
    <row r="981" ht="15.75" customHeight="1" spans="1:5">
      <c r="A981" s="22"/>
      <c r="B981" s="25" t="s">
        <v>3354</v>
      </c>
      <c r="C981" s="28" t="s">
        <v>6423</v>
      </c>
      <c r="D981" s="27" t="s">
        <v>5520</v>
      </c>
      <c r="E981" s="22" t="s">
        <v>325</v>
      </c>
    </row>
    <row r="982" ht="15.75" customHeight="1" spans="1:5">
      <c r="A982" s="22"/>
      <c r="B982" s="25" t="s">
        <v>3356</v>
      </c>
      <c r="C982" s="28" t="s">
        <v>6424</v>
      </c>
      <c r="D982" s="27" t="s">
        <v>5520</v>
      </c>
      <c r="E982" s="22"/>
    </row>
    <row r="983" ht="15.75" customHeight="1" spans="1:5">
      <c r="A983" s="22"/>
      <c r="B983" s="25" t="s">
        <v>3358</v>
      </c>
      <c r="C983" s="28" t="s">
        <v>6425</v>
      </c>
      <c r="D983" s="27" t="s">
        <v>5520</v>
      </c>
      <c r="E983" s="22" t="s">
        <v>376</v>
      </c>
    </row>
    <row r="984" ht="15.75" customHeight="1" spans="1:5">
      <c r="A984" s="22"/>
      <c r="B984" s="25" t="s">
        <v>3360</v>
      </c>
      <c r="C984" s="28" t="s">
        <v>6426</v>
      </c>
      <c r="D984" s="27" t="s">
        <v>5520</v>
      </c>
      <c r="E984" s="22"/>
    </row>
    <row r="985" ht="15.75" customHeight="1" spans="1:5">
      <c r="A985" s="22"/>
      <c r="B985" s="25" t="s">
        <v>3362</v>
      </c>
      <c r="C985" s="28" t="s">
        <v>6427</v>
      </c>
      <c r="D985" s="27" t="s">
        <v>5520</v>
      </c>
      <c r="E985" s="22"/>
    </row>
    <row r="986" ht="15.75" customHeight="1" spans="1:5">
      <c r="A986" s="22"/>
      <c r="B986" s="25" t="s">
        <v>3364</v>
      </c>
      <c r="C986" s="28" t="s">
        <v>6428</v>
      </c>
      <c r="D986" s="27" t="s">
        <v>5520</v>
      </c>
      <c r="E986" s="22" t="s">
        <v>436</v>
      </c>
    </row>
    <row r="987" ht="15.75" customHeight="1" spans="1:5">
      <c r="A987" s="22"/>
      <c r="B987" s="25" t="s">
        <v>3366</v>
      </c>
      <c r="C987" s="28" t="s">
        <v>6429</v>
      </c>
      <c r="D987" s="27" t="s">
        <v>5520</v>
      </c>
      <c r="E987" s="22" t="s">
        <v>513</v>
      </c>
    </row>
    <row r="988" ht="15.75" customHeight="1" spans="1:5">
      <c r="A988" s="22"/>
      <c r="B988" s="25" t="s">
        <v>3368</v>
      </c>
      <c r="C988" s="28" t="s">
        <v>6430</v>
      </c>
      <c r="D988" s="27" t="s">
        <v>5520</v>
      </c>
      <c r="E988" s="22" t="s">
        <v>325</v>
      </c>
    </row>
    <row r="989" ht="15.75" customHeight="1" spans="1:5">
      <c r="A989" s="22"/>
      <c r="B989" s="25" t="s">
        <v>3370</v>
      </c>
      <c r="C989" s="28" t="s">
        <v>6430</v>
      </c>
      <c r="D989" s="27" t="s">
        <v>5520</v>
      </c>
      <c r="E989" s="22" t="s">
        <v>325</v>
      </c>
    </row>
    <row r="990" ht="15.75" customHeight="1" spans="1:5">
      <c r="A990" s="22"/>
      <c r="B990" s="25" t="s">
        <v>3372</v>
      </c>
      <c r="C990" s="28" t="s">
        <v>6431</v>
      </c>
      <c r="D990" s="27" t="s">
        <v>5520</v>
      </c>
      <c r="E990" s="22" t="s">
        <v>325</v>
      </c>
    </row>
    <row r="991" ht="15.75" customHeight="1" spans="1:5">
      <c r="A991" s="22"/>
      <c r="B991" s="25" t="s">
        <v>3374</v>
      </c>
      <c r="C991" s="28" t="s">
        <v>6432</v>
      </c>
      <c r="D991" s="27" t="s">
        <v>5520</v>
      </c>
      <c r="E991" s="22" t="s">
        <v>376</v>
      </c>
    </row>
    <row r="992" ht="15.75" customHeight="1" spans="1:5">
      <c r="A992" s="22"/>
      <c r="B992" s="25" t="s">
        <v>3376</v>
      </c>
      <c r="C992" s="28" t="s">
        <v>6433</v>
      </c>
      <c r="D992" s="27" t="s">
        <v>5520</v>
      </c>
      <c r="E992" s="22" t="s">
        <v>436</v>
      </c>
    </row>
    <row r="993" ht="15.75" customHeight="1" spans="1:5">
      <c r="A993" s="22"/>
      <c r="B993" s="25" t="s">
        <v>3378</v>
      </c>
      <c r="C993" s="28" t="s">
        <v>6434</v>
      </c>
      <c r="D993" s="27" t="s">
        <v>5520</v>
      </c>
      <c r="E993" s="22" t="s">
        <v>416</v>
      </c>
    </row>
    <row r="994" ht="15.75" customHeight="1" spans="1:5">
      <c r="A994" s="22"/>
      <c r="B994" s="25" t="s">
        <v>3380</v>
      </c>
      <c r="C994" s="28" t="s">
        <v>6435</v>
      </c>
      <c r="D994" s="27" t="s">
        <v>5520</v>
      </c>
      <c r="E994" s="22" t="s">
        <v>325</v>
      </c>
    </row>
    <row r="995" ht="15.75" customHeight="1" spans="1:5">
      <c r="A995" s="22"/>
      <c r="B995" s="25" t="s">
        <v>3382</v>
      </c>
      <c r="C995" s="28" t="s">
        <v>6436</v>
      </c>
      <c r="D995" s="27" t="s">
        <v>5520</v>
      </c>
      <c r="E995" s="22"/>
    </row>
    <row r="996" ht="15.75" customHeight="1" spans="1:5">
      <c r="A996" s="22"/>
      <c r="B996" s="25" t="s">
        <v>3384</v>
      </c>
      <c r="C996" s="28" t="s">
        <v>6437</v>
      </c>
      <c r="D996" s="27" t="s">
        <v>5520</v>
      </c>
      <c r="E996" s="22" t="s">
        <v>436</v>
      </c>
    </row>
    <row r="997" ht="15.75" customHeight="1" spans="1:5">
      <c r="A997" s="22"/>
      <c r="B997" s="25" t="s">
        <v>3386</v>
      </c>
      <c r="C997" s="28" t="s">
        <v>6438</v>
      </c>
      <c r="D997" s="27" t="s">
        <v>5520</v>
      </c>
      <c r="E997" s="22" t="s">
        <v>408</v>
      </c>
    </row>
    <row r="998" ht="15.75" customHeight="1" spans="1:5">
      <c r="A998" s="22"/>
      <c r="B998" s="25" t="s">
        <v>3388</v>
      </c>
      <c r="C998" s="28" t="s">
        <v>6439</v>
      </c>
      <c r="D998" s="27" t="s">
        <v>5520</v>
      </c>
      <c r="E998" s="22"/>
    </row>
    <row r="999" ht="15.75" customHeight="1" spans="1:5">
      <c r="A999" s="22"/>
      <c r="B999" s="25" t="s">
        <v>3390</v>
      </c>
      <c r="C999" s="28" t="s">
        <v>6440</v>
      </c>
      <c r="D999" s="27" t="s">
        <v>5520</v>
      </c>
      <c r="E999" s="22"/>
    </row>
    <row r="1000" ht="15.75" customHeight="1" spans="1:5">
      <c r="A1000" s="22"/>
      <c r="B1000" s="25" t="s">
        <v>3392</v>
      </c>
      <c r="C1000" s="28" t="s">
        <v>6441</v>
      </c>
      <c r="D1000" s="27" t="s">
        <v>5520</v>
      </c>
      <c r="E1000" s="22"/>
    </row>
    <row r="1001" ht="15.75" customHeight="1" spans="1:5">
      <c r="A1001" s="22"/>
      <c r="B1001" s="25" t="s">
        <v>3394</v>
      </c>
      <c r="C1001" s="28" t="s">
        <v>6442</v>
      </c>
      <c r="D1001" s="27" t="s">
        <v>5520</v>
      </c>
      <c r="E1001" s="22" t="s">
        <v>436</v>
      </c>
    </row>
    <row r="1002" ht="15.75" customHeight="1" spans="1:5">
      <c r="A1002" s="22"/>
      <c r="B1002" s="25" t="s">
        <v>3396</v>
      </c>
      <c r="C1002" s="28" t="s">
        <v>6443</v>
      </c>
      <c r="D1002" s="27" t="s">
        <v>5520</v>
      </c>
      <c r="E1002" s="22"/>
    </row>
    <row r="1003" ht="15.75" customHeight="1" spans="1:5">
      <c r="A1003" s="22"/>
      <c r="B1003" s="25" t="s">
        <v>3398</v>
      </c>
      <c r="C1003" s="28" t="s">
        <v>6444</v>
      </c>
      <c r="D1003" s="27" t="s">
        <v>5520</v>
      </c>
      <c r="E1003" s="22"/>
    </row>
    <row r="1004" ht="15.75" customHeight="1" spans="1:5">
      <c r="A1004" s="22"/>
      <c r="B1004" s="25" t="s">
        <v>3400</v>
      </c>
      <c r="C1004" s="28" t="s">
        <v>6445</v>
      </c>
      <c r="D1004" s="27" t="s">
        <v>5520</v>
      </c>
      <c r="E1004" s="22"/>
    </row>
    <row r="1005" ht="15.75" customHeight="1" spans="1:5">
      <c r="A1005" s="22"/>
      <c r="B1005" s="25" t="s">
        <v>3402</v>
      </c>
      <c r="C1005" s="28" t="s">
        <v>6446</v>
      </c>
      <c r="D1005" s="27" t="s">
        <v>5520</v>
      </c>
      <c r="E1005" s="22"/>
    </row>
    <row r="1006" ht="15.75" customHeight="1" spans="1:5">
      <c r="A1006" s="22"/>
      <c r="B1006" s="25" t="s">
        <v>3404</v>
      </c>
      <c r="C1006" s="28" t="s">
        <v>6447</v>
      </c>
      <c r="D1006" s="27" t="s">
        <v>5520</v>
      </c>
      <c r="E1006" s="22"/>
    </row>
    <row r="1007" ht="15.75" customHeight="1" spans="1:5">
      <c r="A1007" s="22"/>
      <c r="B1007" s="25" t="s">
        <v>3406</v>
      </c>
      <c r="C1007" s="28" t="s">
        <v>6448</v>
      </c>
      <c r="D1007" s="27" t="s">
        <v>5520</v>
      </c>
      <c r="E1007" s="22"/>
    </row>
    <row r="1008" ht="15.75" customHeight="1" spans="1:5">
      <c r="A1008" s="22"/>
      <c r="B1008" s="25" t="s">
        <v>3408</v>
      </c>
      <c r="C1008" s="28" t="s">
        <v>6449</v>
      </c>
      <c r="D1008" s="27" t="s">
        <v>5520</v>
      </c>
      <c r="E1008" s="22" t="s">
        <v>376</v>
      </c>
    </row>
    <row r="1009" spans="1:4">
      <c r="A1009" s="22"/>
      <c r="B1009" s="30" t="s">
        <v>2972</v>
      </c>
      <c r="C1009" s="28" t="s">
        <v>6450</v>
      </c>
      <c r="D1009" s="27" t="s">
        <v>5520</v>
      </c>
    </row>
    <row r="1010" spans="1:4">
      <c r="A1010" s="22"/>
      <c r="B1010" s="31" t="s">
        <v>6451</v>
      </c>
      <c r="C1010" s="28" t="s">
        <v>6452</v>
      </c>
      <c r="D1010" s="27" t="s">
        <v>5520</v>
      </c>
    </row>
    <row r="1011" spans="1:4">
      <c r="A1011" s="22"/>
      <c r="B1011" s="31" t="s">
        <v>6453</v>
      </c>
      <c r="C1011" s="28" t="s">
        <v>6454</v>
      </c>
      <c r="D1011" s="27" t="s">
        <v>5520</v>
      </c>
    </row>
    <row r="1012" spans="1:4">
      <c r="A1012" s="22"/>
      <c r="B1012" s="31" t="s">
        <v>6455</v>
      </c>
      <c r="C1012" s="28" t="s">
        <v>6456</v>
      </c>
      <c r="D1012" s="27" t="s">
        <v>5520</v>
      </c>
    </row>
    <row r="1013" spans="1:4">
      <c r="A1013" s="22"/>
      <c r="B1013" s="31" t="s">
        <v>6457</v>
      </c>
      <c r="C1013" s="28" t="s">
        <v>6458</v>
      </c>
      <c r="D1013" s="27" t="s">
        <v>5520</v>
      </c>
    </row>
    <row r="1014" spans="1:4">
      <c r="A1014" s="22"/>
      <c r="B1014" s="31" t="s">
        <v>6459</v>
      </c>
      <c r="C1014" s="28" t="s">
        <v>6460</v>
      </c>
      <c r="D1014" s="27" t="s">
        <v>5520</v>
      </c>
    </row>
    <row r="1015" spans="1:4">
      <c r="A1015" s="22"/>
      <c r="B1015" s="31" t="s">
        <v>6461</v>
      </c>
      <c r="C1015" s="28" t="s">
        <v>6462</v>
      </c>
      <c r="D1015" s="27" t="s">
        <v>5520</v>
      </c>
    </row>
    <row r="1016" spans="1:4">
      <c r="A1016" s="22"/>
      <c r="B1016" s="31" t="s">
        <v>6463</v>
      </c>
      <c r="C1016" s="28" t="s">
        <v>6464</v>
      </c>
      <c r="D1016" s="27" t="s">
        <v>5520</v>
      </c>
    </row>
    <row r="1017" spans="1:4">
      <c r="A1017" s="22"/>
      <c r="B1017" s="31" t="s">
        <v>6465</v>
      </c>
      <c r="C1017" s="28" t="s">
        <v>6466</v>
      </c>
      <c r="D1017" s="27" t="s">
        <v>5520</v>
      </c>
    </row>
    <row r="1018" spans="1:4">
      <c r="A1018" s="22"/>
      <c r="B1018" s="31" t="s">
        <v>6467</v>
      </c>
      <c r="C1018" s="28" t="s">
        <v>6468</v>
      </c>
      <c r="D1018" s="27" t="s">
        <v>5520</v>
      </c>
    </row>
    <row r="1019" spans="1:4">
      <c r="A1019" s="22"/>
      <c r="B1019" s="31" t="s">
        <v>6469</v>
      </c>
      <c r="C1019" s="28" t="s">
        <v>6470</v>
      </c>
      <c r="D1019" s="27" t="s">
        <v>5520</v>
      </c>
    </row>
    <row r="1020" spans="1:4">
      <c r="A1020" s="22"/>
      <c r="B1020" s="31" t="s">
        <v>6471</v>
      </c>
      <c r="C1020" s="28" t="s">
        <v>6472</v>
      </c>
      <c r="D1020" s="27" t="s">
        <v>5520</v>
      </c>
    </row>
    <row r="1021" spans="1:4">
      <c r="A1021" s="22"/>
      <c r="B1021" s="31" t="s">
        <v>6473</v>
      </c>
      <c r="C1021" s="28" t="s">
        <v>6474</v>
      </c>
      <c r="D1021" s="27" t="s">
        <v>5520</v>
      </c>
    </row>
    <row r="1022" ht="26" spans="1:4">
      <c r="A1022" s="22"/>
      <c r="B1022" s="31" t="s">
        <v>6475</v>
      </c>
      <c r="C1022" s="28" t="s">
        <v>6476</v>
      </c>
      <c r="D1022" s="27" t="s">
        <v>5520</v>
      </c>
    </row>
    <row r="1023" spans="1:4">
      <c r="A1023" s="22"/>
      <c r="B1023" s="31" t="s">
        <v>6477</v>
      </c>
      <c r="C1023" s="28" t="s">
        <v>6478</v>
      </c>
      <c r="D1023" s="27" t="s">
        <v>5520</v>
      </c>
    </row>
    <row r="1024" spans="2:2">
      <c r="B1024" s="32"/>
    </row>
  </sheetData>
  <mergeCells count="1">
    <mergeCell ref="B1:C1"/>
  </mergeCells>
  <hyperlinks>
    <hyperlink ref="B1" r:id="rId1" display="https://einvoice1.gst.gov.in/Others/MasterCodes"/>
  </hyperlinks>
  <pageMargins left="0.7" right="0.7" top="0.75" bottom="0.75" header="0.511811023622047" footer="0.511811023622047"/>
  <pageSetup paperSize="1" orientation="landscape"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021"/>
  <sheetViews>
    <sheetView zoomScale="65" zoomScaleNormal="65" topLeftCell="F1" workbookViewId="0">
      <selection activeCell="P20" sqref="P20"/>
    </sheetView>
  </sheetViews>
  <sheetFormatPr defaultColWidth="14.5" defaultRowHeight="14"/>
  <cols>
    <col min="7" max="7" width="27.5" customWidth="1"/>
    <col min="12" max="12" width="35.5" customWidth="1"/>
    <col min="18" max="18" width="29.3359375" customWidth="1"/>
    <col min="20" max="20" width="27.1640625" customWidth="1"/>
    <col min="22" max="22" width="20.1640625" customWidth="1"/>
    <col min="23" max="23" width="16.8359375" customWidth="1"/>
    <col min="40" max="40" width="36.0546875" customWidth="1"/>
  </cols>
  <sheetData>
    <row r="1" ht="15.75" customHeight="1" spans="1:40">
      <c r="A1" s="1" t="s">
        <v>6479</v>
      </c>
      <c r="B1" s="2" t="s">
        <v>6480</v>
      </c>
      <c r="C1" s="2" t="s">
        <v>6481</v>
      </c>
      <c r="D1" s="2" t="s">
        <v>6482</v>
      </c>
      <c r="E1" s="1" t="s">
        <v>6483</v>
      </c>
      <c r="F1" s="2" t="s">
        <v>6484</v>
      </c>
      <c r="G1" s="1" t="s">
        <v>6485</v>
      </c>
      <c r="I1" s="1" t="s">
        <v>6486</v>
      </c>
      <c r="J1" s="2" t="s">
        <v>6487</v>
      </c>
      <c r="K1" s="1" t="s">
        <v>6488</v>
      </c>
      <c r="L1" s="2" t="s">
        <v>37</v>
      </c>
      <c r="M1" s="1" t="s">
        <v>6489</v>
      </c>
      <c r="N1" s="2" t="s">
        <v>6490</v>
      </c>
      <c r="O1" s="1" t="s">
        <v>33</v>
      </c>
      <c r="P1" s="1" t="s">
        <v>6491</v>
      </c>
      <c r="R1" s="8" t="s">
        <v>138</v>
      </c>
      <c r="T1" s="9" t="s">
        <v>6492</v>
      </c>
      <c r="V1" s="11" t="s">
        <v>14</v>
      </c>
      <c r="W1" s="11" t="s">
        <v>99</v>
      </c>
      <c r="Y1" s="3">
        <v>42917</v>
      </c>
      <c r="Z1" s="2" t="s">
        <v>6484</v>
      </c>
      <c r="AA1" s="2" t="s">
        <v>6493</v>
      </c>
      <c r="AB1" s="2" t="s">
        <v>6484</v>
      </c>
      <c r="AD1" s="2" t="s">
        <v>6494</v>
      </c>
      <c r="AG1" s="15" t="s">
        <v>82</v>
      </c>
      <c r="AI1" s="16" t="s">
        <v>80</v>
      </c>
      <c r="AJ1" s="16" t="s">
        <v>58</v>
      </c>
      <c r="AL1" t="s">
        <v>6495</v>
      </c>
      <c r="AM1" t="s">
        <v>88</v>
      </c>
      <c r="AN1" t="s">
        <v>89</v>
      </c>
    </row>
    <row r="2" ht="15.75" customHeight="1" spans="1:40">
      <c r="A2" s="1" t="s">
        <v>124</v>
      </c>
      <c r="B2" s="1" t="s">
        <v>6496</v>
      </c>
      <c r="C2" s="1" t="s">
        <v>166</v>
      </c>
      <c r="D2" s="2" t="str">
        <f ca="1">IF(Y2&lt;2017,"","Jan-Mar "&amp;Y2)</f>
        <v>Jan-Mar 2025</v>
      </c>
      <c r="E2" s="2" t="s">
        <v>166</v>
      </c>
      <c r="F2" s="3">
        <f ca="1" t="shared" ref="F2:F37" si="0">IF(EOMONTH(TODAY(),AB2)+1&lt;$Y$1,"",EOMONTH(TODAY(),AB2)+1)</f>
        <v>45901</v>
      </c>
      <c r="G2" s="1" t="s">
        <v>6497</v>
      </c>
      <c r="I2" s="1" t="s">
        <v>166</v>
      </c>
      <c r="J2" s="2" t="s">
        <v>161</v>
      </c>
      <c r="K2" s="1" t="s">
        <v>6498</v>
      </c>
      <c r="L2" s="2" t="s">
        <v>6499</v>
      </c>
      <c r="M2" s="1" t="s">
        <v>174</v>
      </c>
      <c r="N2" s="2" t="s">
        <v>5180</v>
      </c>
      <c r="O2" s="1">
        <v>0</v>
      </c>
      <c r="P2" s="2">
        <f>O2/2</f>
        <v>0</v>
      </c>
      <c r="R2" s="8" t="s">
        <v>6500</v>
      </c>
      <c r="T2" s="2" t="s">
        <v>120</v>
      </c>
      <c r="V2" s="2" t="s">
        <v>98</v>
      </c>
      <c r="W2" s="12" t="s">
        <v>101</v>
      </c>
      <c r="Y2" s="2">
        <f ca="1">YEAR(TODAY())</f>
        <v>2025</v>
      </c>
      <c r="Z2" s="2">
        <v>-1</v>
      </c>
      <c r="AA2" s="2">
        <f ca="1">YEAR(TODAY())</f>
        <v>2025</v>
      </c>
      <c r="AB2" s="2">
        <v>-1</v>
      </c>
      <c r="AD2" s="2" t="str">
        <f>'Port code'!B4&amp;"-"&amp;'Port code'!C4</f>
        <v>INABG1-Alibag</v>
      </c>
      <c r="AG2" s="17" t="s">
        <v>6501</v>
      </c>
      <c r="AI2" s="2" t="s">
        <v>649</v>
      </c>
      <c r="AJ2" s="18" t="s">
        <v>6502</v>
      </c>
      <c r="AL2" t="s">
        <v>166</v>
      </c>
      <c r="AM2" t="s">
        <v>288</v>
      </c>
      <c r="AN2" s="19" t="s">
        <v>6503</v>
      </c>
    </row>
    <row r="3" ht="15.75" customHeight="1" spans="1:40">
      <c r="A3" s="1" t="s">
        <v>6504</v>
      </c>
      <c r="B3" s="1" t="s">
        <v>6505</v>
      </c>
      <c r="D3" s="2" t="str">
        <f ca="1">IF(Y3&lt;2017,"","Apr-Jun "&amp;Y3)</f>
        <v>Apr-Jun 2025</v>
      </c>
      <c r="F3" s="3">
        <f ca="1" t="shared" si="0"/>
        <v>45870</v>
      </c>
      <c r="G3" s="1" t="s">
        <v>6506</v>
      </c>
      <c r="J3" s="2" t="s">
        <v>6507</v>
      </c>
      <c r="K3" s="1" t="s">
        <v>6508</v>
      </c>
      <c r="L3" s="2" t="s">
        <v>163</v>
      </c>
      <c r="M3" s="1" t="s">
        <v>5066</v>
      </c>
      <c r="O3" s="2">
        <v>0.1</v>
      </c>
      <c r="P3" s="2">
        <v>0.05</v>
      </c>
      <c r="R3" s="8" t="s">
        <v>6509</v>
      </c>
      <c r="T3" s="2" t="s">
        <v>395</v>
      </c>
      <c r="V3" s="2" t="s">
        <v>6510</v>
      </c>
      <c r="W3" s="13" t="s">
        <v>6511</v>
      </c>
      <c r="Y3" s="2">
        <f ca="1">YEAR(TODAY())</f>
        <v>2025</v>
      </c>
      <c r="Z3" s="2">
        <v>-2</v>
      </c>
      <c r="AA3" s="2">
        <f ca="1">YEAR(TODAY())</f>
        <v>2025</v>
      </c>
      <c r="AB3" s="2">
        <v>-2</v>
      </c>
      <c r="AD3" s="2" t="str">
        <f>'Port code'!B5&amp;"-"&amp;'Port code'!C5</f>
        <v>INACH1-Achra</v>
      </c>
      <c r="AG3" s="17" t="s">
        <v>6512</v>
      </c>
      <c r="AI3" s="2" t="s">
        <v>6513</v>
      </c>
      <c r="AJ3" s="18" t="s">
        <v>6514</v>
      </c>
      <c r="AM3" t="s">
        <v>6515</v>
      </c>
      <c r="AN3" s="19" t="s">
        <v>6516</v>
      </c>
    </row>
    <row r="4" ht="15.75" customHeight="1" spans="2:40">
      <c r="B4" s="1" t="s">
        <v>6517</v>
      </c>
      <c r="D4" s="2" t="str">
        <f ca="1">IF(Y4&lt;2017,"","Jul-Sep "&amp;Y4)</f>
        <v>Jul-Sep 2025</v>
      </c>
      <c r="F4" s="3">
        <f ca="1" t="shared" si="0"/>
        <v>45839</v>
      </c>
      <c r="G4" s="1" t="s">
        <v>6518</v>
      </c>
      <c r="K4" s="1" t="s">
        <v>6519</v>
      </c>
      <c r="L4" s="2" t="s">
        <v>6520</v>
      </c>
      <c r="M4" s="1" t="s">
        <v>6521</v>
      </c>
      <c r="O4" s="1">
        <v>0.25</v>
      </c>
      <c r="P4" s="2">
        <f t="shared" ref="P4:P12" si="1">O4/2</f>
        <v>0.125</v>
      </c>
      <c r="R4" s="8" t="s">
        <v>6522</v>
      </c>
      <c r="T4" s="2" t="s">
        <v>496</v>
      </c>
      <c r="V4" s="2" t="s">
        <v>6523</v>
      </c>
      <c r="W4" s="13" t="s">
        <v>6524</v>
      </c>
      <c r="Y4" s="2">
        <f ca="1">YEAR(TODAY())</f>
        <v>2025</v>
      </c>
      <c r="Z4" s="2">
        <v>-3</v>
      </c>
      <c r="AA4" s="2">
        <f ca="1">YEAR(TODAY())</f>
        <v>2025</v>
      </c>
      <c r="AB4" s="2">
        <v>-3</v>
      </c>
      <c r="AD4" s="2" t="str">
        <f>'Port code'!B6&amp;"-"&amp;'Port code'!C6</f>
        <v>INADA6-Ahmedabad Adalaj</v>
      </c>
      <c r="AN4" s="19" t="s">
        <v>6525</v>
      </c>
    </row>
    <row r="5" ht="15.75" customHeight="1" spans="2:40">
      <c r="B5" s="1" t="s">
        <v>6526</v>
      </c>
      <c r="D5" s="2" t="str">
        <f ca="1">IF(Y5&lt;2017,"","Oct-Dec "&amp;Y5)</f>
        <v>Oct-Dec 2025</v>
      </c>
      <c r="F5" s="3">
        <f ca="1" t="shared" si="0"/>
        <v>45809</v>
      </c>
      <c r="G5" s="1" t="s">
        <v>6527</v>
      </c>
      <c r="K5" s="1" t="s">
        <v>6528</v>
      </c>
      <c r="L5" s="2" t="s">
        <v>6529</v>
      </c>
      <c r="O5" s="1">
        <v>1</v>
      </c>
      <c r="P5" s="2">
        <f t="shared" si="1"/>
        <v>0.5</v>
      </c>
      <c r="R5" s="8" t="s">
        <v>6530</v>
      </c>
      <c r="T5" s="2" t="s">
        <v>354</v>
      </c>
      <c r="V5" s="2" t="s">
        <v>6531</v>
      </c>
      <c r="W5" s="13" t="s">
        <v>6532</v>
      </c>
      <c r="Y5" s="2">
        <f ca="1">YEAR(TODAY())</f>
        <v>2025</v>
      </c>
      <c r="Z5" s="2">
        <v>-4</v>
      </c>
      <c r="AA5" s="2">
        <f ca="1">YEAR(TODAY())</f>
        <v>2025</v>
      </c>
      <c r="AB5" s="2">
        <v>-4</v>
      </c>
      <c r="AD5" s="2" t="str">
        <f>'Port code'!B7&amp;"-"&amp;'Port code'!C7</f>
        <v>INADI1-Androth Island</v>
      </c>
      <c r="AN5" s="19" t="s">
        <v>6533</v>
      </c>
    </row>
    <row r="6" ht="15.75" customHeight="1" spans="2:40">
      <c r="B6" s="1" t="s">
        <v>6534</v>
      </c>
      <c r="D6" s="2" t="str">
        <f ca="1">IF(Y6&lt;2017,"","Jan-Mar "&amp;Y6)</f>
        <v>Jan-Mar 2024</v>
      </c>
      <c r="F6" s="3">
        <f ca="1" t="shared" si="0"/>
        <v>45778</v>
      </c>
      <c r="G6" s="1" t="s">
        <v>6535</v>
      </c>
      <c r="K6" s="1" t="s">
        <v>6536</v>
      </c>
      <c r="L6" s="2" t="s">
        <v>6537</v>
      </c>
      <c r="O6" s="1">
        <v>1.5</v>
      </c>
      <c r="P6" s="2">
        <f t="shared" si="1"/>
        <v>0.75</v>
      </c>
      <c r="R6" s="8" t="s">
        <v>6538</v>
      </c>
      <c r="T6" s="2" t="s">
        <v>548</v>
      </c>
      <c r="V6" t="s">
        <v>6539</v>
      </c>
      <c r="W6" s="13" t="s">
        <v>6540</v>
      </c>
      <c r="Y6" s="2">
        <f ca="1" t="shared" ref="Y6:Y37" si="2">Y2-1</f>
        <v>2024</v>
      </c>
      <c r="Z6" s="2">
        <v>-5</v>
      </c>
      <c r="AA6" s="2">
        <f ca="1" t="shared" ref="AA6:AA37" si="3">AA2-1</f>
        <v>2024</v>
      </c>
      <c r="AB6" s="2">
        <v>-5</v>
      </c>
      <c r="AD6" s="2" t="str">
        <f>'Port code'!B8&amp;"-"&amp;'Port code'!C8</f>
        <v>INAGI1-Agatti Island</v>
      </c>
      <c r="AN6" s="19" t="s">
        <v>6541</v>
      </c>
    </row>
    <row r="7" ht="15.75" customHeight="1" spans="4:40">
      <c r="D7" s="2" t="str">
        <f ca="1">IF(Y7&lt;2017,"","Apr-Jun "&amp;Y7)</f>
        <v>Apr-Jun 2024</v>
      </c>
      <c r="F7" s="3">
        <f ca="1" t="shared" si="0"/>
        <v>45748</v>
      </c>
      <c r="G7" s="4" t="s">
        <v>6542</v>
      </c>
      <c r="L7" s="2" t="s">
        <v>6543</v>
      </c>
      <c r="O7" s="1">
        <v>3</v>
      </c>
      <c r="P7" s="2">
        <f t="shared" si="1"/>
        <v>1.5</v>
      </c>
      <c r="R7" s="8" t="s">
        <v>6544</v>
      </c>
      <c r="T7" s="2" t="s">
        <v>388</v>
      </c>
      <c r="V7" t="s">
        <v>6545</v>
      </c>
      <c r="W7" s="13" t="s">
        <v>6546</v>
      </c>
      <c r="Y7" s="2">
        <f ca="1" t="shared" si="2"/>
        <v>2024</v>
      </c>
      <c r="Z7" s="2">
        <v>-6</v>
      </c>
      <c r="AA7" s="2">
        <f ca="1" t="shared" si="3"/>
        <v>2024</v>
      </c>
      <c r="AB7" s="2">
        <v>-6</v>
      </c>
      <c r="AD7" s="2" t="str">
        <f>'Port code'!B9&amp;"-"&amp;'Port code'!C9</f>
        <v>INAGR4-Agra</v>
      </c>
      <c r="AN7" s="19" t="s">
        <v>6547</v>
      </c>
    </row>
    <row r="8" ht="15.75" customHeight="1" spans="4:40">
      <c r="D8" s="2" t="str">
        <f ca="1">IF(Y8&lt;2017,"","Jul-Sep "&amp;Y8)</f>
        <v>Jul-Sep 2024</v>
      </c>
      <c r="F8" s="3">
        <f ca="1" t="shared" si="0"/>
        <v>45717</v>
      </c>
      <c r="L8" s="2" t="s">
        <v>557</v>
      </c>
      <c r="O8" s="1">
        <v>5</v>
      </c>
      <c r="P8" s="2">
        <f t="shared" si="1"/>
        <v>2.5</v>
      </c>
      <c r="R8" s="8" t="s">
        <v>6548</v>
      </c>
      <c r="T8" s="2" t="s">
        <v>370</v>
      </c>
      <c r="W8" s="13" t="s">
        <v>6513</v>
      </c>
      <c r="Y8" s="2">
        <f ca="1" t="shared" si="2"/>
        <v>2024</v>
      </c>
      <c r="Z8" s="2">
        <v>-7</v>
      </c>
      <c r="AA8" s="2">
        <f ca="1" t="shared" si="3"/>
        <v>2024</v>
      </c>
      <c r="AB8" s="2">
        <v>-7</v>
      </c>
      <c r="AD8" s="2" t="str">
        <f>'Port code'!B10&amp;"-"&amp;'Port code'!C10</f>
        <v>INAGR5-FPO AGRA</v>
      </c>
      <c r="AN8" s="19" t="s">
        <v>6549</v>
      </c>
    </row>
    <row r="9" ht="15.75" customHeight="1" spans="4:40">
      <c r="D9" s="2" t="str">
        <f ca="1">IF(Y9&lt;2017,"","Oct-Dec "&amp;Y9)</f>
        <v>Oct-Dec 2024</v>
      </c>
      <c r="F9" s="3">
        <f ca="1" t="shared" si="0"/>
        <v>45689</v>
      </c>
      <c r="O9" s="1">
        <v>7.5</v>
      </c>
      <c r="P9" s="2">
        <f t="shared" si="1"/>
        <v>3.75</v>
      </c>
      <c r="R9" s="8" t="s">
        <v>6550</v>
      </c>
      <c r="T9" s="2" t="s">
        <v>504</v>
      </c>
      <c r="W9" s="13" t="s">
        <v>6551</v>
      </c>
      <c r="Y9" s="2">
        <f ca="1" t="shared" si="2"/>
        <v>2024</v>
      </c>
      <c r="Z9" s="2">
        <v>-8</v>
      </c>
      <c r="AA9" s="2">
        <f ca="1" t="shared" si="3"/>
        <v>2024</v>
      </c>
      <c r="AB9" s="2">
        <v>-8</v>
      </c>
      <c r="AD9" s="2" t="str">
        <f>'Port code'!B11&amp;"-"&amp;'Port code'!C11</f>
        <v>INAGR6-Agra</v>
      </c>
      <c r="AN9" s="19" t="s">
        <v>557</v>
      </c>
    </row>
    <row r="10" ht="15.75" customHeight="1" spans="4:40">
      <c r="D10" s="2" t="str">
        <f ca="1">IF(Y10&lt;2017,"","Jan-Mar "&amp;Y10)</f>
        <v>Jan-Mar 2023</v>
      </c>
      <c r="F10" s="3">
        <f ca="1" t="shared" si="0"/>
        <v>45658</v>
      </c>
      <c r="O10" s="1">
        <v>12</v>
      </c>
      <c r="P10" s="2">
        <f t="shared" si="1"/>
        <v>6</v>
      </c>
      <c r="R10" s="8" t="s">
        <v>6552</v>
      </c>
      <c r="T10" s="2" t="s">
        <v>539</v>
      </c>
      <c r="W10" s="13" t="s">
        <v>649</v>
      </c>
      <c r="Y10" s="2">
        <f ca="1" t="shared" si="2"/>
        <v>2023</v>
      </c>
      <c r="Z10" s="2">
        <v>-9</v>
      </c>
      <c r="AA10" s="2">
        <f ca="1" t="shared" si="3"/>
        <v>2023</v>
      </c>
      <c r="AB10" s="2">
        <v>-9</v>
      </c>
      <c r="AD10" s="2" t="str">
        <f>'Port code'!B12&amp;"-"&amp;'Port code'!C12</f>
        <v>INAGTB-Agartala</v>
      </c>
      <c r="AN10" s="19" t="s">
        <v>6553</v>
      </c>
    </row>
    <row r="11" ht="15.75" customHeight="1" spans="4:40">
      <c r="D11" s="2" t="str">
        <f ca="1">IF(Y11&lt;2017,"","Apr-Jun "&amp;Y11)</f>
        <v>Apr-Jun 2023</v>
      </c>
      <c r="F11" s="3">
        <f ca="1" t="shared" si="0"/>
        <v>45627</v>
      </c>
      <c r="I11" s="6" t="s">
        <v>3439</v>
      </c>
      <c r="J11" s="6" t="s">
        <v>6554</v>
      </c>
      <c r="K11" s="6" t="s">
        <v>6555</v>
      </c>
      <c r="O11" s="1">
        <v>18</v>
      </c>
      <c r="P11" s="2">
        <f t="shared" si="1"/>
        <v>9</v>
      </c>
      <c r="R11" s="8" t="s">
        <v>6556</v>
      </c>
      <c r="T11" s="2" t="s">
        <v>346</v>
      </c>
      <c r="W11" s="13" t="s">
        <v>6557</v>
      </c>
      <c r="Y11" s="2">
        <f ca="1" t="shared" si="2"/>
        <v>2023</v>
      </c>
      <c r="Z11" s="2">
        <v>-10</v>
      </c>
      <c r="AA11" s="2">
        <f ca="1" t="shared" si="3"/>
        <v>2023</v>
      </c>
      <c r="AB11" s="2">
        <v>-10</v>
      </c>
      <c r="AD11" s="2" t="str">
        <f>'Port code'!B13&amp;"-"&amp;'Port code'!C13</f>
        <v>INAGX4-Agatti Island</v>
      </c>
      <c r="AN11" s="20" t="s">
        <v>6499</v>
      </c>
    </row>
    <row r="12" ht="15.75" customHeight="1" spans="4:30">
      <c r="D12" s="2" t="str">
        <f ca="1">IF(Y12&lt;2017,"","Jul-Sep "&amp;Y12)</f>
        <v>Jul-Sep 2023</v>
      </c>
      <c r="F12" s="3">
        <f ca="1" t="shared" si="0"/>
        <v>45597</v>
      </c>
      <c r="I12" s="2" t="s">
        <v>6558</v>
      </c>
      <c r="J12" s="2" t="s">
        <v>6559</v>
      </c>
      <c r="K12" s="2" t="s">
        <v>6560</v>
      </c>
      <c r="L12" s="6" t="s">
        <v>6561</v>
      </c>
      <c r="O12" s="1">
        <v>28</v>
      </c>
      <c r="P12" s="2">
        <f t="shared" si="1"/>
        <v>14</v>
      </c>
      <c r="R12" s="8" t="s">
        <v>6562</v>
      </c>
      <c r="T12" s="2" t="s">
        <v>512</v>
      </c>
      <c r="W12" s="13" t="s">
        <v>653</v>
      </c>
      <c r="Y12" s="2">
        <f ca="1" t="shared" si="2"/>
        <v>2023</v>
      </c>
      <c r="Z12" s="2">
        <v>-11</v>
      </c>
      <c r="AA12" s="2">
        <f ca="1" t="shared" si="3"/>
        <v>2023</v>
      </c>
      <c r="AB12" s="2">
        <v>-11</v>
      </c>
      <c r="AD12" s="2" t="str">
        <f>'Port code'!B14&amp;"-"&amp;'Port code'!C14</f>
        <v>INAHD6-ICD SANAND</v>
      </c>
    </row>
    <row r="13" ht="15.75" customHeight="1" spans="4:30">
      <c r="D13" s="2" t="str">
        <f ca="1">IF(Y13&lt;2017,"","Oct-Dec "&amp;Y13)</f>
        <v>Oct-Dec 2023</v>
      </c>
      <c r="F13" s="3">
        <f ca="1" t="shared" si="0"/>
        <v>45566</v>
      </c>
      <c r="G13" s="5">
        <v>65</v>
      </c>
      <c r="I13" s="2" t="s">
        <v>6563</v>
      </c>
      <c r="J13" s="7" t="s">
        <v>6564</v>
      </c>
      <c r="K13" s="2" t="s">
        <v>6565</v>
      </c>
      <c r="L13" s="2" t="s">
        <v>166</v>
      </c>
      <c r="O13">
        <v>40</v>
      </c>
      <c r="P13">
        <v>20</v>
      </c>
      <c r="R13" s="8" t="s">
        <v>6566</v>
      </c>
      <c r="T13" s="2" t="s">
        <v>336</v>
      </c>
      <c r="W13" s="13" t="s">
        <v>651</v>
      </c>
      <c r="Y13" s="2">
        <f ca="1" t="shared" si="2"/>
        <v>2023</v>
      </c>
      <c r="Z13" s="2">
        <v>-12</v>
      </c>
      <c r="AA13" s="2">
        <f ca="1" t="shared" si="3"/>
        <v>2023</v>
      </c>
      <c r="AB13" s="2">
        <v>-12</v>
      </c>
      <c r="AD13" s="2" t="str">
        <f>'Port code'!B15&amp;"-"&amp;'Port code'!C15</f>
        <v>INAIG6-GE PVT. LTD.</v>
      </c>
    </row>
    <row r="14" ht="15.75" customHeight="1" spans="4:30">
      <c r="D14" s="2" t="str">
        <f ca="1">IF(Y14&lt;2017,"","Jan-Mar "&amp;Y14)</f>
        <v>Jan-Mar 2022</v>
      </c>
      <c r="F14" s="3">
        <f ca="1" t="shared" si="0"/>
        <v>45536</v>
      </c>
      <c r="I14" s="2" t="s">
        <v>6567</v>
      </c>
      <c r="L14" s="2" t="s">
        <v>6568</v>
      </c>
      <c r="R14" s="8" t="s">
        <v>6569</v>
      </c>
      <c r="T14" s="2" t="s">
        <v>475</v>
      </c>
      <c r="V14" s="2" t="s">
        <v>5180</v>
      </c>
      <c r="W14" s="13" t="s">
        <v>6570</v>
      </c>
      <c r="Y14" s="2">
        <f ca="1" t="shared" si="2"/>
        <v>2022</v>
      </c>
      <c r="Z14" s="2">
        <v>-13</v>
      </c>
      <c r="AA14" s="2">
        <f ca="1" t="shared" si="3"/>
        <v>2022</v>
      </c>
      <c r="AB14" s="2">
        <v>-13</v>
      </c>
      <c r="AD14" s="2" t="str">
        <f>'Port code'!B16&amp;"-"&amp;'Port code'!C16</f>
        <v>INAII6-M/S IGATE GS LTD.</v>
      </c>
    </row>
    <row r="15" ht="15.75" customHeight="1" spans="4:30">
      <c r="D15" s="2" t="str">
        <f ca="1">IF(Y15&lt;2017,"","Apr-Jun "&amp;Y15)</f>
        <v>Apr-Jun 2022</v>
      </c>
      <c r="F15" s="3">
        <f ca="1" t="shared" si="0"/>
        <v>45505</v>
      </c>
      <c r="I15" s="2" t="s">
        <v>6571</v>
      </c>
      <c r="R15" s="8" t="s">
        <v>6572</v>
      </c>
      <c r="T15" s="2" t="s">
        <v>451</v>
      </c>
      <c r="V15" s="2" t="s">
        <v>6573</v>
      </c>
      <c r="W15" s="13" t="s">
        <v>6574</v>
      </c>
      <c r="Y15" s="2">
        <f ca="1" t="shared" si="2"/>
        <v>2022</v>
      </c>
      <c r="Z15" s="2">
        <v>-14</v>
      </c>
      <c r="AA15" s="2">
        <f ca="1" t="shared" si="3"/>
        <v>2022</v>
      </c>
      <c r="AB15" s="2">
        <v>-14</v>
      </c>
      <c r="AD15" s="2" t="str">
        <f>'Port code'!B17&amp;"-"&amp;'Port code'!C17</f>
        <v>INAIK6-IBRAHIMPURICD KHURJA</v>
      </c>
    </row>
    <row r="16" ht="15.75" customHeight="1" spans="4:30">
      <c r="D16" s="2" t="str">
        <f ca="1">IF(Y16&lt;2017,"","Jul-Sep "&amp;Y16)</f>
        <v>Jul-Sep 2022</v>
      </c>
      <c r="F16" s="3">
        <f ca="1" t="shared" si="0"/>
        <v>45474</v>
      </c>
      <c r="R16" s="8" t="s">
        <v>6575</v>
      </c>
      <c r="T16" s="2" t="s">
        <v>467</v>
      </c>
      <c r="W16" s="13" t="s">
        <v>6576</v>
      </c>
      <c r="Y16" s="2">
        <f ca="1" t="shared" si="2"/>
        <v>2022</v>
      </c>
      <c r="Z16" s="2">
        <v>-15</v>
      </c>
      <c r="AA16" s="2">
        <f ca="1" t="shared" si="3"/>
        <v>2022</v>
      </c>
      <c r="AB16" s="2">
        <v>-15</v>
      </c>
      <c r="AD16" s="2" t="str">
        <f>'Port code'!B18&amp;"-"&amp;'Port code'!C18</f>
        <v>INAIR6-SP PVT. LTD.</v>
      </c>
    </row>
    <row r="17" ht="15.75" customHeight="1" spans="4:30">
      <c r="D17" s="2" t="str">
        <f ca="1">IF(Y17&lt;2017,"","Oct-Dec "&amp;Y17)</f>
        <v>Oct-Dec 2022</v>
      </c>
      <c r="F17" s="3">
        <f ca="1" t="shared" si="0"/>
        <v>45444</v>
      </c>
      <c r="R17" s="8" t="s">
        <v>6577</v>
      </c>
      <c r="T17" s="2" t="s">
        <v>533</v>
      </c>
      <c r="W17" s="13" t="s">
        <v>6578</v>
      </c>
      <c r="Y17" s="2">
        <f ca="1" t="shared" si="2"/>
        <v>2022</v>
      </c>
      <c r="Z17" s="2">
        <v>-16</v>
      </c>
      <c r="AA17" s="2">
        <f ca="1" t="shared" si="3"/>
        <v>2022</v>
      </c>
      <c r="AB17" s="2">
        <v>-16</v>
      </c>
      <c r="AD17" s="2" t="str">
        <f>'Port code'!B19&amp;"-"&amp;'Port code'!C19</f>
        <v>INAJE6-WLSPUN ANJAR SEZ</v>
      </c>
    </row>
    <row r="18" ht="15.75" customHeight="1" spans="4:30">
      <c r="D18" s="2" t="str">
        <f ca="1">IF(Y18&lt;2017,"","Jan-Mar "&amp;Y18)</f>
        <v>Jan-Mar 2021</v>
      </c>
      <c r="F18" s="3">
        <f ca="1" t="shared" si="0"/>
        <v>45413</v>
      </c>
      <c r="R18" s="8" t="s">
        <v>6579</v>
      </c>
      <c r="T18" s="2" t="s">
        <v>459</v>
      </c>
      <c r="W18" s="13" t="s">
        <v>6580</v>
      </c>
      <c r="Y18" s="2">
        <f ca="1" t="shared" si="2"/>
        <v>2021</v>
      </c>
      <c r="Z18" s="2">
        <v>-17</v>
      </c>
      <c r="AA18" s="2">
        <f ca="1" t="shared" si="3"/>
        <v>2021</v>
      </c>
      <c r="AB18" s="2">
        <v>-17</v>
      </c>
      <c r="AD18" s="2" t="str">
        <f>'Port code'!B20&amp;"-"&amp;'Port code'!C20</f>
        <v>INAJJ6-Arakkonam Melpakkam</v>
      </c>
    </row>
    <row r="19" ht="15.75" customHeight="1" spans="4:30">
      <c r="D19" s="2" t="str">
        <f ca="1">IF(Y19&lt;2017,"","Apr-Jun "&amp;Y19)</f>
        <v>Apr-Jun 2021</v>
      </c>
      <c r="F19" s="3">
        <f ca="1" t="shared" si="0"/>
        <v>45383</v>
      </c>
      <c r="R19" s="8" t="s">
        <v>6581</v>
      </c>
      <c r="T19" s="2" t="s">
        <v>341</v>
      </c>
      <c r="W19" s="13" t="s">
        <v>6582</v>
      </c>
      <c r="Y19" s="2">
        <f ca="1" t="shared" si="2"/>
        <v>2021</v>
      </c>
      <c r="Z19" s="2">
        <v>-18</v>
      </c>
      <c r="AA19" s="2">
        <f ca="1" t="shared" si="3"/>
        <v>2021</v>
      </c>
      <c r="AB19" s="2">
        <v>-18</v>
      </c>
      <c r="AD19" s="2" t="str">
        <f>'Port code'!B21&amp;"-"&amp;'Port code'!C21</f>
        <v>INAJL4-Aizawl</v>
      </c>
    </row>
    <row r="20" ht="15.75" customHeight="1" spans="4:30">
      <c r="D20" s="2" t="str">
        <f ca="1">IF(Y20&lt;2017,"","Jul-Sep "&amp;Y20)</f>
        <v>Jul-Sep 2021</v>
      </c>
      <c r="F20" s="3">
        <f ca="1" t="shared" si="0"/>
        <v>45352</v>
      </c>
      <c r="R20" s="8" t="s">
        <v>6583</v>
      </c>
      <c r="T20" s="2" t="s">
        <v>553</v>
      </c>
      <c r="W20" s="13" t="s">
        <v>5061</v>
      </c>
      <c r="Y20" s="2">
        <f ca="1" t="shared" si="2"/>
        <v>2021</v>
      </c>
      <c r="Z20" s="2">
        <v>-19</v>
      </c>
      <c r="AA20" s="2">
        <f ca="1" t="shared" si="3"/>
        <v>2021</v>
      </c>
      <c r="AB20" s="2">
        <v>-19</v>
      </c>
      <c r="AD20" s="2" t="str">
        <f>'Port code'!B22&amp;"-"&amp;'Port code'!C22</f>
        <v>INAJM6-MUNDRA PORT SEZ</v>
      </c>
    </row>
    <row r="21" ht="15.75" customHeight="1" spans="4:30">
      <c r="D21" s="2" t="str">
        <f ca="1">IF(Y21&lt;2017,"","Oct-Dec "&amp;Y21)</f>
        <v>Oct-Dec 2021</v>
      </c>
      <c r="F21" s="3">
        <f ca="1" t="shared" si="0"/>
        <v>45323</v>
      </c>
      <c r="R21" s="8" t="s">
        <v>856</v>
      </c>
      <c r="T21" s="2" t="s">
        <v>407</v>
      </c>
      <c r="W21" s="13" t="s">
        <v>6584</v>
      </c>
      <c r="Y21" s="2">
        <f ca="1" t="shared" si="2"/>
        <v>2021</v>
      </c>
      <c r="Z21" s="2">
        <v>-20</v>
      </c>
      <c r="AA21" s="2">
        <f ca="1" t="shared" si="3"/>
        <v>2021</v>
      </c>
      <c r="AB21" s="2">
        <v>-20</v>
      </c>
      <c r="AD21" s="2" t="str">
        <f>'Port code'!B23&amp;"-"&amp;'Port code'!C23</f>
        <v>INAKB6-BIACPL SEZ</v>
      </c>
    </row>
    <row r="22" ht="15.75" customHeight="1" spans="4:30">
      <c r="D22" s="2" t="str">
        <f ca="1">IF(Y22&lt;2017,"","Jan-Mar "&amp;Y22)</f>
        <v>Jan-Mar 2020</v>
      </c>
      <c r="F22" s="3">
        <f ca="1" t="shared" si="0"/>
        <v>45292</v>
      </c>
      <c r="R22" s="8" t="s">
        <v>6585</v>
      </c>
      <c r="T22" s="2" t="s">
        <v>483</v>
      </c>
      <c r="W22" s="13" t="s">
        <v>6586</v>
      </c>
      <c r="Y22" s="2">
        <f ca="1" t="shared" si="2"/>
        <v>2020</v>
      </c>
      <c r="Z22" s="2">
        <v>-21</v>
      </c>
      <c r="AA22" s="2">
        <f ca="1" t="shared" si="3"/>
        <v>2020</v>
      </c>
      <c r="AB22" s="2">
        <v>-21</v>
      </c>
      <c r="AD22" s="2" t="str">
        <f>'Port code'!B24&amp;"-"&amp;'Port code'!C24</f>
        <v>INAKD4-Akola</v>
      </c>
    </row>
    <row r="23" ht="15.75" customHeight="1" spans="4:30">
      <c r="D23" s="2" t="str">
        <f ca="1">IF(Y23&lt;2017,"","Apr-Jun "&amp;Y23)</f>
        <v>Apr-Jun 2020</v>
      </c>
      <c r="F23" s="3">
        <f ca="1" t="shared" si="0"/>
        <v>45261</v>
      </c>
      <c r="R23" s="8" t="s">
        <v>871</v>
      </c>
      <c r="T23" s="2" t="s">
        <v>361</v>
      </c>
      <c r="W23" s="14" t="s">
        <v>6587</v>
      </c>
      <c r="Y23" s="2">
        <f ca="1" t="shared" si="2"/>
        <v>2020</v>
      </c>
      <c r="Z23" s="2">
        <v>-22</v>
      </c>
      <c r="AA23" s="2">
        <f ca="1" t="shared" si="3"/>
        <v>2020</v>
      </c>
      <c r="AB23" s="2">
        <v>-22</v>
      </c>
      <c r="AD23" s="2" t="str">
        <f>'Port code'!B25&amp;"-"&amp;'Port code'!C25</f>
        <v>INAKP6-APIICL SEZ</v>
      </c>
    </row>
    <row r="24" ht="15.75" customHeight="1" spans="4:30">
      <c r="D24" s="2" t="str">
        <f ca="1">IF(Y24&lt;2017,"","Jul-Sep "&amp;Y24)</f>
        <v>Jul-Sep 2020</v>
      </c>
      <c r="F24" s="3">
        <f ca="1" t="shared" si="0"/>
        <v>45231</v>
      </c>
      <c r="R24" s="8" t="s">
        <v>875</v>
      </c>
      <c r="T24" s="2" t="s">
        <v>435</v>
      </c>
      <c r="W24" s="14" t="s">
        <v>6588</v>
      </c>
      <c r="Y24" s="2">
        <f ca="1" t="shared" si="2"/>
        <v>2020</v>
      </c>
      <c r="Z24" s="2">
        <v>-23</v>
      </c>
      <c r="AA24" s="2">
        <f ca="1" t="shared" si="3"/>
        <v>2020</v>
      </c>
      <c r="AB24" s="2">
        <v>-23</v>
      </c>
      <c r="AD24" s="2" t="str">
        <f>'Port code'!B26&amp;"-"&amp;'Port code'!C26</f>
        <v>INAKR6-RPCIPL SEZ</v>
      </c>
    </row>
    <row r="25" ht="15.75" customHeight="1" spans="4:30">
      <c r="D25" s="2" t="str">
        <f ca="1">IF(Y25&lt;2017,"","Oct-Dec "&amp;Y25)</f>
        <v>Oct-Dec 2020</v>
      </c>
      <c r="F25" s="3">
        <f ca="1" t="shared" si="0"/>
        <v>45200</v>
      </c>
      <c r="R25" s="8" t="s">
        <v>882</v>
      </c>
      <c r="T25" s="2" t="s">
        <v>383</v>
      </c>
      <c r="Y25" s="2">
        <f ca="1" t="shared" si="2"/>
        <v>2020</v>
      </c>
      <c r="Z25" s="2">
        <v>-24</v>
      </c>
      <c r="AA25" s="2">
        <f ca="1" t="shared" si="3"/>
        <v>2020</v>
      </c>
      <c r="AB25" s="2">
        <v>-24</v>
      </c>
      <c r="AD25" s="2" t="str">
        <f>'Port code'!B27&amp;"-"&amp;'Port code'!C27</f>
        <v>INAKV6-Ankleshwar ICD</v>
      </c>
    </row>
    <row r="26" ht="15.75" customHeight="1" spans="4:30">
      <c r="D26" s="2"/>
      <c r="F26" s="3">
        <f ca="1" t="shared" si="0"/>
        <v>45170</v>
      </c>
      <c r="R26" s="8" t="s">
        <v>887</v>
      </c>
      <c r="T26" s="2" t="s">
        <v>6589</v>
      </c>
      <c r="Y26" s="2">
        <f ca="1" t="shared" si="2"/>
        <v>2019</v>
      </c>
      <c r="Z26" s="2">
        <v>-25</v>
      </c>
      <c r="AA26" s="2">
        <f ca="1" t="shared" si="3"/>
        <v>2019</v>
      </c>
      <c r="AB26" s="2">
        <v>-25</v>
      </c>
      <c r="AD26" s="2" t="str">
        <f>'Port code'!B28&amp;"-"&amp;'Port code'!C28</f>
        <v>INALA1-ALANG SBY</v>
      </c>
    </row>
    <row r="27" ht="15.75" customHeight="1" spans="4:30">
      <c r="D27" s="2"/>
      <c r="F27" s="3">
        <f ca="1" t="shared" si="0"/>
        <v>45139</v>
      </c>
      <c r="R27" s="8" t="s">
        <v>895</v>
      </c>
      <c r="T27" s="2" t="s">
        <v>6590</v>
      </c>
      <c r="Y27" s="2">
        <f ca="1" t="shared" si="2"/>
        <v>2019</v>
      </c>
      <c r="Z27" s="2">
        <v>-26</v>
      </c>
      <c r="AA27" s="2">
        <f ca="1" t="shared" si="3"/>
        <v>2019</v>
      </c>
      <c r="AB27" s="2">
        <v>-26</v>
      </c>
      <c r="AD27" s="2" t="str">
        <f>'Port code'!B29&amp;"-"&amp;'Port code'!C29</f>
        <v>INALF1-Allepey</v>
      </c>
    </row>
    <row r="28" ht="15.75" customHeight="1" spans="4:30">
      <c r="D28" s="2"/>
      <c r="F28" s="3">
        <f ca="1" t="shared" si="0"/>
        <v>45108</v>
      </c>
      <c r="R28" s="8" t="s">
        <v>901</v>
      </c>
      <c r="T28" s="2" t="s">
        <v>443</v>
      </c>
      <c r="Y28" s="2">
        <f ca="1" t="shared" si="2"/>
        <v>2019</v>
      </c>
      <c r="Z28" s="2">
        <v>-27</v>
      </c>
      <c r="AA28" s="2">
        <f ca="1" t="shared" si="3"/>
        <v>2019</v>
      </c>
      <c r="AB28" s="2">
        <v>-27</v>
      </c>
      <c r="AD28" s="2" t="str">
        <f>'Port code'!B30&amp;"-"&amp;'Port code'!C30</f>
        <v>INAMD4-Ahmedabad</v>
      </c>
    </row>
    <row r="29" ht="15.75" customHeight="1" spans="4:30">
      <c r="D29" s="2"/>
      <c r="F29" s="3">
        <f ca="1" t="shared" si="0"/>
        <v>45078</v>
      </c>
      <c r="R29" s="8" t="s">
        <v>908</v>
      </c>
      <c r="T29" s="2" t="s">
        <v>415</v>
      </c>
      <c r="Y29" s="2">
        <f ca="1" t="shared" si="2"/>
        <v>2019</v>
      </c>
      <c r="Z29" s="2">
        <v>-28</v>
      </c>
      <c r="AA29" s="2">
        <f ca="1" t="shared" si="3"/>
        <v>2019</v>
      </c>
      <c r="AB29" s="2">
        <v>-28</v>
      </c>
      <c r="AD29" s="2" t="str">
        <f>'Port code'!B31&amp;"-"&amp;'Port code'!C31</f>
        <v>INAMD5-Ahmedabad</v>
      </c>
    </row>
    <row r="30" ht="15.75" customHeight="1" spans="4:30">
      <c r="D30" s="2"/>
      <c r="F30" s="3">
        <f ca="1" t="shared" si="0"/>
        <v>45047</v>
      </c>
      <c r="R30" s="8" t="s">
        <v>914</v>
      </c>
      <c r="T30" s="2" t="s">
        <v>375</v>
      </c>
      <c r="Y30" s="2">
        <f ca="1" t="shared" si="2"/>
        <v>2018</v>
      </c>
      <c r="Z30" s="2">
        <v>-29</v>
      </c>
      <c r="AA30" s="2">
        <f ca="1" t="shared" si="3"/>
        <v>2018</v>
      </c>
      <c r="AB30" s="2">
        <v>-29</v>
      </c>
      <c r="AD30" s="2" t="str">
        <f>'Port code'!B32&amp;"-"&amp;'Port code'!C32</f>
        <v>INAMD6-Ahmedabad</v>
      </c>
    </row>
    <row r="31" ht="15.75" customHeight="1" spans="4:30">
      <c r="D31" s="2"/>
      <c r="F31" s="3">
        <f ca="1" t="shared" si="0"/>
        <v>45017</v>
      </c>
      <c r="R31" s="8" t="s">
        <v>918</v>
      </c>
      <c r="T31" s="2" t="s">
        <v>6591</v>
      </c>
      <c r="Y31" s="2">
        <f ca="1" t="shared" si="2"/>
        <v>2018</v>
      </c>
      <c r="Z31" s="2">
        <v>-30</v>
      </c>
      <c r="AA31" s="2">
        <f ca="1" t="shared" si="3"/>
        <v>2018</v>
      </c>
      <c r="AB31" s="2">
        <v>-30</v>
      </c>
      <c r="AD31" s="2" t="str">
        <f>'Port code'!B33&amp;"-"&amp;'Port code'!C33</f>
        <v>INAMG6-Amingaon (Gauhati)</v>
      </c>
    </row>
    <row r="32" ht="15.75" customHeight="1" spans="4:30">
      <c r="D32" s="2"/>
      <c r="F32" s="3">
        <f ca="1" t="shared" si="0"/>
        <v>44986</v>
      </c>
      <c r="R32" s="8" t="s">
        <v>923</v>
      </c>
      <c r="T32" s="2" t="s">
        <v>423</v>
      </c>
      <c r="Y32" s="2">
        <f ca="1" t="shared" si="2"/>
        <v>2018</v>
      </c>
      <c r="Z32" s="2">
        <v>-31</v>
      </c>
      <c r="AA32" s="2">
        <f ca="1" t="shared" si="3"/>
        <v>2018</v>
      </c>
      <c r="AB32" s="2">
        <v>-31</v>
      </c>
      <c r="AD32" s="2" t="str">
        <f>'Port code'!B34&amp;"-"&amp;'Port code'!C34</f>
        <v>INAMI1-Amini Island</v>
      </c>
    </row>
    <row r="33" ht="15.75" customHeight="1" spans="4:30">
      <c r="D33" s="2"/>
      <c r="F33" s="3">
        <f ca="1" t="shared" si="0"/>
        <v>44958</v>
      </c>
      <c r="R33" s="8" t="s">
        <v>928</v>
      </c>
      <c r="T33" s="2" t="s">
        <v>518</v>
      </c>
      <c r="Y33" s="2">
        <f ca="1" t="shared" si="2"/>
        <v>2018</v>
      </c>
      <c r="Z33" s="2">
        <v>-32</v>
      </c>
      <c r="AA33" s="2">
        <f ca="1" t="shared" si="3"/>
        <v>2018</v>
      </c>
      <c r="AB33" s="2">
        <v>-32</v>
      </c>
      <c r="AD33" s="2" t="str">
        <f>'Port code'!B35&amp;"-"&amp;'Port code'!C35</f>
        <v>INAMK6-KSITIL/SEZ/ALAPPUZHA</v>
      </c>
    </row>
    <row r="34" ht="15.75" customHeight="1" spans="4:30">
      <c r="D34" s="2"/>
      <c r="F34" s="3">
        <f ca="1" t="shared" si="0"/>
        <v>44927</v>
      </c>
      <c r="R34" s="8" t="s">
        <v>934</v>
      </c>
      <c r="T34" s="2" t="s">
        <v>491</v>
      </c>
      <c r="Y34" s="2">
        <f ca="1" t="shared" si="2"/>
        <v>2017</v>
      </c>
      <c r="Z34" s="2">
        <v>-33</v>
      </c>
      <c r="AA34" s="2">
        <f ca="1" t="shared" si="3"/>
        <v>2017</v>
      </c>
      <c r="AB34" s="2">
        <v>-33</v>
      </c>
      <c r="AD34" s="2" t="str">
        <f>'Port code'!B36&amp;"-"&amp;'Port code'!C36</f>
        <v>INANG1-Anijengo</v>
      </c>
    </row>
    <row r="35" ht="15.75" customHeight="1" spans="4:30">
      <c r="D35" s="2"/>
      <c r="F35" s="3">
        <f ca="1" t="shared" si="0"/>
        <v>44896</v>
      </c>
      <c r="R35" s="8" t="s">
        <v>940</v>
      </c>
      <c r="T35" s="2" t="s">
        <v>324</v>
      </c>
      <c r="Y35" s="2">
        <f ca="1" t="shared" si="2"/>
        <v>2017</v>
      </c>
      <c r="Z35" s="2">
        <v>-34</v>
      </c>
      <c r="AA35" s="2">
        <f ca="1" t="shared" si="3"/>
        <v>2017</v>
      </c>
      <c r="AB35" s="2">
        <v>-34</v>
      </c>
      <c r="AD35" s="2" t="str">
        <f>'Port code'!B37&amp;"-"&amp;'Port code'!C37</f>
        <v>INANL1-Arnala</v>
      </c>
    </row>
    <row r="36" ht="15.75" customHeight="1" spans="4:30">
      <c r="D36" s="2"/>
      <c r="F36" s="3">
        <f ca="1" t="shared" si="0"/>
        <v>44866</v>
      </c>
      <c r="R36" s="8" t="s">
        <v>947</v>
      </c>
      <c r="T36" s="2" t="s">
        <v>6592</v>
      </c>
      <c r="Y36" s="2">
        <f ca="1" t="shared" si="2"/>
        <v>2017</v>
      </c>
      <c r="Z36" s="2">
        <v>-35</v>
      </c>
      <c r="AA36" s="2">
        <f ca="1" t="shared" si="3"/>
        <v>2017</v>
      </c>
      <c r="AB36" s="2">
        <v>-35</v>
      </c>
      <c r="AD36" s="2" t="str">
        <f>'Port code'!B38&amp;"-"&amp;'Port code'!C38</f>
        <v>INAPI6-AAP-SEZ AHMEDABAD</v>
      </c>
    </row>
    <row r="37" ht="15.75" customHeight="1" spans="4:30">
      <c r="D37" s="2"/>
      <c r="F37" s="3">
        <f ca="1" t="shared" si="0"/>
        <v>44835</v>
      </c>
      <c r="R37" s="8" t="s">
        <v>953</v>
      </c>
      <c r="T37" s="2" t="s">
        <v>331</v>
      </c>
      <c r="Y37" s="2">
        <f ca="1" t="shared" si="2"/>
        <v>2017</v>
      </c>
      <c r="Z37" s="2">
        <v>-36</v>
      </c>
      <c r="AA37" s="2">
        <f ca="1" t="shared" si="3"/>
        <v>2017</v>
      </c>
      <c r="AB37" s="2">
        <v>-36</v>
      </c>
      <c r="AD37" s="2" t="str">
        <f>'Port code'!B39&amp;"-"&amp;'Port code'!C39</f>
        <v>INAPL6-Dadri ACPL CFS</v>
      </c>
    </row>
    <row r="38" ht="15.75" customHeight="1" spans="6:30">
      <c r="F38" s="3"/>
      <c r="R38" s="8" t="s">
        <v>959</v>
      </c>
      <c r="T38" s="2" t="s">
        <v>562</v>
      </c>
      <c r="AD38" s="2" t="str">
        <f>'Port code'!B40&amp;"-"&amp;'Port code'!C40</f>
        <v>INAPT6-Anaparti</v>
      </c>
    </row>
    <row r="39" ht="15.75" customHeight="1" spans="4:30">
      <c r="D39" s="2" t="str">
        <f ca="1">IF(Y39&lt;2017,"","Jan-Mar "&amp;Y39)</f>
        <v/>
      </c>
      <c r="F39" s="3">
        <f ca="1" t="shared" ref="F39:F102" si="4">IF(EOMONTH(TODAY(),AB39)+1&lt;$Y$1,"",EOMONTH(TODAY(),AB39)+1)</f>
        <v>44805</v>
      </c>
      <c r="R39" s="8" t="s">
        <v>965</v>
      </c>
      <c r="T39" s="2" t="s">
        <v>6593</v>
      </c>
      <c r="Y39" s="2">
        <f ca="1">Y34-1</f>
        <v>2016</v>
      </c>
      <c r="Z39" s="2">
        <v>-37</v>
      </c>
      <c r="AA39" s="2">
        <f ca="1">AA34-1</f>
        <v>2016</v>
      </c>
      <c r="AB39" s="2">
        <v>-37</v>
      </c>
      <c r="AD39" s="2" t="str">
        <f>'Port code'!B41&amp;"-"&amp;'Port code'!C41</f>
        <v>INARR6-Aroor</v>
      </c>
    </row>
    <row r="40" ht="15.75" customHeight="1" spans="4:30">
      <c r="D40" s="2" t="str">
        <f ca="1">IF(Y40&lt;2017,"","Apr-Jun "&amp;Y40)</f>
        <v/>
      </c>
      <c r="F40" s="3">
        <f ca="1" t="shared" si="4"/>
        <v>44774</v>
      </c>
      <c r="R40" s="8" t="s">
        <v>972</v>
      </c>
      <c r="T40" s="2" t="s">
        <v>6594</v>
      </c>
      <c r="Y40" s="2">
        <f ca="1">Y35-1</f>
        <v>2016</v>
      </c>
      <c r="Z40" s="2">
        <v>-38</v>
      </c>
      <c r="AA40" s="2">
        <f ca="1">AA35-1</f>
        <v>2016</v>
      </c>
      <c r="AB40" s="2">
        <v>-38</v>
      </c>
      <c r="AD40" s="2" t="str">
        <f>'Port code'!B42&amp;"-"&amp;'Port code'!C42</f>
        <v>INASR2-Amritsar Railway Stn</v>
      </c>
    </row>
    <row r="41" ht="15.75" customHeight="1" spans="4:30">
      <c r="D41" s="2" t="str">
        <f ca="1">IF(Y41&lt;2017,"","Jul-Sep "&amp;Y41)</f>
        <v/>
      </c>
      <c r="F41" s="3">
        <f ca="1" t="shared" si="4"/>
        <v>44743</v>
      </c>
      <c r="R41" s="8" t="s">
        <v>978</v>
      </c>
      <c r="Y41" s="2">
        <f ca="1">Y36-1</f>
        <v>2016</v>
      </c>
      <c r="Z41" s="2">
        <v>-39</v>
      </c>
      <c r="AA41" s="2">
        <f ca="1">AA36-1</f>
        <v>2016</v>
      </c>
      <c r="AB41" s="2">
        <v>-39</v>
      </c>
      <c r="AD41" s="2" t="str">
        <f>'Port code'!B43&amp;"-"&amp;'Port code'!C43</f>
        <v>INASR6-Amritsar</v>
      </c>
    </row>
    <row r="42" ht="15.75" customHeight="1" spans="4:30">
      <c r="D42" s="2" t="str">
        <f ca="1">IF(Y42&lt;2017,"","Oct-Dec "&amp;Y42)</f>
        <v/>
      </c>
      <c r="F42" s="3">
        <f ca="1" t="shared" si="4"/>
        <v>44713</v>
      </c>
      <c r="R42" s="8" t="s">
        <v>985</v>
      </c>
      <c r="Y42" s="2">
        <f ca="1">Y37-1</f>
        <v>2016</v>
      </c>
      <c r="Z42" s="2">
        <v>-40</v>
      </c>
      <c r="AA42" s="2">
        <f ca="1">AA37-1</f>
        <v>2016</v>
      </c>
      <c r="AB42" s="2">
        <v>-40</v>
      </c>
      <c r="AD42" s="2" t="str">
        <f>'Port code'!B44&amp;"-"&amp;'Port code'!C44</f>
        <v>INATQ4-Amritsar</v>
      </c>
    </row>
    <row r="43" ht="15.75" customHeight="1" spans="4:30">
      <c r="D43" s="2" t="str">
        <f ca="1">IF(Y43&lt;2017,"","Jan-Mar "&amp;Y43)</f>
        <v/>
      </c>
      <c r="F43" s="3">
        <f ca="1" t="shared" si="4"/>
        <v>44682</v>
      </c>
      <c r="R43" s="8" t="s">
        <v>992</v>
      </c>
      <c r="Y43" s="2">
        <f ca="1">Y39-1</f>
        <v>2015</v>
      </c>
      <c r="Z43" s="2">
        <v>-41</v>
      </c>
      <c r="AA43" s="2">
        <f ca="1">AA39-1</f>
        <v>2015</v>
      </c>
      <c r="AB43" s="2">
        <v>-41</v>
      </c>
      <c r="AD43" s="2" t="str">
        <f>'Port code'!B45&amp;"-"&amp;'Port code'!C45</f>
        <v>INATQ6-Amritsar</v>
      </c>
    </row>
    <row r="44" ht="15.75" customHeight="1" spans="4:30">
      <c r="D44" s="2" t="str">
        <f ca="1">IF(Y44&lt;2017,"","Apr-Jun "&amp;Y44)</f>
        <v/>
      </c>
      <c r="F44" s="3">
        <f ca="1" t="shared" si="4"/>
        <v>44652</v>
      </c>
      <c r="R44" s="8" t="s">
        <v>998</v>
      </c>
      <c r="Y44" s="2">
        <f ca="1">Y40-1</f>
        <v>2015</v>
      </c>
      <c r="Z44" s="2">
        <v>-42</v>
      </c>
      <c r="AA44" s="2">
        <f ca="1">AA40-1</f>
        <v>2015</v>
      </c>
      <c r="AB44" s="2">
        <v>-42</v>
      </c>
      <c r="AD44" s="2" t="str">
        <f>'Port code'!B46&amp;"-"&amp;'Port code'!C46</f>
        <v>INATRB-Attari Road</v>
      </c>
    </row>
    <row r="45" ht="15.75" customHeight="1" spans="4:30">
      <c r="D45" s="2" t="str">
        <f ca="1">IF(Y45&lt;2017,"","Jul-Sep "&amp;Y45)</f>
        <v/>
      </c>
      <c r="F45" s="3">
        <f ca="1" t="shared" si="4"/>
        <v>44621</v>
      </c>
      <c r="R45" s="8" t="s">
        <v>1003</v>
      </c>
      <c r="Y45" s="2">
        <f ca="1">Y41-1</f>
        <v>2015</v>
      </c>
      <c r="Z45" s="2">
        <v>-43</v>
      </c>
      <c r="AA45" s="2">
        <f ca="1">AA41-1</f>
        <v>2015</v>
      </c>
      <c r="AB45" s="2">
        <v>-43</v>
      </c>
      <c r="AD45" s="2" t="str">
        <f>'Port code'!B47&amp;"-"&amp;'Port code'!C47</f>
        <v>INATT2-Attari Railway Stat</v>
      </c>
    </row>
    <row r="46" ht="15.75" customHeight="1" spans="4:30">
      <c r="D46" s="2" t="str">
        <f ca="1">IF(Y46&lt;2017,"","Oct-Dec "&amp;Y46)</f>
        <v/>
      </c>
      <c r="F46" s="3">
        <f ca="1" t="shared" si="4"/>
        <v>44593</v>
      </c>
      <c r="R46" s="10" t="s">
        <v>6595</v>
      </c>
      <c r="S46" s="2"/>
      <c r="Y46" s="2">
        <f ca="1">Y42-1</f>
        <v>2015</v>
      </c>
      <c r="Z46" s="2">
        <v>-44</v>
      </c>
      <c r="AA46" s="2">
        <f ca="1">AA42-1</f>
        <v>2015</v>
      </c>
      <c r="AB46" s="2">
        <v>-44</v>
      </c>
      <c r="AD46" s="2" t="str">
        <f>'Port code'!B48&amp;"-"&amp;'Port code'!C48</f>
        <v>INAWM6-SEZ, SHENDRA</v>
      </c>
    </row>
    <row r="47" ht="15.75" customHeight="1" spans="6:30">
      <c r="F47" s="3">
        <f ca="1" t="shared" si="4"/>
        <v>44562</v>
      </c>
      <c r="Z47" s="2">
        <v>-45</v>
      </c>
      <c r="AB47" s="2">
        <v>-45</v>
      </c>
      <c r="AD47" s="2" t="str">
        <f>'Port code'!B49&amp;"-"&amp;'Port code'!C49</f>
        <v>INAWS6-SOMANI SEZ BHIWADI</v>
      </c>
    </row>
    <row r="48" ht="15.75" customHeight="1" spans="6:30">
      <c r="F48" s="3">
        <f ca="1" t="shared" si="4"/>
        <v>44531</v>
      </c>
      <c r="Z48" s="2">
        <v>-46</v>
      </c>
      <c r="AB48" s="2">
        <v>-46</v>
      </c>
      <c r="AD48" s="2" t="str">
        <f>'Port code'!B50&amp;"-"&amp;'Port code'!C50</f>
        <v>INAWW6-WIDL AEZ, AURANGABAD</v>
      </c>
    </row>
    <row r="49" ht="15.75" customHeight="1" spans="6:30">
      <c r="F49" s="3">
        <f ca="1" t="shared" si="4"/>
        <v>44501</v>
      </c>
      <c r="Z49" s="2">
        <v>-47</v>
      </c>
      <c r="AB49" s="2">
        <v>-47</v>
      </c>
      <c r="AD49" s="2" t="str">
        <f>'Port code'!B51&amp;"-"&amp;'Port code'!C51</f>
        <v>INAZK1-Azhikkal</v>
      </c>
    </row>
    <row r="50" ht="15.75" customHeight="1" spans="6:30">
      <c r="F50" s="3">
        <f ca="1" t="shared" si="4"/>
        <v>44470</v>
      </c>
      <c r="Z50" s="2">
        <v>-48</v>
      </c>
      <c r="AB50" s="2">
        <v>-48</v>
      </c>
      <c r="AD50" s="2" t="str">
        <f>'Port code'!B52&amp;"-"&amp;'Port code'!C52</f>
        <v>INBAG6-GEM&amp;JEWEL-SEZ/ULWE</v>
      </c>
    </row>
    <row r="51" ht="15.75" customHeight="1" spans="6:30">
      <c r="F51" s="3">
        <f ca="1" t="shared" si="4"/>
        <v>44440</v>
      </c>
      <c r="Z51" s="2">
        <v>-49</v>
      </c>
      <c r="AB51" s="2">
        <v>-49</v>
      </c>
      <c r="AD51" s="2" t="str">
        <f>'Port code'!B53&amp;"-"&amp;'Port code'!C53</f>
        <v>INBAI6-IT/ITES-B-SEZ/ULWE</v>
      </c>
    </row>
    <row r="52" ht="15.75" customHeight="1" spans="6:30">
      <c r="F52" s="3">
        <f ca="1" t="shared" si="4"/>
        <v>44409</v>
      </c>
      <c r="Z52" s="2">
        <v>-50</v>
      </c>
      <c r="AB52" s="2">
        <v>-50</v>
      </c>
      <c r="AD52" s="2" t="str">
        <f>'Port code'!B54&amp;"-"&amp;'Port code'!C54</f>
        <v>INBAM6-MULTISERVCE-SEZ/ULWE</v>
      </c>
    </row>
    <row r="53" ht="15.75" customHeight="1" spans="6:30">
      <c r="F53" s="3">
        <f ca="1" t="shared" si="4"/>
        <v>44378</v>
      </c>
      <c r="Z53" s="2">
        <v>-51</v>
      </c>
      <c r="AB53" s="2">
        <v>-51</v>
      </c>
      <c r="AD53" s="2" t="str">
        <f>'Port code'!B55&amp;"-"&amp;'Port code'!C55</f>
        <v>INBAP6-MULTISERVICEDRONAGIR</v>
      </c>
    </row>
    <row r="54" ht="15.75" customHeight="1" spans="6:30">
      <c r="F54" s="3">
        <f ca="1" t="shared" si="4"/>
        <v>44348</v>
      </c>
      <c r="Z54" s="2">
        <v>-52</v>
      </c>
      <c r="AB54" s="2">
        <v>-52</v>
      </c>
      <c r="AD54" s="2" t="str">
        <f>'Port code'!B56&amp;"-"&amp;'Port code'!C56</f>
        <v>INBAT6-IT/ITES-C SEZ/UIWE</v>
      </c>
    </row>
    <row r="55" ht="15.75" customHeight="1" spans="6:30">
      <c r="F55" s="3">
        <f ca="1" t="shared" si="4"/>
        <v>44317</v>
      </c>
      <c r="Z55" s="2">
        <v>-53</v>
      </c>
      <c r="AB55" s="2">
        <v>-53</v>
      </c>
      <c r="AD55" s="2" t="str">
        <f>'Port code'!B57&amp;"-"&amp;'Port code'!C57</f>
        <v>INBAU6-IT/ITES-A-SEZ/ULWE</v>
      </c>
    </row>
    <row r="56" ht="15.75" customHeight="1" spans="6:30">
      <c r="F56" s="3">
        <f ca="1" t="shared" si="4"/>
        <v>44287</v>
      </c>
      <c r="Z56" s="2">
        <v>-54</v>
      </c>
      <c r="AB56" s="2">
        <v>-54</v>
      </c>
      <c r="AD56" s="2" t="str">
        <f>'Port code'!B58&amp;"-"&amp;'Port code'!C58</f>
        <v>INBAW6-ICD BAWAL</v>
      </c>
    </row>
    <row r="57" ht="15.75" customHeight="1" spans="6:30">
      <c r="F57" s="3">
        <f ca="1" t="shared" si="4"/>
        <v>44256</v>
      </c>
      <c r="Z57" s="2">
        <v>-55</v>
      </c>
      <c r="AB57" s="2">
        <v>-55</v>
      </c>
      <c r="AD57" s="2" t="str">
        <f>'Port code'!B59&amp;"-"&amp;'Port code'!C59</f>
        <v>INBBI4-Bhubaneswar</v>
      </c>
    </row>
    <row r="58" ht="15.75" customHeight="1" spans="6:30">
      <c r="F58" s="3">
        <f ca="1" t="shared" si="4"/>
        <v>44228</v>
      </c>
      <c r="Z58" s="2">
        <v>-56</v>
      </c>
      <c r="AB58" s="2">
        <v>-56</v>
      </c>
      <c r="AD58" s="2" t="str">
        <f>'Port code'!B60&amp;"-"&amp;'Port code'!C60</f>
        <v>INBBM6-Bari Brahamna ICD</v>
      </c>
    </row>
    <row r="59" ht="15.75" customHeight="1" spans="6:30">
      <c r="F59" s="3">
        <f ca="1" t="shared" si="4"/>
        <v>44197</v>
      </c>
      <c r="Z59" s="2">
        <v>-57</v>
      </c>
      <c r="AB59" s="2">
        <v>-57</v>
      </c>
      <c r="AD59" s="2" t="str">
        <f>'Port code'!B61&amp;"-"&amp;'Port code'!C61</f>
        <v>INBBP1-Bahabal Pur</v>
      </c>
    </row>
    <row r="60" ht="15.75" customHeight="1" spans="6:30">
      <c r="F60" s="3">
        <f ca="1" t="shared" si="4"/>
        <v>44166</v>
      </c>
      <c r="Z60" s="2">
        <v>-58</v>
      </c>
      <c r="AB60" s="2">
        <v>-58</v>
      </c>
      <c r="AD60" s="2" t="str">
        <f>'Port code'!B62&amp;"-"&amp;'Port code'!C62</f>
        <v>INBBS6-SEZ, OIIDC, BHUBANES</v>
      </c>
    </row>
    <row r="61" ht="15.75" customHeight="1" spans="6:30">
      <c r="F61" s="3">
        <f ca="1" t="shared" si="4"/>
        <v>44136</v>
      </c>
      <c r="Z61" s="2">
        <v>-59</v>
      </c>
      <c r="AB61" s="2">
        <v>-59</v>
      </c>
      <c r="AD61" s="2" t="str">
        <f>'Port code'!B63&amp;"-"&amp;'Port code'!C63</f>
        <v>INBCH6-HARI SEZ VARANASI</v>
      </c>
    </row>
    <row r="62" ht="15.75" customHeight="1" spans="6:30">
      <c r="F62" s="3">
        <f ca="1" t="shared" si="4"/>
        <v>44105</v>
      </c>
      <c r="Z62" s="2">
        <v>-60</v>
      </c>
      <c r="AB62" s="2">
        <v>-60</v>
      </c>
      <c r="AD62" s="2" t="str">
        <f>'Port code'!B64&amp;"-"&amp;'Port code'!C64</f>
        <v>INBCO6-EURO MULTIVISION SEZ</v>
      </c>
    </row>
    <row r="63" ht="15.75" customHeight="1" spans="6:30">
      <c r="F63" s="3">
        <f ca="1" t="shared" si="4"/>
        <v>44075</v>
      </c>
      <c r="Z63" s="2">
        <v>-61</v>
      </c>
      <c r="AB63" s="2">
        <v>-61</v>
      </c>
      <c r="AD63" s="2" t="str">
        <f>'Port code'!B65&amp;"-"&amp;'Port code'!C65</f>
        <v>INBCP6-PRITECH/SEZ/BANGLORE</v>
      </c>
    </row>
    <row r="64" ht="15.75" customHeight="1" spans="6:30">
      <c r="F64" s="3">
        <f ca="1" t="shared" si="4"/>
        <v>44044</v>
      </c>
      <c r="Z64" s="2">
        <v>-62</v>
      </c>
      <c r="AB64" s="2">
        <v>-62</v>
      </c>
      <c r="AD64" s="2" t="str">
        <f>'Port code'!B66&amp;"-"&amp;'Port code'!C66</f>
        <v>INBDB6-PRECIOUSCARGOCUSTOMS</v>
      </c>
    </row>
    <row r="65" ht="15.75" customHeight="1" spans="6:30">
      <c r="F65" s="3">
        <f ca="1" t="shared" si="4"/>
        <v>44013</v>
      </c>
      <c r="Z65" s="2">
        <v>-63</v>
      </c>
      <c r="AB65" s="2">
        <v>-63</v>
      </c>
      <c r="AD65" s="2" t="str">
        <f>'Port code'!B67&amp;"-"&amp;'Port code'!C67</f>
        <v>INBDG1-Badagara</v>
      </c>
    </row>
    <row r="66" ht="15.75" customHeight="1" spans="6:30">
      <c r="F66" s="3">
        <f ca="1" t="shared" si="4"/>
        <v>43983</v>
      </c>
      <c r="Z66" s="2">
        <v>-64</v>
      </c>
      <c r="AB66" s="2">
        <v>-64</v>
      </c>
      <c r="AD66" s="2" t="str">
        <f>'Port code'!B68&amp;"-"&amp;'Port code'!C68</f>
        <v>INBDH6-ICD BADOHI</v>
      </c>
    </row>
    <row r="67" ht="15.75" customHeight="1" spans="6:30">
      <c r="F67" s="3">
        <f ca="1" t="shared" si="4"/>
        <v>43952</v>
      </c>
      <c r="Z67" s="2">
        <v>-65</v>
      </c>
      <c r="AB67" s="2">
        <v>-65</v>
      </c>
      <c r="AD67" s="2" t="str">
        <f>'Port code'!B69&amp;"-"&amp;'Port code'!C69</f>
        <v>INBDI6-ICD BADDI,</v>
      </c>
    </row>
    <row r="68" ht="15.75" customHeight="1" spans="6:30">
      <c r="F68" s="3">
        <f ca="1" t="shared" si="4"/>
        <v>43922</v>
      </c>
      <c r="Z68" s="2">
        <v>-66</v>
      </c>
      <c r="AB68" s="2">
        <v>-66</v>
      </c>
      <c r="AD68" s="2" t="str">
        <f>'Port code'!B70&amp;"-"&amp;'Port code'!C70</f>
        <v>INBDM6-ICD, PANCHI, SONIPAT</v>
      </c>
    </row>
    <row r="69" ht="15.75" customHeight="1" spans="6:30">
      <c r="F69" s="3">
        <f ca="1" t="shared" si="4"/>
        <v>43891</v>
      </c>
      <c r="Z69" s="2">
        <v>-67</v>
      </c>
      <c r="AB69" s="2">
        <v>-67</v>
      </c>
      <c r="AD69" s="2" t="str">
        <f>'Port code'!B71&amp;"-"&amp;'Port code'!C71</f>
        <v>INBDQ1-Vadodara</v>
      </c>
    </row>
    <row r="70" ht="15.75" customHeight="1" spans="6:30">
      <c r="F70" s="3">
        <f ca="1" t="shared" si="4"/>
        <v>43862</v>
      </c>
      <c r="Z70" s="2">
        <v>-68</v>
      </c>
      <c r="AB70" s="2">
        <v>-68</v>
      </c>
      <c r="AD70" s="2" t="str">
        <f>'Port code'!B72&amp;"-"&amp;'Port code'!C72</f>
        <v>INBDR1-Baindur</v>
      </c>
    </row>
    <row r="71" ht="15.75" customHeight="1" spans="6:30">
      <c r="F71" s="3">
        <f ca="1" t="shared" si="4"/>
        <v>43831</v>
      </c>
      <c r="Z71" s="2">
        <v>-69</v>
      </c>
      <c r="AB71" s="2">
        <v>-69</v>
      </c>
      <c r="AD71" s="2" t="str">
        <f>'Port code'!B73&amp;"-"&amp;'Port code'!C73</f>
        <v>INBED1-Bedi</v>
      </c>
    </row>
    <row r="72" ht="15.75" customHeight="1" spans="6:30">
      <c r="F72" s="3">
        <f ca="1" t="shared" si="4"/>
        <v>43800</v>
      </c>
      <c r="Z72" s="2">
        <v>-70</v>
      </c>
      <c r="AB72" s="2">
        <v>-70</v>
      </c>
      <c r="AD72" s="2" t="str">
        <f>'Port code'!B74&amp;"-"&amp;'Port code'!C74</f>
        <v>INBEK4-Bareilly</v>
      </c>
    </row>
    <row r="73" ht="15.75" customHeight="1" spans="6:30">
      <c r="F73" s="3">
        <f ca="1" t="shared" si="4"/>
        <v>43770</v>
      </c>
      <c r="Z73" s="2">
        <v>-71</v>
      </c>
      <c r="AB73" s="2">
        <v>-71</v>
      </c>
      <c r="AD73" s="2" t="str">
        <f>'Port code'!B75&amp;"-"&amp;'Port code'!C75</f>
        <v>INBEP4-Bellary</v>
      </c>
    </row>
    <row r="74" ht="15.75" customHeight="1" spans="6:30">
      <c r="F74" s="3">
        <f ca="1" t="shared" si="4"/>
        <v>43739</v>
      </c>
      <c r="Z74" s="2">
        <v>-72</v>
      </c>
      <c r="AB74" s="2">
        <v>-72</v>
      </c>
      <c r="AD74" s="2" t="str">
        <f>'Port code'!B76&amp;"-"&amp;'Port code'!C76</f>
        <v>INBET1-Betul</v>
      </c>
    </row>
    <row r="75" ht="15.75" customHeight="1" spans="6:30">
      <c r="F75" s="3">
        <f ca="1" t="shared" si="4"/>
        <v>43709</v>
      </c>
      <c r="Z75" s="2">
        <v>-73</v>
      </c>
      <c r="AB75" s="2">
        <v>-73</v>
      </c>
      <c r="AD75" s="2" t="str">
        <f>'Port code'!B77&amp;"-"&amp;'Port code'!C77</f>
        <v>INBEY1-Beypore</v>
      </c>
    </row>
    <row r="76" ht="15.75" customHeight="1" spans="6:30">
      <c r="F76" s="3">
        <f ca="1" t="shared" si="4"/>
        <v>43678</v>
      </c>
      <c r="Z76" s="2">
        <v>-74</v>
      </c>
      <c r="AB76" s="2">
        <v>-74</v>
      </c>
      <c r="AD76" s="2" t="str">
        <f>'Port code'!B78&amp;"-"&amp;'Port code'!C78</f>
        <v>INBFR6-M/S GRFL, ICD, BALLA</v>
      </c>
    </row>
    <row r="77" ht="15.75" customHeight="1" spans="6:30">
      <c r="F77" s="3">
        <f ca="1" t="shared" si="4"/>
        <v>43647</v>
      </c>
      <c r="Z77" s="2">
        <v>-75</v>
      </c>
      <c r="AB77" s="2">
        <v>-75</v>
      </c>
      <c r="AD77" s="2" t="str">
        <f>'Port code'!B79&amp;"-"&amp;'Port code'!C79</f>
        <v>INBGK6-Bhagat ki Kothi Jodh</v>
      </c>
    </row>
    <row r="78" ht="15.75" customHeight="1" spans="6:30">
      <c r="F78" s="3">
        <f ca="1" t="shared" si="4"/>
        <v>43617</v>
      </c>
      <c r="Z78" s="2">
        <v>-76</v>
      </c>
      <c r="AB78" s="2">
        <v>-76</v>
      </c>
      <c r="AD78" s="2" t="str">
        <f>'Port code'!B80&amp;"-"&amp;'Port code'!C80</f>
        <v>INBGMB-Baghmara</v>
      </c>
    </row>
    <row r="79" ht="15.75" customHeight="1" spans="6:30">
      <c r="F79" s="3">
        <f ca="1" t="shared" si="4"/>
        <v>43586</v>
      </c>
      <c r="Z79" s="2">
        <v>-77</v>
      </c>
      <c r="AB79" s="2">
        <v>-77</v>
      </c>
      <c r="AD79" s="2" t="str">
        <f>'Port code'!B81&amp;"-"&amp;'Port code'!C81</f>
        <v>INBGQ6-QUEST SEZ BELGAUM</v>
      </c>
    </row>
    <row r="80" ht="15.75" customHeight="1" spans="6:30">
      <c r="F80" s="3">
        <f ca="1" t="shared" si="4"/>
        <v>43556</v>
      </c>
      <c r="Z80" s="2">
        <v>-78</v>
      </c>
      <c r="AB80" s="2">
        <v>-78</v>
      </c>
      <c r="AD80" s="2" t="str">
        <f>'Port code'!B82&amp;"-"&amp;'Port code'!C82</f>
        <v>INBGUB-Bairgania</v>
      </c>
    </row>
    <row r="81" ht="15.75" customHeight="1" spans="6:30">
      <c r="F81" s="3">
        <f ca="1" t="shared" si="4"/>
        <v>43525</v>
      </c>
      <c r="Z81" s="2">
        <v>-79</v>
      </c>
      <c r="AB81" s="2">
        <v>-79</v>
      </c>
      <c r="AD81" s="2" t="str">
        <f>'Port code'!B83&amp;"-"&amp;'Port code'!C83</f>
        <v>INBGW1-Bhagwa</v>
      </c>
    </row>
    <row r="82" ht="15.75" customHeight="1" spans="6:30">
      <c r="F82" s="3">
        <f ca="1" t="shared" si="4"/>
        <v>43497</v>
      </c>
      <c r="Z82" s="2">
        <v>-80</v>
      </c>
      <c r="AB82" s="2">
        <v>-80</v>
      </c>
      <c r="AD82" s="2" t="str">
        <f>'Port code'!B84&amp;"-"&amp;'Port code'!C84</f>
        <v>INBHC6-JUBILANT/SEZ/VILAYAT</v>
      </c>
    </row>
    <row r="83" ht="15.75" customHeight="1" spans="6:30">
      <c r="F83" s="3">
        <f ca="1" t="shared" si="4"/>
        <v>43466</v>
      </c>
      <c r="Z83" s="2">
        <v>-81</v>
      </c>
      <c r="AB83" s="2">
        <v>-81</v>
      </c>
      <c r="AD83" s="2" t="str">
        <f>'Port code'!B85&amp;"-"&amp;'Port code'!C85</f>
        <v>INBHD6-DAHEZ SEZ</v>
      </c>
    </row>
    <row r="84" ht="15.75" customHeight="1" spans="6:30">
      <c r="F84" s="3">
        <f ca="1" t="shared" si="4"/>
        <v>43435</v>
      </c>
      <c r="Z84" s="2">
        <v>-82</v>
      </c>
      <c r="AB84" s="2">
        <v>-82</v>
      </c>
      <c r="AD84" s="2" t="str">
        <f>'Port code'!B86&amp;"-"&amp;'Port code'!C86</f>
        <v>INBHJ4-Bhuj</v>
      </c>
    </row>
    <row r="85" ht="15.75" customHeight="1" spans="6:30">
      <c r="F85" s="3">
        <f ca="1" t="shared" si="4"/>
        <v>43405</v>
      </c>
      <c r="Z85" s="2">
        <v>-83</v>
      </c>
      <c r="AB85" s="2">
        <v>-83</v>
      </c>
      <c r="AD85" s="2" t="str">
        <f>'Port code'!B87&amp;"-"&amp;'Port code'!C87</f>
        <v>INBHL6-Bhilwara</v>
      </c>
    </row>
    <row r="86" ht="15.75" customHeight="1" spans="6:30">
      <c r="F86" s="3">
        <f ca="1" t="shared" si="4"/>
        <v>43374</v>
      </c>
      <c r="Z86" s="2">
        <v>-84</v>
      </c>
      <c r="AB86" s="2">
        <v>-84</v>
      </c>
      <c r="AD86" s="2" t="str">
        <f>'Port code'!B88&amp;"-"&amp;'Port code'!C88</f>
        <v>INBHM1-Bheemunipatnam</v>
      </c>
    </row>
    <row r="87" ht="15.75" customHeight="1" spans="6:30">
      <c r="F87" s="3">
        <f ca="1" t="shared" si="4"/>
        <v>43344</v>
      </c>
      <c r="Z87" s="2">
        <v>-85</v>
      </c>
      <c r="AB87" s="2">
        <v>-85</v>
      </c>
      <c r="AD87" s="2" t="str">
        <f>'Port code'!B89&amp;"-"&amp;'Port code'!C89</f>
        <v>INBHO4-Bhopal</v>
      </c>
    </row>
    <row r="88" ht="15.75" customHeight="1" spans="6:30">
      <c r="F88" s="3">
        <f ca="1" t="shared" si="4"/>
        <v>43313</v>
      </c>
      <c r="Z88" s="2">
        <v>-86</v>
      </c>
      <c r="AB88" s="2">
        <v>-86</v>
      </c>
      <c r="AD88" s="2" t="str">
        <f>'Port code'!B90&amp;"-"&amp;'Port code'!C90</f>
        <v>INBHS6-STERLING BHARUCH</v>
      </c>
    </row>
    <row r="89" ht="15.75" customHeight="1" spans="6:30">
      <c r="F89" s="3">
        <f ca="1" t="shared" si="4"/>
        <v>43282</v>
      </c>
      <c r="Z89" s="2">
        <v>-87</v>
      </c>
      <c r="AB89" s="2">
        <v>-87</v>
      </c>
      <c r="AD89" s="2" t="str">
        <f>'Port code'!B91&amp;"-"&amp;'Port code'!C91</f>
        <v>INBHU1-Bhavanagar</v>
      </c>
    </row>
    <row r="90" ht="15.75" customHeight="1" spans="6:30">
      <c r="F90" s="3">
        <f ca="1" t="shared" si="4"/>
        <v>43252</v>
      </c>
      <c r="Z90" s="2">
        <v>-88</v>
      </c>
      <c r="AB90" s="2">
        <v>-88</v>
      </c>
      <c r="AD90" s="2" t="str">
        <f>'Port code'!B92&amp;"-"&amp;'Port code'!C92</f>
        <v>INBHU4-Bhavanagar</v>
      </c>
    </row>
    <row r="91" ht="15.75" customHeight="1" spans="6:30">
      <c r="F91" s="3">
        <f ca="1" t="shared" si="4"/>
        <v>43221</v>
      </c>
      <c r="Z91" s="2">
        <v>-89</v>
      </c>
      <c r="AB91" s="2">
        <v>-89</v>
      </c>
      <c r="AD91" s="2" t="str">
        <f>'Port code'!B93&amp;"-"&amp;'Port code'!C93</f>
        <v>INBKB4-Bikaner</v>
      </c>
    </row>
    <row r="92" ht="15.75" customHeight="1" spans="6:30">
      <c r="F92" s="3">
        <f ca="1" t="shared" si="4"/>
        <v>43191</v>
      </c>
      <c r="Z92" s="2">
        <v>-90</v>
      </c>
      <c r="AB92" s="2">
        <v>-90</v>
      </c>
      <c r="AD92" s="2" t="str">
        <f>'Port code'!B94&amp;"-"&amp;'Port code'!C94</f>
        <v>INBKR1-Belekeri</v>
      </c>
    </row>
    <row r="93" ht="15.75" customHeight="1" spans="6:30">
      <c r="F93" s="3">
        <f ca="1" t="shared" si="4"/>
        <v>43160</v>
      </c>
      <c r="Z93" s="2">
        <v>-91</v>
      </c>
      <c r="AB93" s="2">
        <v>-91</v>
      </c>
      <c r="AD93" s="2" t="str">
        <f>'Port code'!B95&amp;"-"&amp;'Port code'!C95</f>
        <v>INBKT1-Bankot</v>
      </c>
    </row>
    <row r="94" ht="15.75" customHeight="1" spans="6:30">
      <c r="F94" s="3">
        <f ca="1" t="shared" si="4"/>
        <v>43132</v>
      </c>
      <c r="Z94" s="2">
        <v>-92</v>
      </c>
      <c r="AB94" s="2">
        <v>-92</v>
      </c>
      <c r="AD94" s="2" t="str">
        <f>'Port code'!B96&amp;"-"&amp;'Port code'!C96</f>
        <v>INBLC6-CESSNA/SEZ/BANGALORE</v>
      </c>
    </row>
    <row r="95" ht="15.75" customHeight="1" spans="6:30">
      <c r="F95" s="3">
        <f ca="1" t="shared" si="4"/>
        <v>43101</v>
      </c>
      <c r="Z95" s="2">
        <v>-93</v>
      </c>
      <c r="AB95" s="2">
        <v>-93</v>
      </c>
      <c r="AD95" s="2" t="str">
        <f>'Port code'!B97&amp;"-"&amp;'Port code'!C97</f>
        <v>INBLE6-CONCOR ICD BALASORE</v>
      </c>
    </row>
    <row r="96" ht="15.75" customHeight="1" spans="6:30">
      <c r="F96" s="3">
        <f ca="1" t="shared" si="4"/>
        <v>43070</v>
      </c>
      <c r="Z96" s="2">
        <v>-94</v>
      </c>
      <c r="AB96" s="2">
        <v>-94</v>
      </c>
      <c r="AD96" s="2" t="str">
        <f>'Port code'!B98&amp;"-"&amp;'Port code'!C98</f>
        <v>INBLJ6-Agra</v>
      </c>
    </row>
    <row r="97" ht="15.75" customHeight="1" spans="6:30">
      <c r="F97" s="3">
        <f ca="1" t="shared" si="4"/>
        <v>43040</v>
      </c>
      <c r="Z97" s="2">
        <v>-95</v>
      </c>
      <c r="AB97" s="2">
        <v>-95</v>
      </c>
      <c r="AD97" s="2" t="str">
        <f>'Port code'!B99&amp;"-"&amp;'Port code'!C99</f>
        <v>INBLK1-Belekeri</v>
      </c>
    </row>
    <row r="98" ht="15.75" customHeight="1" spans="6:30">
      <c r="F98" s="3">
        <f ca="1" t="shared" si="4"/>
        <v>43009</v>
      </c>
      <c r="Z98" s="2">
        <v>-96</v>
      </c>
      <c r="AB98" s="2">
        <v>-96</v>
      </c>
      <c r="AD98" s="2" t="str">
        <f>'Port code'!B100&amp;"-"&amp;'Port code'!C100</f>
        <v>INBLM1-Bilimora</v>
      </c>
    </row>
    <row r="99" ht="15.75" customHeight="1" spans="6:30">
      <c r="F99" s="3">
        <f ca="1" t="shared" si="4"/>
        <v>42979</v>
      </c>
      <c r="Z99" s="2">
        <v>-97</v>
      </c>
      <c r="AB99" s="2">
        <v>-97</v>
      </c>
      <c r="AD99" s="2" t="str">
        <f>'Port code'!B101&amp;"-"&amp;'Port code'!C101</f>
        <v>INBLP1-Belapur</v>
      </c>
    </row>
    <row r="100" ht="15.75" customHeight="1" spans="6:30">
      <c r="F100" s="3">
        <f ca="1" t="shared" si="4"/>
        <v>42948</v>
      </c>
      <c r="Z100" s="2">
        <v>-98</v>
      </c>
      <c r="AB100" s="2">
        <v>-98</v>
      </c>
      <c r="AD100" s="2" t="str">
        <f>'Port code'!B102&amp;"-"&amp;'Port code'!C102</f>
        <v>INBLR4-Bangalore</v>
      </c>
    </row>
    <row r="101" ht="15.75" customHeight="1" spans="6:30">
      <c r="F101" s="3">
        <f ca="1" t="shared" si="4"/>
        <v>42917</v>
      </c>
      <c r="Z101" s="2">
        <v>-99</v>
      </c>
      <c r="AB101" s="2">
        <v>-99</v>
      </c>
      <c r="AD101" s="2" t="str">
        <f>'Port code'!B103&amp;"-"&amp;'Port code'!C103</f>
        <v>INBLR5-Bangalore</v>
      </c>
    </row>
    <row r="102" ht="15.75" customHeight="1" spans="6:30">
      <c r="F102" s="3" t="str">
        <f ca="1" t="shared" si="4"/>
        <v/>
      </c>
      <c r="Z102" s="2">
        <v>-100</v>
      </c>
      <c r="AB102" s="2">
        <v>-100</v>
      </c>
      <c r="AD102" s="2" t="str">
        <f>'Port code'!B104&amp;"-"&amp;'Port code'!C104</f>
        <v>INBLR6-Bangalore</v>
      </c>
    </row>
    <row r="103" ht="15.75" customHeight="1" spans="6:30">
      <c r="F103" s="3" t="str">
        <f ca="1" t="shared" ref="F103:F166" si="5">IF(EOMONTH(TODAY(),AB103)+1&lt;$Y$1,"",EOMONTH(TODAY(),AB103)+1)</f>
        <v/>
      </c>
      <c r="Z103" s="2">
        <v>-101</v>
      </c>
      <c r="AB103" s="2">
        <v>-101</v>
      </c>
      <c r="AD103" s="2" t="str">
        <f>'Port code'!B105&amp;"-"&amp;'Port code'!C105</f>
        <v>INBLTB-Balet</v>
      </c>
    </row>
    <row r="104" ht="15.75" customHeight="1" spans="6:30">
      <c r="F104" s="3" t="str">
        <f ca="1" t="shared" si="5"/>
        <v/>
      </c>
      <c r="Z104" s="2">
        <v>-102</v>
      </c>
      <c r="AB104" s="2">
        <v>-102</v>
      </c>
      <c r="AD104" s="2" t="str">
        <f>'Port code'!B106&amp;"-"&amp;'Port code'!C106</f>
        <v>INBLV6-VTV/SEZ/BANGALORE</v>
      </c>
    </row>
    <row r="105" ht="15.75" customHeight="1" spans="6:30">
      <c r="F105" s="3" t="str">
        <f ca="1" t="shared" si="5"/>
        <v/>
      </c>
      <c r="Z105" s="2">
        <v>-103</v>
      </c>
      <c r="AB105" s="2">
        <v>-103</v>
      </c>
      <c r="AD105" s="2" t="str">
        <f>'Port code'!B107&amp;"-"&amp;'Port code'!C107</f>
        <v>INBMA6-APIIC PRAKASHAM</v>
      </c>
    </row>
    <row r="106" ht="15.75" customHeight="1" spans="6:30">
      <c r="F106" s="3" t="str">
        <f ca="1" t="shared" si="5"/>
        <v/>
      </c>
      <c r="Z106" s="2">
        <v>-104</v>
      </c>
      <c r="AB106" s="2">
        <v>-104</v>
      </c>
      <c r="AD106" s="2" t="str">
        <f>'Port code'!B108&amp;"-"&amp;'Port code'!C108</f>
        <v>INBMR2-Barmer Railway Stati</v>
      </c>
    </row>
    <row r="107" ht="15.75" customHeight="1" spans="6:30">
      <c r="F107" s="3" t="str">
        <f ca="1" t="shared" si="5"/>
        <v/>
      </c>
      <c r="Z107" s="2">
        <v>-105</v>
      </c>
      <c r="AB107" s="2">
        <v>-105</v>
      </c>
      <c r="AD107" s="2" t="str">
        <f>'Port code'!B109&amp;"-"&amp;'Port code'!C109</f>
        <v>INBNC6-KBITS SEZ BANGALORE</v>
      </c>
    </row>
    <row r="108" ht="15.75" customHeight="1" spans="6:30">
      <c r="F108" s="3" t="str">
        <f ca="1" t="shared" si="5"/>
        <v/>
      </c>
      <c r="Z108" s="2">
        <v>-106</v>
      </c>
      <c r="AB108" s="2">
        <v>-106</v>
      </c>
      <c r="AD108" s="2" t="str">
        <f>'Port code'!B110&amp;"-"&amp;'Port code'!C110</f>
        <v>INBND1-Bandra</v>
      </c>
    </row>
    <row r="109" ht="15.75" customHeight="1" spans="6:30">
      <c r="F109" s="3" t="str">
        <f ca="1" t="shared" si="5"/>
        <v/>
      </c>
      <c r="Z109" s="2">
        <v>-107</v>
      </c>
      <c r="AB109" s="2">
        <v>-107</v>
      </c>
      <c r="AD109" s="2" t="str">
        <f>'Port code'!B111&amp;"-"&amp;'Port code'!C111</f>
        <v>INBNG6-MAHAGAON ICD, THANE</v>
      </c>
    </row>
    <row r="110" ht="15.75" customHeight="1" spans="6:30">
      <c r="F110" s="3" t="str">
        <f ca="1" t="shared" si="5"/>
        <v/>
      </c>
      <c r="Z110" s="2">
        <v>-108</v>
      </c>
      <c r="AB110" s="2">
        <v>-108</v>
      </c>
      <c r="AD110" s="2" t="str">
        <f>'Port code'!B112&amp;"-"&amp;'Port code'!C112</f>
        <v>INBNK6-KOLKATA IT PARK</v>
      </c>
    </row>
    <row r="111" ht="15.75" customHeight="1" spans="6:30">
      <c r="F111" s="3" t="str">
        <f ca="1" t="shared" si="5"/>
        <v/>
      </c>
      <c r="Z111" s="2">
        <v>-109</v>
      </c>
      <c r="AB111" s="2">
        <v>-109</v>
      </c>
      <c r="AD111" s="2" t="str">
        <f>'Port code'!B113&amp;"-"&amp;'Port code'!C113</f>
        <v>INBNP1-Bheemunipatnam</v>
      </c>
    </row>
    <row r="112" ht="15.75" customHeight="1" spans="6:30">
      <c r="F112" s="3" t="str">
        <f ca="1" t="shared" si="5"/>
        <v/>
      </c>
      <c r="Z112" s="2">
        <v>-110</v>
      </c>
      <c r="AB112" s="2">
        <v>-110</v>
      </c>
      <c r="AD112" s="2" t="str">
        <f>'Port code'!B114&amp;"-"&amp;'Port code'!C114</f>
        <v>INBNRB-Bhimnagar</v>
      </c>
    </row>
    <row r="113" ht="15.75" customHeight="1" spans="6:30">
      <c r="F113" s="3" t="str">
        <f ca="1" t="shared" si="5"/>
        <v/>
      </c>
      <c r="Z113" s="2">
        <v>-111</v>
      </c>
      <c r="AB113" s="2">
        <v>-111</v>
      </c>
      <c r="AD113" s="2" t="str">
        <f>'Port code'!B115&amp;"-"&amp;'Port code'!C115</f>
        <v>INBNT6-TCS</v>
      </c>
    </row>
    <row r="114" ht="15.75" customHeight="1" spans="6:30">
      <c r="F114" s="3" t="str">
        <f ca="1" t="shared" si="5"/>
        <v/>
      </c>
      <c r="Z114" s="2">
        <v>-112</v>
      </c>
      <c r="AB114" s="2">
        <v>-112</v>
      </c>
      <c r="AD114" s="2" t="str">
        <f>'Port code'!B116&amp;"-"&amp;'Port code'!C116</f>
        <v>INBNW6-WIPRO SEZ</v>
      </c>
    </row>
    <row r="115" ht="15.75" customHeight="1" spans="6:30">
      <c r="F115" s="3" t="str">
        <f ca="1" t="shared" si="5"/>
        <v/>
      </c>
      <c r="Z115" s="2">
        <v>-113</v>
      </c>
      <c r="AB115" s="2">
        <v>-113</v>
      </c>
      <c r="AD115" s="2" t="str">
        <f>'Port code'!B117&amp;"-"&amp;'Port code'!C117</f>
        <v>INBNX6-CANDOR ONE HTSPL,SEZ</v>
      </c>
    </row>
    <row r="116" ht="15.75" customHeight="1" spans="6:30">
      <c r="F116" s="3" t="str">
        <f ca="1" t="shared" si="5"/>
        <v/>
      </c>
      <c r="Z116" s="2">
        <v>-114</v>
      </c>
      <c r="AB116" s="2">
        <v>-114</v>
      </c>
      <c r="AD116" s="2" t="str">
        <f>'Port code'!B118&amp;"-"&amp;'Port code'!C118</f>
        <v>INBNYB-Berhni</v>
      </c>
    </row>
    <row r="117" ht="15.75" customHeight="1" spans="6:30">
      <c r="F117" s="3" t="str">
        <f ca="1" t="shared" si="5"/>
        <v/>
      </c>
      <c r="Z117" s="2">
        <v>-115</v>
      </c>
      <c r="AB117" s="2">
        <v>-115</v>
      </c>
      <c r="AD117" s="2" t="str">
        <f>'Port code'!B119&amp;"-"&amp;'Port code'!C119</f>
        <v>INBOK6-BORKHEDI ICD NAGPUR</v>
      </c>
    </row>
    <row r="118" ht="15.75" customHeight="1" spans="6:30">
      <c r="F118" s="3" t="str">
        <f ca="1" t="shared" si="5"/>
        <v/>
      </c>
      <c r="Z118" s="2">
        <v>-116</v>
      </c>
      <c r="AB118" s="2">
        <v>-116</v>
      </c>
      <c r="AD118" s="2" t="str">
        <f>'Port code'!B120&amp;"-"&amp;'Port code'!C120</f>
        <v>INBOLB-Bolanganj</v>
      </c>
    </row>
    <row r="119" ht="15.75" customHeight="1" spans="6:30">
      <c r="F119" s="3" t="str">
        <f ca="1" t="shared" si="5"/>
        <v/>
      </c>
      <c r="Z119" s="2">
        <v>-117</v>
      </c>
      <c r="AB119" s="2">
        <v>-117</v>
      </c>
      <c r="AD119" s="2" t="str">
        <f>'Port code'!B121&amp;"-"&amp;'Port code'!C121</f>
        <v>INBOM1-Mumbai (Ex Bombay)</v>
      </c>
    </row>
    <row r="120" ht="15.75" customHeight="1" spans="6:30">
      <c r="F120" s="3" t="str">
        <f ca="1" t="shared" si="5"/>
        <v/>
      </c>
      <c r="Z120" s="2">
        <v>-118</v>
      </c>
      <c r="AB120" s="2">
        <v>-118</v>
      </c>
      <c r="AD120" s="2" t="str">
        <f>'Port code'!B122&amp;"-"&amp;'Port code'!C122</f>
        <v>INBOM4-Mumbai (Ex Bombay)</v>
      </c>
    </row>
    <row r="121" ht="15.75" customHeight="1" spans="6:30">
      <c r="F121" s="3" t="str">
        <f ca="1" t="shared" si="5"/>
        <v/>
      </c>
      <c r="Z121" s="2">
        <v>-119</v>
      </c>
      <c r="AB121" s="2">
        <v>-119</v>
      </c>
      <c r="AD121" s="2" t="str">
        <f>'Port code'!B123&amp;"-"&amp;'Port code'!C123</f>
        <v>INBOM5-Mumbai (Ex Bombay)</v>
      </c>
    </row>
    <row r="122" ht="15.75" customHeight="1" spans="6:30">
      <c r="F122" s="3" t="str">
        <f ca="1" t="shared" si="5"/>
        <v/>
      </c>
      <c r="Z122" s="2">
        <v>-120</v>
      </c>
      <c r="AB122" s="2">
        <v>-120</v>
      </c>
      <c r="AD122" s="2" t="str">
        <f>'Port code'!B124&amp;"-"&amp;'Port code'!C124</f>
        <v>INBOM6-Mumbai(EPZ/SEZ)</v>
      </c>
    </row>
    <row r="123" ht="15.75" customHeight="1" spans="6:30">
      <c r="F123" s="3" t="str">
        <f ca="1" t="shared" si="5"/>
        <v/>
      </c>
      <c r="Z123" s="2">
        <v>-121</v>
      </c>
      <c r="AB123" s="2">
        <v>-121</v>
      </c>
      <c r="AD123" s="2" t="str">
        <f>'Port code'!B125&amp;"-"&amp;'Port code'!C125</f>
        <v>INBPL5-BHOPAL FPO</v>
      </c>
    </row>
    <row r="124" ht="15.75" customHeight="1" spans="6:30">
      <c r="F124" s="3" t="str">
        <f ca="1" t="shared" si="5"/>
        <v/>
      </c>
      <c r="Z124" s="2">
        <v>-122</v>
      </c>
      <c r="AB124" s="2">
        <v>-122</v>
      </c>
      <c r="AD124" s="2" t="str">
        <f>'Port code'!B126&amp;"-"&amp;'Port code'!C126</f>
        <v>INBPS5-APSO MUMBAI</v>
      </c>
    </row>
    <row r="125" ht="15.75" customHeight="1" spans="6:30">
      <c r="F125" s="3" t="str">
        <f ca="1" t="shared" si="5"/>
        <v/>
      </c>
      <c r="Z125" s="2">
        <v>-123</v>
      </c>
      <c r="AB125" s="2">
        <v>-123</v>
      </c>
      <c r="AD125" s="2" t="str">
        <f>'Port code'!B127&amp;"-"&amp;'Port code'!C127</f>
        <v>INBRAB-Barsora</v>
      </c>
    </row>
    <row r="126" ht="15.75" customHeight="1" spans="6:30">
      <c r="F126" s="3" t="str">
        <f ca="1" t="shared" si="5"/>
        <v/>
      </c>
      <c r="Z126" s="2">
        <v>-124</v>
      </c>
      <c r="AB126" s="2">
        <v>-124</v>
      </c>
      <c r="AD126" s="2" t="str">
        <f>'Port code'!B128&amp;"-"&amp;'Port code'!C128</f>
        <v>INBRC6-Baroda</v>
      </c>
    </row>
    <row r="127" ht="15.75" customHeight="1" spans="6:30">
      <c r="F127" s="3" t="str">
        <f ca="1" t="shared" si="5"/>
        <v/>
      </c>
      <c r="Z127" s="2">
        <v>-125</v>
      </c>
      <c r="AB127" s="2">
        <v>-125</v>
      </c>
      <c r="AD127" s="2" t="str">
        <f>'Port code'!B129&amp;"-"&amp;'Port code'!C129</f>
        <v>INBRH1-Broach</v>
      </c>
    </row>
    <row r="128" ht="15.75" customHeight="1" spans="6:30">
      <c r="F128" s="3" t="str">
        <f ca="1" t="shared" si="5"/>
        <v/>
      </c>
      <c r="Z128" s="2">
        <v>-126</v>
      </c>
      <c r="AB128" s="2">
        <v>-126</v>
      </c>
      <c r="AD128" s="2" t="str">
        <f>'Port code'!B130&amp;"-"&amp;'Port code'!C130</f>
        <v>INBRI6-RNBIPL SEZ BIKANER</v>
      </c>
    </row>
    <row r="129" ht="15.75" customHeight="1" spans="6:30">
      <c r="F129" s="3" t="str">
        <f ca="1" t="shared" si="5"/>
        <v/>
      </c>
      <c r="Z129" s="2">
        <v>-127</v>
      </c>
      <c r="AB129" s="2">
        <v>-127</v>
      </c>
      <c r="AD129" s="2" t="str">
        <f>'Port code'!B131&amp;"-"&amp;'Port code'!C131</f>
        <v>INBRL6-L &amp; T/SEZ/VADODARA</v>
      </c>
    </row>
    <row r="130" ht="15.75" customHeight="1" spans="6:30">
      <c r="F130" s="3" t="str">
        <f ca="1" t="shared" si="5"/>
        <v/>
      </c>
      <c r="Z130" s="2">
        <v>-128</v>
      </c>
      <c r="AB130" s="2">
        <v>-128</v>
      </c>
      <c r="AD130" s="2" t="str">
        <f>'Port code'!B132&amp;"-"&amp;'Port code'!C132</f>
        <v>INBRM1-Borlai ¿ Mandla</v>
      </c>
    </row>
    <row r="131" ht="15.75" customHeight="1" spans="6:30">
      <c r="F131" s="3" t="str">
        <f ca="1" t="shared" si="5"/>
        <v/>
      </c>
      <c r="Z131" s="2">
        <v>-129</v>
      </c>
      <c r="AB131" s="2">
        <v>-129</v>
      </c>
      <c r="AD131" s="2" t="str">
        <f>'Port code'!B133&amp;"-"&amp;'Port code'!C133</f>
        <v>INBRS6-S E &amp; C/SEZ/WAGHODIA</v>
      </c>
    </row>
    <row r="132" ht="15.75" customHeight="1" spans="6:30">
      <c r="F132" s="3" t="str">
        <f ca="1" t="shared" si="5"/>
        <v/>
      </c>
      <c r="Z132" s="2">
        <v>-130</v>
      </c>
      <c r="AB132" s="2">
        <v>-130</v>
      </c>
      <c r="AD132" s="2" t="str">
        <f>'Port code'!B134&amp;"-"&amp;'Port code'!C134</f>
        <v>INBRY1-Borya</v>
      </c>
    </row>
    <row r="133" ht="15.75" customHeight="1" spans="6:30">
      <c r="F133" s="3" t="str">
        <f ca="1" t="shared" si="5"/>
        <v/>
      </c>
      <c r="Z133" s="2">
        <v>-131</v>
      </c>
      <c r="AB133" s="2">
        <v>-131</v>
      </c>
      <c r="AD133" s="2" t="str">
        <f>'Port code'!B135&amp;"-"&amp;'Port code'!C135</f>
        <v>INBSAB-Banbasa</v>
      </c>
    </row>
    <row r="134" ht="15.75" customHeight="1" spans="6:30">
      <c r="F134" s="3" t="str">
        <f ca="1" t="shared" si="5"/>
        <v/>
      </c>
      <c r="Z134" s="2">
        <v>-132</v>
      </c>
      <c r="AB134" s="2">
        <v>-132</v>
      </c>
      <c r="AD134" s="2" t="str">
        <f>'Port code'!B136&amp;"-"&amp;'Port code'!C136</f>
        <v>INBSB6-Varanasi</v>
      </c>
    </row>
    <row r="135" ht="15.75" customHeight="1" spans="6:30">
      <c r="F135" s="3" t="str">
        <f ca="1" t="shared" si="5"/>
        <v/>
      </c>
      <c r="Z135" s="2">
        <v>-133</v>
      </c>
      <c r="AB135" s="2">
        <v>-133</v>
      </c>
      <c r="AD135" s="2" t="str">
        <f>'Port code'!B137&amp;"-"&amp;'Port code'!C137</f>
        <v>INBSL6-Bhusaval ICD</v>
      </c>
    </row>
    <row r="136" ht="15.75" customHeight="1" spans="6:30">
      <c r="F136" s="3" t="str">
        <f ca="1" t="shared" si="5"/>
        <v/>
      </c>
      <c r="Z136" s="2">
        <v>-134</v>
      </c>
      <c r="AB136" s="2">
        <v>-134</v>
      </c>
      <c r="AD136" s="2" t="str">
        <f>'Port code'!B138&amp;"-"&amp;'Port code'!C138</f>
        <v>INBSN1-Bassein</v>
      </c>
    </row>
    <row r="137" ht="15.75" customHeight="1" spans="6:30">
      <c r="F137" s="3" t="str">
        <f ca="1" t="shared" si="5"/>
        <v/>
      </c>
      <c r="Z137" s="2">
        <v>-135</v>
      </c>
      <c r="AB137" s="2">
        <v>-135</v>
      </c>
      <c r="AD137" s="2" t="str">
        <f>'Port code'!B139&amp;"-"&amp;'Port code'!C139</f>
        <v>INBSR1-Bulsar</v>
      </c>
    </row>
    <row r="138" ht="15.75" customHeight="1" spans="6:30">
      <c r="F138" s="3" t="str">
        <f ca="1" t="shared" si="5"/>
        <v/>
      </c>
      <c r="Z138" s="2">
        <v>-136</v>
      </c>
      <c r="AB138" s="2">
        <v>-136</v>
      </c>
      <c r="AD138" s="2" t="str">
        <f>'Port code'!B140&amp;"-"&amp;'Port code'!C140</f>
        <v>INBSW6-AFS KAPASHERA</v>
      </c>
    </row>
    <row r="139" ht="15.75" customHeight="1" spans="6:30">
      <c r="F139" s="3" t="str">
        <f ca="1" t="shared" si="5"/>
        <v/>
      </c>
      <c r="Z139" s="2">
        <v>-137</v>
      </c>
      <c r="AB139" s="2">
        <v>-137</v>
      </c>
      <c r="AD139" s="2" t="str">
        <f>'Port code'!B141&amp;"-"&amp;'Port code'!C141</f>
        <v>INBTK1-Bhatkal</v>
      </c>
    </row>
    <row r="140" ht="15.75" customHeight="1" spans="6:30">
      <c r="F140" s="3" t="str">
        <f ca="1" t="shared" si="5"/>
        <v/>
      </c>
      <c r="Z140" s="2">
        <v>-138</v>
      </c>
      <c r="AB140" s="2">
        <v>-138</v>
      </c>
      <c r="AD140" s="2" t="str">
        <f>'Port code'!B142&amp;"-"&amp;'Port code'!C142</f>
        <v>INBTMB-Bhithamore(Sursnad)</v>
      </c>
    </row>
    <row r="141" ht="15.75" customHeight="1" spans="6:30">
      <c r="F141" s="3" t="str">
        <f ca="1" t="shared" si="5"/>
        <v/>
      </c>
      <c r="Z141" s="2">
        <v>-139</v>
      </c>
      <c r="AB141" s="2">
        <v>-139</v>
      </c>
      <c r="AD141" s="2" t="str">
        <f>'Port code'!B143&amp;"-"&amp;'Port code'!C143</f>
        <v>INBTR1-Bitra Island</v>
      </c>
    </row>
    <row r="142" ht="15.75" customHeight="1" spans="6:30">
      <c r="F142" s="3" t="str">
        <f ca="1" t="shared" si="5"/>
        <v/>
      </c>
      <c r="Z142" s="2">
        <v>-140</v>
      </c>
      <c r="AB142" s="2">
        <v>-140</v>
      </c>
      <c r="AD142" s="2" t="str">
        <f>'Port code'!B144&amp;"-"&amp;'Port code'!C144</f>
        <v>INBUD1-Budge-Budge</v>
      </c>
    </row>
    <row r="143" ht="15.75" customHeight="1" spans="6:30">
      <c r="F143" s="3" t="str">
        <f ca="1" t="shared" si="5"/>
        <v/>
      </c>
      <c r="Z143" s="2">
        <v>-141</v>
      </c>
      <c r="AB143" s="2">
        <v>-141</v>
      </c>
      <c r="AD143" s="2" t="str">
        <f>'Port code'!B145&amp;"-"&amp;'Port code'!C145</f>
        <v>INBUL6-AN FTWZ BULANDSHAHR</v>
      </c>
    </row>
    <row r="144" ht="15.75" customHeight="1" spans="6:30">
      <c r="F144" s="3" t="str">
        <f ca="1" t="shared" si="5"/>
        <v/>
      </c>
      <c r="Z144" s="2">
        <v>-142</v>
      </c>
      <c r="AB144" s="2">
        <v>-142</v>
      </c>
      <c r="AD144" s="2" t="str">
        <f>'Port code'!B146&amp;"-"&amp;'Port code'!C146</f>
        <v>INBUP4-Bhatinda</v>
      </c>
    </row>
    <row r="145" ht="15.75" customHeight="1" spans="6:30">
      <c r="F145" s="3" t="str">
        <f ca="1" t="shared" si="5"/>
        <v/>
      </c>
      <c r="Z145" s="2">
        <v>-143</v>
      </c>
      <c r="AB145" s="2">
        <v>-143</v>
      </c>
      <c r="AD145" s="2" t="str">
        <f>'Port code'!B147&amp;"-"&amp;'Port code'!C147</f>
        <v>INBUP6-Bhatinda</v>
      </c>
    </row>
    <row r="146" ht="15.75" customHeight="1" spans="6:30">
      <c r="F146" s="3" t="str">
        <f ca="1" t="shared" si="5"/>
        <v/>
      </c>
      <c r="Z146" s="2">
        <v>-144</v>
      </c>
      <c r="AB146" s="2">
        <v>-144</v>
      </c>
      <c r="AD146" s="2" t="str">
        <f>'Port code'!B148&amp;"-"&amp;'Port code'!C148</f>
        <v>INBVC6-CONCR-ICD/BALLABGARH</v>
      </c>
    </row>
    <row r="147" ht="15.75" customHeight="1" spans="6:30">
      <c r="F147" s="3" t="str">
        <f ca="1" t="shared" si="5"/>
        <v/>
      </c>
      <c r="Z147" s="2">
        <v>-145</v>
      </c>
      <c r="AB147" s="2">
        <v>-145</v>
      </c>
      <c r="AD147" s="2" t="str">
        <f>'Port code'!B149&amp;"-"&amp;'Port code'!C149</f>
        <v>INBWD6-Bhiwadi</v>
      </c>
    </row>
    <row r="148" ht="15.75" customHeight="1" spans="6:30">
      <c r="F148" s="3" t="str">
        <f ca="1" t="shared" si="5"/>
        <v/>
      </c>
      <c r="Z148" s="2">
        <v>-146</v>
      </c>
      <c r="AB148" s="2">
        <v>-146</v>
      </c>
      <c r="AD148" s="2" t="str">
        <f>'Port code'!B150&amp;"-"&amp;'Port code'!C150</f>
        <v>INBWN1-Bhiwandi</v>
      </c>
    </row>
    <row r="149" ht="15.75" customHeight="1" spans="6:30">
      <c r="F149" s="3" t="str">
        <f ca="1" t="shared" si="5"/>
        <v/>
      </c>
      <c r="Z149" s="2">
        <v>-147</v>
      </c>
      <c r="AB149" s="2">
        <v>-147</v>
      </c>
      <c r="AD149" s="2" t="str">
        <f>'Port code'!B151&amp;"-"&amp;'Port code'!C151</f>
        <v>INBXR6-DLF LTD., SEZ</v>
      </c>
    </row>
    <row r="150" ht="15.75" customHeight="1" spans="6:30">
      <c r="F150" s="3" t="str">
        <f ca="1" t="shared" si="5"/>
        <v/>
      </c>
      <c r="Z150" s="2">
        <v>-148</v>
      </c>
      <c r="AB150" s="2">
        <v>-148</v>
      </c>
      <c r="AD150" s="2" t="str">
        <f>'Port code'!B152&amp;"-"&amp;'Port code'!C152</f>
        <v>INBYT1-Beyt</v>
      </c>
    </row>
    <row r="151" ht="15.75" customHeight="1" spans="6:30">
      <c r="F151" s="3" t="str">
        <f ca="1" t="shared" si="5"/>
        <v/>
      </c>
      <c r="Z151" s="2">
        <v>-149</v>
      </c>
      <c r="AB151" s="2">
        <v>-149</v>
      </c>
      <c r="AD151" s="2" t="str">
        <f>'Port code'!B153&amp;"-"&amp;'Port code'!C153</f>
        <v>INCAG6-TATA STEEL SEZGANJAM</v>
      </c>
    </row>
    <row r="152" ht="15.75" customHeight="1" spans="6:30">
      <c r="F152" s="3" t="str">
        <f ca="1" t="shared" si="5"/>
        <v/>
      </c>
      <c r="Z152" s="2">
        <v>-150</v>
      </c>
      <c r="AB152" s="2">
        <v>-150</v>
      </c>
      <c r="AD152" s="2" t="str">
        <f>'Port code'!B154&amp;"-"&amp;'Port code'!C154</f>
        <v>INCAM1-Cambay</v>
      </c>
    </row>
    <row r="153" ht="15.75" customHeight="1" spans="6:30">
      <c r="F153" s="3" t="str">
        <f ca="1" t="shared" si="5"/>
        <v/>
      </c>
      <c r="Z153" s="2">
        <v>-151</v>
      </c>
      <c r="AB153" s="2">
        <v>-151</v>
      </c>
      <c r="AD153" s="2" t="str">
        <f>'Port code'!B155&amp;"-"&amp;'Port code'!C155</f>
        <v>INCAP1-Calingapatam</v>
      </c>
    </row>
    <row r="154" ht="15.75" customHeight="1" spans="6:30">
      <c r="F154" s="3" t="str">
        <f ca="1" t="shared" si="5"/>
        <v/>
      </c>
      <c r="Z154" s="2">
        <v>-152</v>
      </c>
      <c r="AB154" s="2">
        <v>-152</v>
      </c>
      <c r="AD154" s="2" t="str">
        <f>'Port code'!B156&amp;"-"&amp;'Port code'!C156</f>
        <v>INCAR1-Carijam</v>
      </c>
    </row>
    <row r="155" ht="15.75" customHeight="1" spans="6:30">
      <c r="F155" s="3" t="str">
        <f ca="1" t="shared" si="5"/>
        <v/>
      </c>
      <c r="Z155" s="2">
        <v>-153</v>
      </c>
      <c r="AB155" s="2">
        <v>-153</v>
      </c>
      <c r="AD155" s="2" t="str">
        <f>'Port code'!B157&amp;"-"&amp;'Port code'!C157</f>
        <v>INCAS6-SAPL SEZ/ GANJAM</v>
      </c>
    </row>
    <row r="156" ht="15.75" customHeight="1" spans="6:30">
      <c r="F156" s="3" t="str">
        <f ca="1" t="shared" si="5"/>
        <v/>
      </c>
      <c r="Z156" s="2">
        <v>-154</v>
      </c>
      <c r="AB156" s="2">
        <v>-154</v>
      </c>
      <c r="AD156" s="2" t="str">
        <f>'Port code'!B158&amp;"-"&amp;'Port code'!C158</f>
        <v>INCBC6-CHIPL SEZ/ COIMBATOR</v>
      </c>
    </row>
    <row r="157" ht="15.75" customHeight="1" spans="6:30">
      <c r="F157" s="3" t="str">
        <f ca="1" t="shared" si="5"/>
        <v/>
      </c>
      <c r="Z157" s="2">
        <v>-155</v>
      </c>
      <c r="AB157" s="2">
        <v>-155</v>
      </c>
      <c r="AD157" s="2" t="str">
        <f>'Port code'!B159&amp;"-"&amp;'Port code'!C159</f>
        <v>INCBD4-Car Nicobar</v>
      </c>
    </row>
    <row r="158" ht="15.75" customHeight="1" spans="6:30">
      <c r="F158" s="3" t="str">
        <f ca="1" t="shared" si="5"/>
        <v/>
      </c>
      <c r="Z158" s="2">
        <v>-156</v>
      </c>
      <c r="AB158" s="2">
        <v>-156</v>
      </c>
      <c r="AD158" s="2" t="str">
        <f>'Port code'!B160&amp;"-"&amp;'Port code'!C160</f>
        <v>INCBDB-Changrabandh</v>
      </c>
    </row>
    <row r="159" ht="15.75" customHeight="1" spans="6:30">
      <c r="F159" s="3" t="str">
        <f ca="1" t="shared" si="5"/>
        <v/>
      </c>
      <c r="Z159" s="2">
        <v>-157</v>
      </c>
      <c r="AB159" s="2">
        <v>-157</v>
      </c>
      <c r="AD159" s="2" t="str">
        <f>'Port code'!B161&amp;"-"&amp;'Port code'!C161</f>
        <v>INCBE6-COIMBATORE</v>
      </c>
    </row>
    <row r="160" ht="15.75" customHeight="1" spans="6:30">
      <c r="F160" s="3" t="str">
        <f ca="1" t="shared" si="5"/>
        <v/>
      </c>
      <c r="Z160" s="2">
        <v>-158</v>
      </c>
      <c r="AB160" s="2">
        <v>-158</v>
      </c>
      <c r="AD160" s="2" t="str">
        <f>'Port code'!B162&amp;"-"&amp;'Port code'!C162</f>
        <v>INCBL1-Chandbali</v>
      </c>
    </row>
    <row r="161" ht="15.75" customHeight="1" spans="6:30">
      <c r="F161" s="3" t="str">
        <f ca="1" t="shared" si="5"/>
        <v/>
      </c>
      <c r="Z161" s="2">
        <v>-159</v>
      </c>
      <c r="AB161" s="2">
        <v>-159</v>
      </c>
      <c r="AD161" s="2" t="str">
        <f>'Port code'!B163&amp;"-"&amp;'Port code'!C163</f>
        <v>INCBS6-SE&amp;C COIMBATORE</v>
      </c>
    </row>
    <row r="162" ht="15.75" customHeight="1" spans="6:30">
      <c r="F162" s="3" t="str">
        <f ca="1" t="shared" si="5"/>
        <v/>
      </c>
      <c r="Z162" s="2">
        <v>-160</v>
      </c>
      <c r="AB162" s="2">
        <v>-160</v>
      </c>
      <c r="AD162" s="2" t="str">
        <f>'Port code'!B164&amp;"-"&amp;'Port code'!C164</f>
        <v>INCCH6-Chinchwad ICD</v>
      </c>
    </row>
    <row r="163" ht="15.75" customHeight="1" spans="6:30">
      <c r="F163" s="3" t="str">
        <f ca="1" t="shared" si="5"/>
        <v/>
      </c>
      <c r="Z163" s="2">
        <v>-161</v>
      </c>
      <c r="AB163" s="2">
        <v>-161</v>
      </c>
      <c r="AD163" s="2" t="str">
        <f>'Port code'!B165&amp;"-"&amp;'Port code'!C165</f>
        <v>INCCI6-WIPRO SEZ HINJEWADI</v>
      </c>
    </row>
    <row r="164" ht="15.75" customHeight="1" spans="6:30">
      <c r="F164" s="3" t="str">
        <f ca="1" t="shared" si="5"/>
        <v/>
      </c>
      <c r="Z164" s="2">
        <v>-162</v>
      </c>
      <c r="AB164" s="2">
        <v>-162</v>
      </c>
      <c r="AD164" s="2" t="str">
        <f>'Port code'!B166&amp;"-"&amp;'Port code'!C166</f>
        <v>INCCJ1-Kozhikode (ex Calicu</v>
      </c>
    </row>
    <row r="165" ht="15.75" customHeight="1" spans="6:30">
      <c r="F165" s="3" t="str">
        <f ca="1" t="shared" si="5"/>
        <v/>
      </c>
      <c r="Z165" s="2">
        <v>-163</v>
      </c>
      <c r="AB165" s="2">
        <v>-163</v>
      </c>
      <c r="AD165" s="2" t="str">
        <f>'Port code'!B167&amp;"-"&amp;'Port code'!C167</f>
        <v>INCCJ4-Kozhikode (ex Calicu</v>
      </c>
    </row>
    <row r="166" ht="15.75" customHeight="1" spans="6:30">
      <c r="F166" s="3" t="str">
        <f ca="1" t="shared" si="5"/>
        <v/>
      </c>
      <c r="Z166" s="2">
        <v>-164</v>
      </c>
      <c r="AB166" s="2">
        <v>-164</v>
      </c>
      <c r="AD166" s="2" t="str">
        <f>'Port code'!B168&amp;"-"&amp;'Port code'!C168</f>
        <v>INCCP6-PEPPL SEZ, CHINCHWAD</v>
      </c>
    </row>
    <row r="167" ht="15.75" customHeight="1" spans="6:30">
      <c r="F167" s="3" t="str">
        <f ca="1" t="shared" ref="F167:F230" si="6">IF(EOMONTH(TODAY(),AB167)+1&lt;$Y$1,"",EOMONTH(TODAY(),AB167)+1)</f>
        <v/>
      </c>
      <c r="Z167" s="2">
        <v>-165</v>
      </c>
      <c r="AB167" s="2">
        <v>-165</v>
      </c>
      <c r="AD167" s="2" t="str">
        <f>'Port code'!B169&amp;"-"&amp;'Port code'!C169</f>
        <v>INCCQ6-M/S QB PARK LTD.</v>
      </c>
    </row>
    <row r="168" ht="15.75" customHeight="1" spans="6:30">
      <c r="F168" s="3" t="str">
        <f ca="1" t="shared" si="6"/>
        <v/>
      </c>
      <c r="Z168" s="2">
        <v>-166</v>
      </c>
      <c r="AB168" s="2">
        <v>-166</v>
      </c>
      <c r="AD168" s="2" t="str">
        <f>'Port code'!B170&amp;"-"&amp;'Port code'!C170</f>
        <v>INCCT6-KINFRAFP SEZ</v>
      </c>
    </row>
    <row r="169" ht="15.75" customHeight="1" spans="6:30">
      <c r="F169" s="3" t="str">
        <f ca="1" t="shared" si="6"/>
        <v/>
      </c>
      <c r="Z169" s="2">
        <v>-167</v>
      </c>
      <c r="AB169" s="2">
        <v>-167</v>
      </c>
      <c r="AD169" s="2" t="str">
        <f>'Port code'!B171&amp;"-"&amp;'Port code'!C171</f>
        <v>INCCU1-Calcutta</v>
      </c>
    </row>
    <row r="170" ht="15.75" customHeight="1" spans="6:30">
      <c r="F170" s="3" t="str">
        <f ca="1" t="shared" si="6"/>
        <v/>
      </c>
      <c r="Z170" s="2">
        <v>-168</v>
      </c>
      <c r="AB170" s="2">
        <v>-168</v>
      </c>
      <c r="AD170" s="2" t="str">
        <f>'Port code'!B172&amp;"-"&amp;'Port code'!C172</f>
        <v>INCCU4-Calcutta</v>
      </c>
    </row>
    <row r="171" ht="15.75" customHeight="1" spans="6:30">
      <c r="F171" s="3" t="str">
        <f ca="1" t="shared" si="6"/>
        <v/>
      </c>
      <c r="Z171" s="2">
        <v>-169</v>
      </c>
      <c r="AB171" s="2">
        <v>-169</v>
      </c>
      <c r="AD171" s="2" t="str">
        <f>'Port code'!B173&amp;"-"&amp;'Port code'!C173</f>
        <v>INCCU5-Calcutta</v>
      </c>
    </row>
    <row r="172" ht="15.75" customHeight="1" spans="6:30">
      <c r="F172" s="3" t="str">
        <f ca="1" t="shared" si="6"/>
        <v/>
      </c>
      <c r="Z172" s="2">
        <v>-170</v>
      </c>
      <c r="AB172" s="2">
        <v>-170</v>
      </c>
      <c r="AD172" s="2" t="str">
        <f>'Port code'!B174&amp;"-"&amp;'Port code'!C174</f>
        <v>INCCW6-WIPRO LTD.</v>
      </c>
    </row>
    <row r="173" ht="15.75" customHeight="1" spans="6:30">
      <c r="F173" s="3" t="str">
        <f ca="1" t="shared" si="6"/>
        <v/>
      </c>
      <c r="Z173" s="2">
        <v>-171</v>
      </c>
      <c r="AB173" s="2">
        <v>-171</v>
      </c>
      <c r="AD173" s="2" t="str">
        <f>'Port code'!B175&amp;"-"&amp;'Port code'!C175</f>
        <v>INCDC6-RGT PARK (PHASE-II)</v>
      </c>
    </row>
    <row r="174" ht="15.75" customHeight="1" spans="6:30">
      <c r="F174" s="3" t="str">
        <f ca="1" t="shared" si="6"/>
        <v/>
      </c>
      <c r="Z174" s="2">
        <v>-172</v>
      </c>
      <c r="AB174" s="2">
        <v>-172</v>
      </c>
      <c r="AD174" s="2" t="str">
        <f>'Port code'!B176&amp;"-"&amp;'Port code'!C176</f>
        <v>INCDD6-RGT PARK (PHASE-I)</v>
      </c>
    </row>
    <row r="175" ht="15.75" customHeight="1" spans="6:30">
      <c r="F175" s="3" t="str">
        <f ca="1" t="shared" si="6"/>
        <v/>
      </c>
      <c r="Z175" s="2">
        <v>-173</v>
      </c>
      <c r="AB175" s="2">
        <v>-173</v>
      </c>
      <c r="AD175" s="2" t="str">
        <f>'Port code'!B177&amp;"-"&amp;'Port code'!C177</f>
        <v>INCDL1-Cuddalore</v>
      </c>
    </row>
    <row r="176" ht="15.75" customHeight="1" spans="6:30">
      <c r="F176" s="3" t="str">
        <f ca="1" t="shared" si="6"/>
        <v/>
      </c>
      <c r="Z176" s="2">
        <v>-174</v>
      </c>
      <c r="AB176" s="2">
        <v>-174</v>
      </c>
      <c r="AD176" s="2" t="str">
        <f>'Port code'!B178&amp;"-"&amp;'Port code'!C178</f>
        <v>INCDP1-Coondapur (Ganguly)</v>
      </c>
    </row>
    <row r="177" ht="15.75" customHeight="1" spans="6:30">
      <c r="F177" s="3" t="str">
        <f ca="1" t="shared" si="6"/>
        <v/>
      </c>
      <c r="Z177" s="2">
        <v>-175</v>
      </c>
      <c r="AB177" s="2">
        <v>-175</v>
      </c>
      <c r="AD177" s="2" t="str">
        <f>'Port code'!B179&amp;"-"&amp;'Port code'!C179</f>
        <v>INCDP4-Cuddapah</v>
      </c>
    </row>
    <row r="178" ht="15.75" customHeight="1" spans="6:30">
      <c r="F178" s="3" t="str">
        <f ca="1" t="shared" si="6"/>
        <v/>
      </c>
      <c r="Z178" s="2">
        <v>-176</v>
      </c>
      <c r="AB178" s="2">
        <v>-176</v>
      </c>
      <c r="AD178" s="2" t="str">
        <f>'Port code'!B180&amp;"-"&amp;'Port code'!C180</f>
        <v>INCDP6-M/S APIIC LTD SEZ.</v>
      </c>
    </row>
    <row r="179" ht="15.75" customHeight="1" spans="6:30">
      <c r="F179" s="3" t="str">
        <f ca="1" t="shared" si="6"/>
        <v/>
      </c>
      <c r="Z179" s="2">
        <v>-177</v>
      </c>
      <c r="AB179" s="2">
        <v>-177</v>
      </c>
      <c r="AD179" s="2" t="str">
        <f>'Port code'!B181&amp;"-"&amp;'Port code'!C181</f>
        <v>INCDQ6-QUARKCITY/SEZ/MOHALI</v>
      </c>
    </row>
    <row r="180" ht="15.75" customHeight="1" spans="6:30">
      <c r="F180" s="3" t="str">
        <f ca="1" t="shared" si="6"/>
        <v/>
      </c>
      <c r="Z180" s="2">
        <v>-178</v>
      </c>
      <c r="AB180" s="2">
        <v>-178</v>
      </c>
      <c r="AD180" s="2" t="str">
        <f>'Port code'!B182&amp;"-"&amp;'Port code'!C182</f>
        <v>INCDR6-SUN PHARMACEUTICALS</v>
      </c>
    </row>
    <row r="181" ht="15.75" customHeight="1" spans="6:30">
      <c r="F181" s="3" t="str">
        <f ca="1" t="shared" si="6"/>
        <v/>
      </c>
      <c r="Z181" s="2">
        <v>-179</v>
      </c>
      <c r="AB181" s="2">
        <v>-179</v>
      </c>
      <c r="AD181" s="2" t="str">
        <f>'Port code'!B183&amp;"-"&amp;'Port code'!C183</f>
        <v>INCEC6-L&amp;T AE IT SEZ PVT.</v>
      </c>
    </row>
    <row r="182" ht="15.75" customHeight="1" spans="6:30">
      <c r="F182" s="3" t="str">
        <f ca="1" t="shared" si="6"/>
        <v/>
      </c>
      <c r="Z182" s="2">
        <v>-180</v>
      </c>
      <c r="AB182" s="2">
        <v>-180</v>
      </c>
      <c r="AD182" s="2" t="str">
        <f>'Port code'!B184&amp;"-"&amp;'Port code'!C184</f>
        <v>INCGA6-MWCD APARELS CHENGPA</v>
      </c>
    </row>
    <row r="183" ht="15.75" customHeight="1" spans="6:30">
      <c r="F183" s="3" t="str">
        <f ca="1" t="shared" si="6"/>
        <v/>
      </c>
      <c r="Z183" s="2">
        <v>-181</v>
      </c>
      <c r="AB183" s="2">
        <v>-181</v>
      </c>
      <c r="AD183" s="2" t="str">
        <f>'Port code'!B185&amp;"-"&amp;'Port code'!C185</f>
        <v>INCGE6-ETA TECH. PVT. LTD.</v>
      </c>
    </row>
    <row r="184" ht="15.75" customHeight="1" spans="6:30">
      <c r="F184" s="3" t="str">
        <f ca="1" t="shared" si="6"/>
        <v/>
      </c>
      <c r="Z184" s="2">
        <v>-182</v>
      </c>
      <c r="AB184" s="2">
        <v>-182</v>
      </c>
      <c r="AD184" s="2" t="str">
        <f>'Port code'!B186&amp;"-"&amp;'Port code'!C186</f>
        <v>INCGI6-MWCD SEZ CHENGALPATU</v>
      </c>
    </row>
    <row r="185" ht="15.75" customHeight="1" spans="6:30">
      <c r="F185" s="3" t="str">
        <f ca="1" t="shared" si="6"/>
        <v/>
      </c>
      <c r="Z185" s="2">
        <v>-183</v>
      </c>
      <c r="AB185" s="2">
        <v>-183</v>
      </c>
      <c r="AD185" s="2" t="str">
        <f>'Port code'!B187&amp;"-"&amp;'Port code'!C187</f>
        <v>INCGL6-MWCD AUTO ANCILARIES</v>
      </c>
    </row>
    <row r="186" ht="15.75" customHeight="1" spans="6:30">
      <c r="F186" s="3" t="str">
        <f ca="1" t="shared" si="6"/>
        <v/>
      </c>
      <c r="Z186" s="2">
        <v>-184</v>
      </c>
      <c r="AB186" s="2">
        <v>-184</v>
      </c>
      <c r="AD186" s="2" t="str">
        <f>'Port code'!B188&amp;"-"&amp;'Port code'!C188</f>
        <v>INCHE6-Tiruppur-Chettipalay</v>
      </c>
    </row>
    <row r="187" ht="15.75" customHeight="1" spans="6:30">
      <c r="F187" s="3" t="str">
        <f ca="1" t="shared" si="6"/>
        <v/>
      </c>
      <c r="Z187" s="2">
        <v>-185</v>
      </c>
      <c r="AB187" s="2">
        <v>-185</v>
      </c>
      <c r="AD187" s="2" t="str">
        <f>'Port code'!B189&amp;"-"&amp;'Port code'!C189</f>
        <v>INCHJ6-ICD WARDHA</v>
      </c>
    </row>
    <row r="188" ht="15.75" customHeight="1" spans="6:30">
      <c r="F188" s="3" t="str">
        <f ca="1" t="shared" si="6"/>
        <v/>
      </c>
      <c r="Z188" s="2">
        <v>-186</v>
      </c>
      <c r="AB188" s="2">
        <v>-186</v>
      </c>
      <c r="AD188" s="2" t="str">
        <f>'Port code'!B190&amp;"-"&amp;'Port code'!C190</f>
        <v>INCHL1-Colachel</v>
      </c>
    </row>
    <row r="189" ht="15.75" customHeight="1" spans="6:30">
      <c r="F189" s="3" t="str">
        <f ca="1" t="shared" si="6"/>
        <v/>
      </c>
      <c r="Z189" s="2">
        <v>-187</v>
      </c>
      <c r="AB189" s="2">
        <v>-187</v>
      </c>
      <c r="AD189" s="2" t="str">
        <f>'Port code'!B191&amp;"-"&amp;'Port code'!C191</f>
        <v>INCHMB-Chamurchi</v>
      </c>
    </row>
    <row r="190" ht="15.75" customHeight="1" spans="6:30">
      <c r="F190" s="3" t="str">
        <f ca="1" t="shared" si="6"/>
        <v/>
      </c>
      <c r="Z190" s="2">
        <v>-188</v>
      </c>
      <c r="AB190" s="2">
        <v>-188</v>
      </c>
      <c r="AD190" s="2" t="str">
        <f>'Port code'!B192&amp;"-"&amp;'Port code'!C192</f>
        <v>INCHN6-Vadodara Chhani CFS</v>
      </c>
    </row>
    <row r="191" ht="15.75" customHeight="1" spans="6:30">
      <c r="F191" s="3" t="str">
        <f ca="1" t="shared" si="6"/>
        <v/>
      </c>
      <c r="Z191" s="2">
        <v>-189</v>
      </c>
      <c r="AB191" s="2">
        <v>-189</v>
      </c>
      <c r="AD191" s="2" t="str">
        <f>'Port code'!B193&amp;"-"&amp;'Port code'!C193</f>
        <v>INCHPB-Champai</v>
      </c>
    </row>
    <row r="192" ht="15.75" customHeight="1" spans="6:30">
      <c r="F192" s="3" t="str">
        <f ca="1" t="shared" si="6"/>
        <v/>
      </c>
      <c r="Z192" s="2">
        <v>-190</v>
      </c>
      <c r="AB192" s="2">
        <v>-190</v>
      </c>
      <c r="AD192" s="2" t="str">
        <f>'Port code'!B194&amp;"-"&amp;'Port code'!C194</f>
        <v>INCHR1-Chapora</v>
      </c>
    </row>
    <row r="193" ht="15.75" customHeight="1" spans="6:30">
      <c r="F193" s="3" t="str">
        <f ca="1" t="shared" si="6"/>
        <v/>
      </c>
      <c r="Z193" s="2">
        <v>-191</v>
      </c>
      <c r="AB193" s="2">
        <v>-191</v>
      </c>
      <c r="AD193" s="2" t="str">
        <f>'Port code'!B195&amp;"-"&amp;'Port code'!C195</f>
        <v>INCJA6-L&amp;T AE IT SEZ</v>
      </c>
    </row>
    <row r="194" ht="15.75" customHeight="1" spans="6:30">
      <c r="F194" s="3" t="str">
        <f ca="1" t="shared" si="6"/>
        <v/>
      </c>
      <c r="Z194" s="2">
        <v>-192</v>
      </c>
      <c r="AB194" s="2">
        <v>-192</v>
      </c>
      <c r="AD194" s="2" t="str">
        <f>'Port code'!B196&amp;"-"&amp;'Port code'!C196</f>
        <v>INCJB4-Coimbatore</v>
      </c>
    </row>
    <row r="195" ht="15.75" customHeight="1" spans="6:30">
      <c r="F195" s="3" t="str">
        <f ca="1" t="shared" si="6"/>
        <v/>
      </c>
      <c r="Z195" s="2">
        <v>-193</v>
      </c>
      <c r="AB195" s="2">
        <v>-193</v>
      </c>
      <c r="AD195" s="2" t="str">
        <f>'Port code'!B197&amp;"-"&amp;'Port code'!C197</f>
        <v>INCJB6-Coimbatore</v>
      </c>
    </row>
    <row r="196" ht="15.75" customHeight="1" spans="6:30">
      <c r="F196" s="3" t="str">
        <f ca="1" t="shared" si="6"/>
        <v/>
      </c>
      <c r="Z196" s="2">
        <v>-194</v>
      </c>
      <c r="AB196" s="2">
        <v>-194</v>
      </c>
      <c r="AD196" s="2" t="str">
        <f>'Port code'!B198&amp;"-"&amp;'Port code'!C198</f>
        <v>INCJC6-NCTL (ENGG.) SEZ/ KA</v>
      </c>
    </row>
    <row r="197" ht="15.75" customHeight="1" spans="6:30">
      <c r="F197" s="3" t="str">
        <f ca="1" t="shared" si="6"/>
        <v/>
      </c>
      <c r="Z197" s="2">
        <v>-195</v>
      </c>
      <c r="AB197" s="2">
        <v>-195</v>
      </c>
      <c r="AD197" s="2" t="str">
        <f>'Port code'!B199&amp;"-"&amp;'Port code'!C199</f>
        <v>INCJD6-DLF INFOCITY DEV.</v>
      </c>
    </row>
    <row r="198" ht="15.75" customHeight="1" spans="6:30">
      <c r="F198" s="3" t="str">
        <f ca="1" t="shared" si="6"/>
        <v/>
      </c>
      <c r="Z198" s="2">
        <v>-196</v>
      </c>
      <c r="AB198" s="2">
        <v>-196</v>
      </c>
      <c r="AD198" s="2" t="str">
        <f>'Port code'!B200&amp;"-"&amp;'Port code'!C200</f>
        <v>INCJE6-ECTN KANCHEEPURAM</v>
      </c>
    </row>
    <row r="199" ht="15.75" customHeight="1" spans="6:30">
      <c r="F199" s="3" t="str">
        <f ca="1" t="shared" si="6"/>
        <v/>
      </c>
      <c r="Z199" s="2">
        <v>-197</v>
      </c>
      <c r="AB199" s="2">
        <v>-197</v>
      </c>
      <c r="AD199" s="2" t="str">
        <f>'Port code'!B201&amp;"-"&amp;'Port code'!C201</f>
        <v>INCJF6-FTIL SRIPERUMBUDUR</v>
      </c>
    </row>
    <row r="200" ht="15.75" customHeight="1" spans="6:30">
      <c r="F200" s="3" t="str">
        <f ca="1" t="shared" si="6"/>
        <v/>
      </c>
      <c r="Z200" s="2">
        <v>-198</v>
      </c>
      <c r="AB200" s="2">
        <v>-198</v>
      </c>
      <c r="AD200" s="2" t="str">
        <f>'Port code'!B202&amp;"-"&amp;'Port code'!C202</f>
        <v>INCJH6-ICD WARDHA</v>
      </c>
    </row>
    <row r="201" ht="15.75" customHeight="1" spans="6:30">
      <c r="F201" s="3" t="str">
        <f ca="1" t="shared" si="6"/>
        <v/>
      </c>
      <c r="Z201" s="2">
        <v>-199</v>
      </c>
      <c r="AB201" s="2">
        <v>-199</v>
      </c>
      <c r="AD201" s="2" t="str">
        <f>'Port code'!B203&amp;"-"&amp;'Port code'!C203</f>
        <v>INCJI6-ETL IS LTD.</v>
      </c>
    </row>
    <row r="202" ht="15.75" customHeight="1" spans="6:30">
      <c r="F202" s="3" t="str">
        <f ca="1" t="shared" si="6"/>
        <v/>
      </c>
      <c r="Z202" s="2">
        <v>-200</v>
      </c>
      <c r="AB202" s="2">
        <v>-200</v>
      </c>
      <c r="AD202" s="2" t="str">
        <f>'Port code'!B204&amp;"-"&amp;'Port code'!C204</f>
        <v>INCJJ6-J M FTZ/SEZ/MANNUR</v>
      </c>
    </row>
    <row r="203" ht="15.75" customHeight="1" spans="6:30">
      <c r="F203" s="3" t="str">
        <f ca="1" t="shared" si="6"/>
        <v/>
      </c>
      <c r="Z203" s="2">
        <v>-201</v>
      </c>
      <c r="AB203" s="2">
        <v>-201</v>
      </c>
      <c r="AD203" s="2" t="str">
        <f>'Port code'!B205&amp;"-"&amp;'Port code'!C205</f>
        <v>INCJN6-NIPL SEZ SRIPERUMBUD</v>
      </c>
    </row>
    <row r="204" ht="15.75" customHeight="1" spans="6:30">
      <c r="F204" s="3" t="str">
        <f ca="1" t="shared" si="6"/>
        <v/>
      </c>
      <c r="Z204" s="2">
        <v>-202</v>
      </c>
      <c r="AB204" s="2">
        <v>-202</v>
      </c>
      <c r="AD204" s="2" t="str">
        <f>'Port code'!B206&amp;"-"&amp;'Port code'!C206</f>
        <v>INCJO6-SIPCOT ORAGADAM SRIP</v>
      </c>
    </row>
    <row r="205" ht="15.75" customHeight="1" spans="6:30">
      <c r="F205" s="3" t="str">
        <f ca="1" t="shared" si="6"/>
        <v/>
      </c>
      <c r="Z205" s="2">
        <v>-203</v>
      </c>
      <c r="AB205" s="2">
        <v>-203</v>
      </c>
      <c r="AD205" s="2" t="str">
        <f>'Port code'!B207&amp;"-"&amp;'Port code'!C207</f>
        <v>INCJS6-SIPCOT SRIPERUMBUDUR</v>
      </c>
    </row>
    <row r="206" ht="15.75" customHeight="1" spans="6:30">
      <c r="F206" s="3" t="str">
        <f ca="1" t="shared" si="6"/>
        <v/>
      </c>
      <c r="Z206" s="2">
        <v>-204</v>
      </c>
      <c r="AB206" s="2">
        <v>-204</v>
      </c>
      <c r="AD206" s="2" t="str">
        <f>'Port code'!B208&amp;"-"&amp;'Port code'!C208</f>
        <v>INCLK6-KSITIL/SEZ/KOZHIKODE</v>
      </c>
    </row>
    <row r="207" ht="15.75" customHeight="1" spans="6:30">
      <c r="F207" s="3" t="str">
        <f ca="1" t="shared" si="6"/>
        <v/>
      </c>
      <c r="Z207" s="2">
        <v>-205</v>
      </c>
      <c r="AB207" s="2">
        <v>-205</v>
      </c>
      <c r="AD207" s="2" t="str">
        <f>'Port code'!B209&amp;"-"&amp;'Port code'!C209</f>
        <v>INCLU6-ULCCS/SEZ/KOZHIKODE</v>
      </c>
    </row>
    <row r="208" ht="15.75" customHeight="1" spans="6:30">
      <c r="F208" s="3" t="str">
        <f ca="1" t="shared" si="6"/>
        <v/>
      </c>
      <c r="Z208" s="2">
        <v>-206</v>
      </c>
      <c r="AB208" s="2">
        <v>-206</v>
      </c>
      <c r="AD208" s="2" t="str">
        <f>'Port code'!B210&amp;"-"&amp;'Port code'!C210</f>
        <v>INCLX6-Chirala</v>
      </c>
    </row>
    <row r="209" ht="15.75" customHeight="1" spans="6:30">
      <c r="F209" s="3" t="str">
        <f ca="1" t="shared" si="6"/>
        <v/>
      </c>
      <c r="Z209" s="2">
        <v>-207</v>
      </c>
      <c r="AB209" s="2">
        <v>-207</v>
      </c>
      <c r="AD209" s="2" t="str">
        <f>'Port code'!B211&amp;"-"&amp;'Port code'!C211</f>
        <v>INCMB1-Cambay</v>
      </c>
    </row>
    <row r="210" ht="15.75" customHeight="1" spans="6:30">
      <c r="F210" s="3" t="str">
        <f ca="1" t="shared" si="6"/>
        <v/>
      </c>
      <c r="Z210" s="2">
        <v>-208</v>
      </c>
      <c r="AB210" s="2">
        <v>-208</v>
      </c>
      <c r="AD210" s="2" t="str">
        <f>'Port code'!B212&amp;"-"&amp;'Port code'!C212</f>
        <v>INCML6-KATHUWAS ICD ALWAR</v>
      </c>
    </row>
    <row r="211" ht="15.75" customHeight="1" spans="6:30">
      <c r="F211" s="3" t="str">
        <f ca="1" t="shared" si="6"/>
        <v/>
      </c>
      <c r="Z211" s="2">
        <v>-209</v>
      </c>
      <c r="AB211" s="2">
        <v>-209</v>
      </c>
      <c r="AD211" s="2" t="str">
        <f>'Port code'!B213&amp;"-"&amp;'Port code'!C213</f>
        <v>INCNB1-Car-Nicobar</v>
      </c>
    </row>
    <row r="212" ht="15.75" customHeight="1" spans="6:30">
      <c r="F212" s="3" t="str">
        <f ca="1" t="shared" si="6"/>
        <v/>
      </c>
      <c r="Z212" s="2">
        <v>-210</v>
      </c>
      <c r="AB212" s="2">
        <v>-210</v>
      </c>
      <c r="AD212" s="2" t="str">
        <f>'Port code'!B214&amp;"-"&amp;'Port code'!C214</f>
        <v>INCNC6-NCT PVT. LTD. SEZ</v>
      </c>
    </row>
    <row r="213" ht="15.75" customHeight="1" spans="6:30">
      <c r="F213" s="3" t="str">
        <f ca="1" t="shared" si="6"/>
        <v/>
      </c>
      <c r="Z213" s="2">
        <v>-211</v>
      </c>
      <c r="AB213" s="2">
        <v>-211</v>
      </c>
      <c r="AD213" s="2" t="str">
        <f>'Port code'!B215&amp;"-"&amp;'Port code'!C215</f>
        <v>INCNN1-Cannanore</v>
      </c>
    </row>
    <row r="214" ht="15.75" customHeight="1" spans="6:30">
      <c r="F214" s="3" t="str">
        <f ca="1" t="shared" si="6"/>
        <v/>
      </c>
      <c r="Z214" s="2">
        <v>-212</v>
      </c>
      <c r="AB214" s="2">
        <v>-212</v>
      </c>
      <c r="AD214" s="2" t="str">
        <f>'Port code'!B216&amp;"-"&amp;'Port code'!C216</f>
        <v>INCOA6-KAKINADA SEZ KAKINAD</v>
      </c>
    </row>
    <row r="215" ht="15.75" customHeight="1" spans="6:30">
      <c r="F215" s="3" t="str">
        <f ca="1" t="shared" si="6"/>
        <v/>
      </c>
      <c r="Z215" s="2">
        <v>-213</v>
      </c>
      <c r="AB215" s="2">
        <v>-213</v>
      </c>
      <c r="AD215" s="2" t="str">
        <f>'Port code'!B217&amp;"-"&amp;'Port code'!C217</f>
        <v>INCOH4-Cooch Behar</v>
      </c>
    </row>
    <row r="216" ht="15.75" customHeight="1" spans="6:30">
      <c r="F216" s="3" t="str">
        <f ca="1" t="shared" si="6"/>
        <v/>
      </c>
      <c r="Z216" s="2">
        <v>-214</v>
      </c>
      <c r="AB216" s="2">
        <v>-214</v>
      </c>
      <c r="AD216" s="2" t="str">
        <f>'Port code'!B218&amp;"-"&amp;'Port code'!C218</f>
        <v>INCOK1-Cochin</v>
      </c>
    </row>
    <row r="217" ht="15.75" customHeight="1" spans="6:30">
      <c r="F217" s="3" t="str">
        <f ca="1" t="shared" si="6"/>
        <v/>
      </c>
      <c r="Z217" s="2">
        <v>-215</v>
      </c>
      <c r="AB217" s="2">
        <v>-215</v>
      </c>
      <c r="AD217" s="2" t="str">
        <f>'Port code'!B219&amp;"-"&amp;'Port code'!C219</f>
        <v>INCOK4-Cochin</v>
      </c>
    </row>
    <row r="218" ht="15.75" customHeight="1" spans="6:30">
      <c r="F218" s="3" t="str">
        <f ca="1" t="shared" si="6"/>
        <v/>
      </c>
      <c r="Z218" s="2">
        <v>-216</v>
      </c>
      <c r="AB218" s="2">
        <v>-216</v>
      </c>
      <c r="AD218" s="2" t="str">
        <f>'Port code'!B220&amp;"-"&amp;'Port code'!C220</f>
        <v>INCOK6-Cochin(EPZ/SEZ)</v>
      </c>
    </row>
    <row r="219" ht="15.75" customHeight="1" spans="6:30">
      <c r="F219" s="3" t="str">
        <f ca="1" t="shared" si="6"/>
        <v/>
      </c>
      <c r="Z219" s="2">
        <v>-217</v>
      </c>
      <c r="AB219" s="2">
        <v>-217</v>
      </c>
      <c r="AD219" s="2" t="str">
        <f>'Port code'!B221&amp;"-"&amp;'Port code'!C221</f>
        <v>INCOL1-Colochel</v>
      </c>
    </row>
    <row r="220" ht="15.75" customHeight="1" spans="6:30">
      <c r="F220" s="3" t="str">
        <f ca="1" t="shared" si="6"/>
        <v/>
      </c>
      <c r="Z220" s="2">
        <v>-218</v>
      </c>
      <c r="AB220" s="2">
        <v>-218</v>
      </c>
      <c r="AD220" s="2" t="str">
        <f>'Port code'!B222&amp;"-"&amp;'Port code'!C222</f>
        <v>INCOO1-Coondapur (Ganguly)</v>
      </c>
    </row>
    <row r="221" ht="15.75" customHeight="1" spans="6:30">
      <c r="F221" s="3" t="str">
        <f ca="1" t="shared" si="6"/>
        <v/>
      </c>
      <c r="Z221" s="2">
        <v>-219</v>
      </c>
      <c r="AB221" s="2">
        <v>-219</v>
      </c>
      <c r="AD221" s="2" t="str">
        <f>'Port code'!B223&amp;"-"&amp;'Port code'!C223</f>
        <v>INCOP6-PARRY SEZ KAKINADA</v>
      </c>
    </row>
    <row r="222" ht="15.75" customHeight="1" spans="6:30">
      <c r="F222" s="3" t="str">
        <f ca="1" t="shared" si="6"/>
        <v/>
      </c>
      <c r="Z222" s="2">
        <v>-220</v>
      </c>
      <c r="AB222" s="2">
        <v>-220</v>
      </c>
      <c r="AD222" s="2" t="str">
        <f>'Port code'!B224&amp;"-"&amp;'Port code'!C224</f>
        <v>INCPC6-Kanpur Chakeri</v>
      </c>
    </row>
    <row r="223" ht="15.75" customHeight="1" spans="6:30">
      <c r="F223" s="3" t="str">
        <f ca="1" t="shared" si="6"/>
        <v/>
      </c>
      <c r="Z223" s="2">
        <v>-221</v>
      </c>
      <c r="AB223" s="2">
        <v>-221</v>
      </c>
      <c r="AD223" s="2" t="str">
        <f>'Port code'!B225&amp;"-"&amp;'Port code'!C225</f>
        <v>INCPL6-Dadri CGML</v>
      </c>
    </row>
    <row r="224" ht="15.75" customHeight="1" spans="6:30">
      <c r="F224" s="3" t="str">
        <f ca="1" t="shared" si="6"/>
        <v/>
      </c>
      <c r="Z224" s="2">
        <v>-222</v>
      </c>
      <c r="AB224" s="2">
        <v>-222</v>
      </c>
      <c r="AD224" s="2" t="str">
        <f>'Port code'!B226&amp;"-"&amp;'Port code'!C226</f>
        <v>INCPR6-ICD CHAWAPAYAL</v>
      </c>
    </row>
    <row r="225" ht="15.75" customHeight="1" spans="6:30">
      <c r="F225" s="3" t="str">
        <f ca="1" t="shared" si="6"/>
        <v/>
      </c>
      <c r="Z225" s="2">
        <v>-223</v>
      </c>
      <c r="AB225" s="2">
        <v>-223</v>
      </c>
      <c r="AD225" s="2" t="str">
        <f>'Port code'!B227&amp;"-"&amp;'Port code'!C227</f>
        <v>INCRL6-RGA SEZ CHIKKANKANNE</v>
      </c>
    </row>
    <row r="226" ht="15.75" customHeight="1" spans="6:30">
      <c r="F226" s="3" t="str">
        <f ca="1" t="shared" si="6"/>
        <v/>
      </c>
      <c r="Z226" s="2">
        <v>-224</v>
      </c>
      <c r="AB226" s="2">
        <v>-224</v>
      </c>
      <c r="AD226" s="2" t="str">
        <f>'Port code'!B228&amp;"-"&amp;'Port code'!C228</f>
        <v>INCRN1-Cornwallis</v>
      </c>
    </row>
    <row r="227" ht="15.75" customHeight="1" spans="6:30">
      <c r="F227" s="3" t="str">
        <f ca="1" t="shared" si="6"/>
        <v/>
      </c>
      <c r="Z227" s="2">
        <v>-225</v>
      </c>
      <c r="AB227" s="2">
        <v>-225</v>
      </c>
      <c r="AD227" s="2" t="str">
        <f>'Port code'!B229&amp;"-"&amp;'Port code'!C229</f>
        <v>INCRW6-WIPRO/SEZ/BANGALORE</v>
      </c>
    </row>
    <row r="228" ht="15.75" customHeight="1" spans="6:30">
      <c r="F228" s="3" t="str">
        <f ca="1" t="shared" si="6"/>
        <v/>
      </c>
      <c r="Z228" s="2">
        <v>-226</v>
      </c>
      <c r="AB228" s="2">
        <v>-226</v>
      </c>
      <c r="AD228" s="2" t="str">
        <f>'Port code'!B230&amp;"-"&amp;'Port code'!C230</f>
        <v>INCRXB-LOKSAN LCS</v>
      </c>
    </row>
    <row r="229" ht="15.75" customHeight="1" spans="6:30">
      <c r="F229" s="3" t="str">
        <f ca="1" t="shared" si="6"/>
        <v/>
      </c>
      <c r="Z229" s="2">
        <v>-227</v>
      </c>
      <c r="AB229" s="2">
        <v>-227</v>
      </c>
      <c r="AD229" s="2" t="str">
        <f>'Port code'!B231&amp;"-"&amp;'Port code'!C231</f>
        <v>INCSP6-SI PVT. LTD.</v>
      </c>
    </row>
    <row r="230" ht="15.75" customHeight="1" spans="6:30">
      <c r="F230" s="3" t="str">
        <f ca="1" t="shared" si="6"/>
        <v/>
      </c>
      <c r="Z230" s="2">
        <v>-228</v>
      </c>
      <c r="AB230" s="2">
        <v>-228</v>
      </c>
      <c r="AD230" s="2" t="str">
        <f>'Port code'!B232&amp;"-"&amp;'Port code'!C232</f>
        <v>INCSV6-SPVL SEZ COIMBATORE</v>
      </c>
    </row>
    <row r="231" ht="15.75" customHeight="1" spans="6:30">
      <c r="F231" s="3" t="str">
        <f ca="1" t="shared" ref="F231:F251" si="7">IF(EOMONTH(TODAY(),AB231)+1&lt;$Y$1,"",EOMONTH(TODAY(),AB231)+1)</f>
        <v/>
      </c>
      <c r="Z231" s="2">
        <v>-229</v>
      </c>
      <c r="AB231" s="2">
        <v>-229</v>
      </c>
      <c r="AD231" s="2" t="str">
        <f>'Port code'!B233&amp;"-"&amp;'Port code'!C233</f>
        <v>INCTI1-Chetlat Island</v>
      </c>
    </row>
    <row r="232" ht="15.75" customHeight="1" spans="6:30">
      <c r="F232" s="3" t="str">
        <f ca="1" t="shared" si="7"/>
        <v/>
      </c>
      <c r="Z232" s="2">
        <v>-230</v>
      </c>
      <c r="AB232" s="2">
        <v>-230</v>
      </c>
      <c r="AD232" s="2" t="str">
        <f>'Port code'!B234&amp;"-"&amp;'Port code'!C234</f>
        <v>INCUM1-Cutch Mandvi</v>
      </c>
    </row>
    <row r="233" ht="15.75" customHeight="1" spans="6:30">
      <c r="F233" s="3" t="str">
        <f ca="1" t="shared" si="7"/>
        <v/>
      </c>
      <c r="Z233" s="2">
        <v>-231</v>
      </c>
      <c r="AB233" s="2">
        <v>-231</v>
      </c>
      <c r="AD233" s="2" t="str">
        <f>'Port code'!B235&amp;"-"&amp;'Port code'!C235</f>
        <v>INDAE4-Daparizo</v>
      </c>
    </row>
    <row r="234" ht="15.75" customHeight="1" spans="6:30">
      <c r="F234" s="3" t="str">
        <f ca="1" t="shared" si="7"/>
        <v/>
      </c>
      <c r="Z234" s="2">
        <v>-232</v>
      </c>
      <c r="AB234" s="2">
        <v>-232</v>
      </c>
      <c r="AD234" s="2" t="str">
        <f>'Port code'!B236&amp;"-"&amp;'Port code'!C236</f>
        <v>INDAH1-Dahej</v>
      </c>
    </row>
    <row r="235" ht="15.75" customHeight="1" spans="6:30">
      <c r="F235" s="3" t="str">
        <f ca="1" t="shared" si="7"/>
        <v/>
      </c>
      <c r="Z235" s="2">
        <v>-233</v>
      </c>
      <c r="AB235" s="2">
        <v>-233</v>
      </c>
      <c r="AD235" s="2" t="str">
        <f>'Port code'!B237&amp;"-"&amp;'Port code'!C237</f>
        <v>INDAI4-Darjeeling</v>
      </c>
    </row>
    <row r="236" ht="15.75" customHeight="1" spans="6:30">
      <c r="F236" s="3" t="str">
        <f ca="1" t="shared" si="7"/>
        <v/>
      </c>
      <c r="Z236" s="2">
        <v>-234</v>
      </c>
      <c r="AB236" s="2">
        <v>-234</v>
      </c>
      <c r="AD236" s="2" t="str">
        <f>'Port code'!B238&amp;"-"&amp;'Port code'!C238</f>
        <v>INDAM1-Daman</v>
      </c>
    </row>
    <row r="237" ht="15.75" customHeight="1" spans="6:30">
      <c r="F237" s="3" t="str">
        <f ca="1" t="shared" si="7"/>
        <v/>
      </c>
      <c r="Z237" s="2">
        <v>-235</v>
      </c>
      <c r="AB237" s="2">
        <v>-235</v>
      </c>
      <c r="AD237" s="2" t="str">
        <f>'Port code'!B239&amp;"-"&amp;'Port code'!C239</f>
        <v>INDAM4-Daman</v>
      </c>
    </row>
    <row r="238" ht="15.75" customHeight="1" spans="6:30">
      <c r="F238" s="3" t="str">
        <f ca="1" t="shared" si="7"/>
        <v/>
      </c>
      <c r="Z238" s="2">
        <v>-236</v>
      </c>
      <c r="AB238" s="2">
        <v>-236</v>
      </c>
      <c r="AD238" s="2" t="str">
        <f>'Port code'!B240&amp;"-"&amp;'Port code'!C240</f>
        <v>INDAR6-ARTHA SEZ GR. NOIDA</v>
      </c>
    </row>
    <row r="239" ht="15.75" customHeight="1" spans="6:30">
      <c r="F239" s="3" t="str">
        <f ca="1" t="shared" si="7"/>
        <v/>
      </c>
      <c r="Z239" s="2">
        <v>-237</v>
      </c>
      <c r="AB239" s="2">
        <v>-237</v>
      </c>
      <c r="AD239" s="2" t="str">
        <f>'Port code'!B241&amp;"-"&amp;'Port code'!C241</f>
        <v>INDBD4-Dhanbad</v>
      </c>
    </row>
    <row r="240" ht="15.75" customHeight="1" spans="6:30">
      <c r="F240" s="3" t="str">
        <f ca="1" t="shared" si="7"/>
        <v/>
      </c>
      <c r="Z240" s="2">
        <v>-238</v>
      </c>
      <c r="AB240" s="2">
        <v>-238</v>
      </c>
      <c r="AD240" s="2" t="str">
        <f>'Port code'!B242&amp;"-"&amp;'Port code'!C242</f>
        <v>INDBS6-SANTA-SEZ/ViII-MUPPI</v>
      </c>
    </row>
    <row r="241" ht="15.75" customHeight="1" spans="6:30">
      <c r="F241" s="3" t="str">
        <f ca="1" t="shared" si="7"/>
        <v/>
      </c>
      <c r="Z241" s="2">
        <v>-239</v>
      </c>
      <c r="AB241" s="2">
        <v>-239</v>
      </c>
      <c r="AD241" s="2" t="str">
        <f>'Port code'!B243&amp;"-"&amp;'Port code'!C243</f>
        <v>INDDL6-PSWC ICD DHANDARIKAL</v>
      </c>
    </row>
    <row r="242" ht="15.75" customHeight="1" spans="6:30">
      <c r="F242" s="3" t="str">
        <f ca="1" t="shared" si="7"/>
        <v/>
      </c>
      <c r="Z242" s="2">
        <v>-240</v>
      </c>
      <c r="AB242" s="2">
        <v>-240</v>
      </c>
      <c r="AD242" s="2" t="str">
        <f>'Port code'!B244&amp;"-"&amp;'Port code'!C244</f>
        <v>INDEA6-AS PVT. LTD.</v>
      </c>
    </row>
    <row r="243" ht="15.75" customHeight="1" spans="6:30">
      <c r="F243" s="3" t="str">
        <f ca="1" t="shared" si="7"/>
        <v/>
      </c>
      <c r="Z243" s="2">
        <v>-241</v>
      </c>
      <c r="AB243" s="2">
        <v>-241</v>
      </c>
      <c r="AD243" s="2" t="str">
        <f>'Port code'!B245&amp;"-"&amp;'Port code'!C245</f>
        <v>INDED4-Dehra Dun</v>
      </c>
    </row>
    <row r="244" ht="15.75" customHeight="1" spans="6:30">
      <c r="F244" s="3" t="str">
        <f ca="1" t="shared" si="7"/>
        <v/>
      </c>
      <c r="Z244" s="2">
        <v>-242</v>
      </c>
      <c r="AB244" s="2">
        <v>-242</v>
      </c>
      <c r="AD244" s="2" t="str">
        <f>'Port code'!B246&amp;"-"&amp;'Port code'!C246</f>
        <v>INDEF6-INFOSYS SEZ DADRI</v>
      </c>
    </row>
    <row r="245" ht="15.75" customHeight="1" spans="6:30">
      <c r="F245" s="3" t="str">
        <f ca="1" t="shared" si="7"/>
        <v/>
      </c>
      <c r="Z245" s="2">
        <v>-243</v>
      </c>
      <c r="AB245" s="2">
        <v>-243</v>
      </c>
      <c r="AD245" s="2" t="str">
        <f>'Port code'!B247&amp;"-"&amp;'Port code'!C247</f>
        <v>INDEG1-Deogad</v>
      </c>
    </row>
    <row r="246" ht="15.75" customHeight="1" spans="6:30">
      <c r="F246" s="3" t="str">
        <f ca="1" t="shared" si="7"/>
        <v/>
      </c>
      <c r="Z246" s="2">
        <v>-244</v>
      </c>
      <c r="AB246" s="2">
        <v>-244</v>
      </c>
      <c r="AD246" s="2" t="str">
        <f>'Port code'!B248&amp;"-"&amp;'Port code'!C248</f>
        <v>INDEH6-HCL TECH. LTD. DEV.</v>
      </c>
    </row>
    <row r="247" ht="15.75" customHeight="1" spans="6:30">
      <c r="F247" s="3" t="str">
        <f ca="1" t="shared" si="7"/>
        <v/>
      </c>
      <c r="Z247" s="2">
        <v>-246</v>
      </c>
      <c r="AB247" s="2">
        <v>-246</v>
      </c>
      <c r="AD247" s="2" t="str">
        <f>'Port code'!B249&amp;"-"&amp;'Port code'!C249</f>
        <v>INDEI6-IVR SEZ NOIDA</v>
      </c>
    </row>
    <row r="248" ht="15.75" customHeight="1" spans="6:30">
      <c r="F248" s="3" t="str">
        <f ca="1" t="shared" si="7"/>
        <v/>
      </c>
      <c r="Z248" s="2">
        <v>-247</v>
      </c>
      <c r="AB248" s="2">
        <v>-247</v>
      </c>
      <c r="AD248" s="2" t="str">
        <f>'Port code'!B250&amp;"-"&amp;'Port code'!C250</f>
        <v>INDEJ6-JUBILANT SEZ NOIDA</v>
      </c>
    </row>
    <row r="249" ht="15.75" customHeight="1" spans="6:30">
      <c r="F249" s="3" t="str">
        <f ca="1" t="shared" si="7"/>
        <v/>
      </c>
      <c r="Z249" s="2">
        <v>-248</v>
      </c>
      <c r="AB249" s="2">
        <v>-248</v>
      </c>
      <c r="AD249" s="2" t="str">
        <f>'Port code'!B251&amp;"-"&amp;'Port code'!C251</f>
        <v>INDEL4-Delhi</v>
      </c>
    </row>
    <row r="250" ht="15.75" customHeight="1" spans="6:30">
      <c r="F250" s="3" t="str">
        <f ca="1" t="shared" si="7"/>
        <v/>
      </c>
      <c r="Z250" s="2">
        <v>-249</v>
      </c>
      <c r="AB250" s="2">
        <v>-249</v>
      </c>
      <c r="AD250" s="2" t="str">
        <f>'Port code'!B252&amp;"-"&amp;'Port code'!C252</f>
        <v>INDEL5-Delhi</v>
      </c>
    </row>
    <row r="251" ht="15.75" customHeight="1" spans="6:30">
      <c r="F251" s="3" t="str">
        <f ca="1" t="shared" si="7"/>
        <v/>
      </c>
      <c r="Z251" s="2">
        <v>-250</v>
      </c>
      <c r="AB251" s="2">
        <v>-250</v>
      </c>
      <c r="AD251" s="2" t="str">
        <f>'Port code'!B253&amp;"-"&amp;'Port code'!C253</f>
        <v>INDEM6-MOSERBAER/SEZ/NOIDA</v>
      </c>
    </row>
    <row r="252" ht="15.75" customHeight="1" spans="30:30">
      <c r="AD252" s="2" t="str">
        <f>'Port code'!B254&amp;"-"&amp;'Port code'!C254</f>
        <v>INDEN6-M/S NIIT TECH. LTD.</v>
      </c>
    </row>
    <row r="253" ht="15.75" customHeight="1" spans="30:30">
      <c r="AD253" s="2" t="str">
        <f>'Port code'!B255&amp;"-"&amp;'Port code'!C255</f>
        <v>INDEP4-Deparizo</v>
      </c>
    </row>
    <row r="254" ht="15.75" customHeight="1" spans="30:30">
      <c r="AD254" s="2" t="str">
        <f>'Port code'!B256&amp;"-"&amp;'Port code'!C256</f>
        <v>INDER6-Dadri</v>
      </c>
    </row>
    <row r="255" ht="15.75" customHeight="1" spans="30:30">
      <c r="AD255" s="2" t="str">
        <f>'Port code'!B257&amp;"-"&amp;'Port code'!C257</f>
        <v>INDES6-M/S SEAVIEW DEV. LTD</v>
      </c>
    </row>
    <row r="256" ht="15.75" customHeight="1" spans="30:30">
      <c r="AD256" s="2" t="str">
        <f>'Port code'!B258&amp;"-"&amp;'Port code'!C258</f>
        <v>INDET6-UNITECH HITECH NOIDA</v>
      </c>
    </row>
    <row r="257" ht="15.75" customHeight="1" spans="30:30">
      <c r="AD257" s="2" t="str">
        <f>'Port code'!B259&amp;"-"&amp;'Port code'!C259</f>
        <v>INDEU6-UNITECHINFRA NOIDA</v>
      </c>
    </row>
    <row r="258" ht="15.75" customHeight="1" spans="30:30">
      <c r="AD258" s="2" t="str">
        <f>'Port code'!B260&amp;"-"&amp;'Port code'!C260</f>
        <v>INDEW6-M/S WIPRO LTD.</v>
      </c>
    </row>
    <row r="259" ht="15.75" customHeight="1" spans="30:30">
      <c r="AD259" s="2" t="str">
        <f>'Port code'!B261&amp;"-"&amp;'Port code'!C261</f>
        <v>INDGI6-GALLANT SEZ NOIDA</v>
      </c>
    </row>
    <row r="260" ht="15.75" customHeight="1" spans="30:30">
      <c r="AD260" s="2" t="str">
        <f>'Port code'!B262&amp;"-"&amp;'Port code'!C262</f>
        <v>INDGT6-GOLDEN SEZ NOIDA</v>
      </c>
    </row>
    <row r="261" ht="15.75" customHeight="1" spans="30:30">
      <c r="AD261" s="2" t="str">
        <f>'Port code'!B263&amp;"-"&amp;'Port code'!C263</f>
        <v>INDHA6-Indore-Dhannad</v>
      </c>
    </row>
    <row r="262" ht="15.75" customHeight="1" spans="30:30">
      <c r="AD262" s="2" t="str">
        <f>'Port code'!B264&amp;"-"&amp;'Port code'!C264</f>
        <v>INDHBB-Dhubri Steamerghat</v>
      </c>
    </row>
    <row r="263" ht="15.75" customHeight="1" spans="30:30">
      <c r="AD263" s="2" t="str">
        <f>'Port code'!B265&amp;"-"&amp;'Port code'!C265</f>
        <v>INDHLB-Dhalaighat</v>
      </c>
    </row>
    <row r="264" ht="15.75" customHeight="1" spans="30:30">
      <c r="AD264" s="2" t="str">
        <f>'Port code'!B266&amp;"-"&amp;'Port code'!C266</f>
        <v>INDHM4-Dharamsala</v>
      </c>
    </row>
    <row r="265" ht="15.75" customHeight="1" spans="30:30">
      <c r="AD265" s="2" t="str">
        <f>'Port code'!B267&amp;"-"&amp;'Port code'!C267</f>
        <v>INDHN1-Dahanu</v>
      </c>
    </row>
    <row r="266" ht="15.75" customHeight="1" spans="30:30">
      <c r="AD266" s="2" t="str">
        <f>'Port code'!B268&amp;"-"&amp;'Port code'!C268</f>
        <v>INDHP1-Dabhol Port</v>
      </c>
    </row>
    <row r="267" ht="15.75" customHeight="1" spans="30:30">
      <c r="AD267" s="2" t="str">
        <f>'Port code'!B269&amp;"-"&amp;'Port code'!C269</f>
        <v>INDHR1-Dholera</v>
      </c>
    </row>
    <row r="268" ht="15.75" customHeight="1" spans="30:30">
      <c r="AD268" s="2" t="str">
        <f>'Port code'!B270&amp;"-"&amp;'Port code'!C270</f>
        <v>INDHU1-Dahanu</v>
      </c>
    </row>
    <row r="269" ht="15.75" customHeight="1" spans="30:30">
      <c r="AD269" s="2" t="str">
        <f>'Port code'!B271&amp;"-"&amp;'Port code'!C271</f>
        <v>INDIB4-Dibrugarh</v>
      </c>
    </row>
    <row r="270" ht="15.75" customHeight="1" spans="30:30">
      <c r="AD270" s="2" t="str">
        <f>'Port code'!B272&amp;"-"&amp;'Port code'!C272</f>
        <v>INDID6-SEZ, MIDC, NANDED</v>
      </c>
    </row>
    <row r="271" ht="15.75" customHeight="1" spans="30:30">
      <c r="AD271" s="2" t="str">
        <f>'Port code'!B273&amp;"-"&amp;'Port code'!C273</f>
        <v>INDIG1-Dighi Port</v>
      </c>
    </row>
    <row r="272" ht="15.75" customHeight="1" spans="30:30">
      <c r="AD272" s="2" t="str">
        <f>'Port code'!B274&amp;"-"&amp;'Port code'!C274</f>
        <v>INDIG6-Dighi (Pune)</v>
      </c>
    </row>
    <row r="273" ht="15.75" customHeight="1" spans="30:30">
      <c r="AD273" s="2" t="str">
        <f>'Port code'!B275&amp;"-"&amp;'Port code'!C275</f>
        <v>INDIT6-ANSAL IT/SEZ/NOIDA</v>
      </c>
    </row>
    <row r="274" ht="15.75" customHeight="1" spans="30:30">
      <c r="AD274" s="2" t="str">
        <f>'Port code'!B276&amp;"-"&amp;'Port code'!C276</f>
        <v>INDIU1-Diu</v>
      </c>
    </row>
    <row r="275" ht="15.75" customHeight="1" spans="30:30">
      <c r="AD275" s="2" t="str">
        <f>'Port code'!B277&amp;"-"&amp;'Port code'!C277</f>
        <v>INDIU4-Diu</v>
      </c>
    </row>
    <row r="276" ht="15.75" customHeight="1" spans="30:30">
      <c r="AD276" s="2" t="str">
        <f>'Port code'!B278&amp;"-"&amp;'Port code'!C278</f>
        <v>INDIV1-Div</v>
      </c>
    </row>
    <row r="277" ht="15.75" customHeight="1" spans="30:30">
      <c r="AD277" s="2" t="str">
        <f>'Port code'!B279&amp;"-"&amp;'Port code'!C279</f>
        <v>INDLAB-Dharchula</v>
      </c>
    </row>
    <row r="278" ht="15.75" customHeight="1" spans="30:30">
      <c r="AD278" s="2" t="str">
        <f>'Port code'!B280&amp;"-"&amp;'Port code'!C280</f>
        <v>INDLH6-APLLP SEZ BENGALURU</v>
      </c>
    </row>
    <row r="279" ht="15.75" customHeight="1" spans="30:30">
      <c r="AD279" s="2" t="str">
        <f>'Port code'!B281&amp;"-"&amp;'Port code'!C281</f>
        <v>INDLI2-Delhi Railway Statio</v>
      </c>
    </row>
    <row r="280" ht="15.75" customHeight="1" spans="30:30">
      <c r="AD280" s="2" t="str">
        <f>'Port code'!B282&amp;"-"&amp;'Port code'!C282</f>
        <v>INDLOB-BIRPARA LCS</v>
      </c>
    </row>
    <row r="281" ht="15.75" customHeight="1" spans="30:30">
      <c r="AD281" s="2" t="str">
        <f>'Port code'!B283&amp;"-"&amp;'Port code'!C283</f>
        <v>INDLUB-Dalu</v>
      </c>
    </row>
    <row r="282" ht="15.75" customHeight="1" spans="30:30">
      <c r="AD282" s="2" t="str">
        <f>'Port code'!B284&amp;"-"&amp;'Port code'!C284</f>
        <v>INDMA1-DHAMRA</v>
      </c>
    </row>
    <row r="283" ht="15.75" customHeight="1" spans="30:30">
      <c r="AD283" s="2" t="str">
        <f>'Port code'!B285&amp;"-"&amp;'Port code'!C285</f>
        <v>INDMRB-Demagir</v>
      </c>
    </row>
    <row r="284" ht="15.75" customHeight="1" spans="30:30">
      <c r="AD284" s="2" t="str">
        <f>'Port code'!B286&amp;"-"&amp;'Port code'!C286</f>
        <v>INDMT1-Dharamtar</v>
      </c>
    </row>
    <row r="285" ht="15.75" customHeight="1" spans="30:30">
      <c r="AD285" s="2" t="str">
        <f>'Port code'!B287&amp;"-"&amp;'Port code'!C287</f>
        <v>INDMU4-Dimapur</v>
      </c>
    </row>
    <row r="286" ht="15.75" customHeight="1" spans="30:30">
      <c r="AD286" s="2" t="str">
        <f>'Port code'!B288&amp;"-"&amp;'Port code'!C288</f>
        <v>INDPC4-DPC BKC Mumbai</v>
      </c>
    </row>
    <row r="287" ht="15.75" customHeight="1" spans="30:30">
      <c r="AD287" s="2" t="str">
        <f>'Port code'!B289&amp;"-"&amp;'Port code'!C289</f>
        <v>INDPR6-DAPPER</v>
      </c>
    </row>
    <row r="288" ht="15.75" customHeight="1" spans="30:30">
      <c r="AD288" s="2" t="str">
        <f>'Port code'!B290&amp;"-"&amp;'Port code'!C290</f>
        <v>INDRC6-RCIPL SEZ NOIDA</v>
      </c>
    </row>
    <row r="289" ht="15.75" customHeight="1" spans="30:30">
      <c r="AD289" s="2" t="str">
        <f>'Port code'!B291&amp;"-"&amp;'Port code'!C291</f>
        <v>INDRGB-Darranga</v>
      </c>
    </row>
    <row r="290" ht="15.75" customHeight="1" spans="30:30">
      <c r="AD290" s="2" t="str">
        <f>'Port code'!B292&amp;"-"&amp;'Port code'!C292</f>
        <v>INDRK1-Dwarka (Rupen)</v>
      </c>
    </row>
    <row r="291" ht="15.75" customHeight="1" spans="30:30">
      <c r="AD291" s="2" t="str">
        <f>'Port code'!B293&amp;"-"&amp;'Port code'!C293</f>
        <v>INDRL1-Dabolim</v>
      </c>
    </row>
    <row r="292" ht="15.75" customHeight="1" spans="30:30">
      <c r="AD292" s="2" t="str">
        <f>'Port code'!B294&amp;"-"&amp;'Port code'!C294</f>
        <v>INDRU6-Belgaum Desur</v>
      </c>
    </row>
    <row r="293" ht="15.75" customHeight="1" spans="30:30">
      <c r="AD293" s="2" t="str">
        <f>'Port code'!B295&amp;"-"&amp;'Port code'!C295</f>
        <v>INDSK1-Dhanu-shkodi</v>
      </c>
    </row>
    <row r="294" ht="15.75" customHeight="1" spans="30:30">
      <c r="AD294" s="2" t="str">
        <f>'Port code'!B296&amp;"-"&amp;'Port code'!C296</f>
        <v>INDSM6-SMRTPL SEZ NOIDA</v>
      </c>
    </row>
    <row r="295" ht="15.75" customHeight="1" spans="30:30">
      <c r="AD295" s="2" t="str">
        <f>'Port code'!B297&amp;"-"&amp;'Port code'!C297</f>
        <v>INDTW1-Dantiwara</v>
      </c>
    </row>
    <row r="296" ht="15.75" customHeight="1" spans="30:30">
      <c r="AD296" s="2" t="str">
        <f>'Port code'!B298&amp;"-"&amp;'Port code'!C298</f>
        <v>INDUR6-ICD Durgapur</v>
      </c>
    </row>
    <row r="297" ht="15.75" customHeight="1" spans="30:30">
      <c r="AD297" s="2" t="str">
        <f>'Port code'!B299&amp;"-"&amp;'Port code'!C299</f>
        <v>INDWA1-Dwarka</v>
      </c>
    </row>
    <row r="298" ht="15.75" customHeight="1" spans="30:30">
      <c r="AD298" s="2" t="str">
        <f>'Port code'!B300&amp;"-"&amp;'Port code'!C300</f>
        <v>INDWKB-Dawki</v>
      </c>
    </row>
    <row r="299" ht="15.75" customHeight="1" spans="30:30">
      <c r="AD299" s="2" t="str">
        <f>'Port code'!B301&amp;"-"&amp;'Port code'!C301</f>
        <v>INDWN6-ICD SAMALKHA PANIPAT</v>
      </c>
    </row>
    <row r="300" ht="15.75" customHeight="1" spans="30:30">
      <c r="AD300" s="2" t="str">
        <f>'Port code'!B302&amp;"-"&amp;'Port code'!C302</f>
        <v>INDWR6-INFOSYS SEZ HUBLI</v>
      </c>
    </row>
    <row r="301" ht="15.75" customHeight="1" spans="30:30">
      <c r="AD301" s="2" t="str">
        <f>'Port code'!B303&amp;"-"&amp;'Port code'!C303</f>
        <v>INENR1-KAMARAJAR PORT LTD</v>
      </c>
    </row>
    <row r="302" ht="15.75" customHeight="1" spans="30:30">
      <c r="AD302" s="2" t="str">
        <f>'Port code'!B304&amp;"-"&amp;'Port code'!C304</f>
        <v>INERP6-PUTHUVYPEEN SEZ</v>
      </c>
    </row>
    <row r="303" ht="15.75" customHeight="1" spans="30:30">
      <c r="AD303" s="2" t="str">
        <f>'Port code'!B305&amp;"-"&amp;'Port code'!C305</f>
        <v>INERV6-VALLARPADOM SEZ</v>
      </c>
    </row>
    <row r="304" ht="15.75" customHeight="1" spans="30:30">
      <c r="AD304" s="2" t="str">
        <f>'Port code'!B306&amp;"-"&amp;'Port code'!C306</f>
        <v>INESH1-Elphinstone Harbour</v>
      </c>
    </row>
    <row r="305" ht="15.75" customHeight="1" spans="30:30">
      <c r="AD305" s="2" t="str">
        <f>'Port code'!B307&amp;"-"&amp;'Port code'!C307</f>
        <v>INFBD6-ICD Faridabad</v>
      </c>
    </row>
    <row r="306" ht="15.75" customHeight="1" spans="30:30">
      <c r="AD306" s="2" t="str">
        <f>'Port code'!B308&amp;"-"&amp;'Port code'!C308</f>
        <v>INFBE6-ESPIRE SEZ FARIDABAD</v>
      </c>
    </row>
    <row r="307" ht="15.75" customHeight="1" spans="30:30">
      <c r="AD307" s="2" t="str">
        <f>'Port code'!B309&amp;"-"&amp;'Port code'!C309</f>
        <v>INFBM6-METRO SEZ GURGAON</v>
      </c>
    </row>
    <row r="308" ht="15.75" customHeight="1" spans="30:30">
      <c r="AD308" s="2" t="str">
        <f>'Port code'!B310&amp;"-"&amp;'Port code'!C310</f>
        <v>INFBP6-PERPETUAL FARIDABAD</v>
      </c>
    </row>
    <row r="309" ht="15.75" customHeight="1" spans="30:30">
      <c r="AD309" s="2" t="str">
        <f>'Port code'!B311&amp;"-"&amp;'Port code'!C311</f>
        <v>INFBRB-Fulbari LCS</v>
      </c>
    </row>
    <row r="310" ht="15.75" customHeight="1" spans="30:30">
      <c r="AD310" s="2" t="str">
        <f>'Port code'!B312&amp;"-"&amp;'Port code'!C312</f>
        <v>INFBS6-SELECTOSEZ FARIDABAD</v>
      </c>
    </row>
    <row r="311" ht="15.75" customHeight="1" spans="30:30">
      <c r="AD311" s="2" t="str">
        <f>'Port code'!B313&amp;"-"&amp;'Port code'!C313</f>
        <v>INFCH5-FPO(SEA) CHENNAI</v>
      </c>
    </row>
    <row r="312" ht="15.75" customHeight="1" spans="30:30">
      <c r="AD312" s="2" t="str">
        <f>'Port code'!B314&amp;"-"&amp;'Port code'!C314</f>
        <v>INFLT6-Falta(SEZ)</v>
      </c>
    </row>
    <row r="313" ht="15.75" customHeight="1" spans="30:30">
      <c r="AD313" s="2" t="str">
        <f>'Port code'!B315&amp;"-"&amp;'Port code'!C315</f>
        <v>INFMA6-APIICL MEDAK</v>
      </c>
    </row>
    <row r="314" ht="15.75" customHeight="1" spans="30:30">
      <c r="AD314" s="2" t="str">
        <f>'Port code'!B316&amp;"-"&amp;'Port code'!C316</f>
        <v>INFMH6-HGSEZL RANGA REDDY</v>
      </c>
    </row>
    <row r="315" ht="15.75" customHeight="1" spans="30:30">
      <c r="AD315" s="2" t="str">
        <f>'Port code'!B317&amp;"-"&amp;'Port code'!C317</f>
        <v>INFMJ6-M/S J.T. SEZ, RANGAR</v>
      </c>
    </row>
    <row r="316" ht="15.75" customHeight="1" spans="30:30">
      <c r="AD316" s="2" t="str">
        <f>'Port code'!B318&amp;"-"&amp;'Port code'!C318</f>
        <v>INFMS6-M/S STARGAZE, SEZ</v>
      </c>
    </row>
    <row r="317" ht="15.75" customHeight="1" spans="30:30">
      <c r="AD317" s="2" t="str">
        <f>'Port code'!B319&amp;"-"&amp;'Port code'!C319</f>
        <v>INGAIB-Gauriphanta</v>
      </c>
    </row>
    <row r="318" ht="15.75" customHeight="1" spans="30:30">
      <c r="AD318" s="2" t="str">
        <f>'Port code'!B320&amp;"-"&amp;'Port code'!C320</f>
        <v>INGALB-Galgalia</v>
      </c>
    </row>
    <row r="319" ht="15.75" customHeight="1" spans="30:30">
      <c r="AD319" s="2" t="str">
        <f>'Port code'!B321&amp;"-"&amp;'Port code'!C321</f>
        <v>INGAO6-OPGS POWER GUJARAT</v>
      </c>
    </row>
    <row r="320" ht="15.75" customHeight="1" spans="30:30">
      <c r="AD320" s="2" t="str">
        <f>'Port code'!B322&amp;"-"&amp;'Port code'!C322</f>
        <v>INGAS6-ANSAL SEZ GURGAON</v>
      </c>
    </row>
    <row r="321" ht="15.75" customHeight="1" spans="30:30">
      <c r="AD321" s="2" t="str">
        <f>'Port code'!B323&amp;"-"&amp;'Port code'!C323</f>
        <v>INGAU1-Gauhati (Panidi)</v>
      </c>
    </row>
    <row r="322" ht="15.75" customHeight="1" spans="30:30">
      <c r="AD322" s="2" t="str">
        <f>'Port code'!B324&amp;"-"&amp;'Port code'!C324</f>
        <v>INGAU2-Gauhati (Panidi)</v>
      </c>
    </row>
    <row r="323" ht="15.75" customHeight="1" spans="30:30">
      <c r="AD323" s="2" t="str">
        <f>'Port code'!B325&amp;"-"&amp;'Port code'!C325</f>
        <v>INGAU4-Gauhati (Panidi)</v>
      </c>
    </row>
    <row r="324" ht="15.75" customHeight="1" spans="30:30">
      <c r="AD324" s="2" t="str">
        <f>'Port code'!B326&amp;"-"&amp;'Port code'!C326</f>
        <v>INGAU5-FPO GUWAHATI</v>
      </c>
    </row>
    <row r="325" ht="15.75" customHeight="1" spans="30:30">
      <c r="AD325" s="2" t="str">
        <f>'Port code'!B327&amp;"-"&amp;'Port code'!C327</f>
        <v>INGAW2-Guwahati</v>
      </c>
    </row>
    <row r="326" ht="15.75" customHeight="1" spans="30:30">
      <c r="AD326" s="2" t="str">
        <f>'Port code'!B328&amp;"-"&amp;'Port code'!C328</f>
        <v>INGAY4-Gaya</v>
      </c>
    </row>
    <row r="327" ht="15.75" customHeight="1" spans="30:30">
      <c r="AD327" s="2" t="str">
        <f>'Port code'!B329&amp;"-"&amp;'Port code'!C329</f>
        <v>INGDL6-DLF CYBERCITY SEZ,</v>
      </c>
    </row>
    <row r="328" ht="15.75" customHeight="1" spans="30:30">
      <c r="AD328" s="2" t="str">
        <f>'Port code'!B330&amp;"-"&amp;'Port code'!C330</f>
        <v>INGDM6-MF PARK PVT. LTD.</v>
      </c>
    </row>
    <row r="329" ht="15.75" customHeight="1" spans="30:30">
      <c r="AD329" s="2" t="str">
        <f>'Port code'!B331&amp;"-"&amp;'Port code'!C331</f>
        <v>INGDP6-FLLPL SEZ THIRUVALUR</v>
      </c>
    </row>
    <row r="330" ht="15.75" customHeight="1" spans="30:30">
      <c r="AD330" s="2" t="str">
        <f>'Port code'!B332&amp;"-"&amp;'Port code'!C332</f>
        <v>INGED2-Gede Railway Station</v>
      </c>
    </row>
    <row r="331" ht="15.75" customHeight="1" spans="30:30">
      <c r="AD331" s="2" t="str">
        <f>'Port code'!B333&amp;"-"&amp;'Port code'!C333</f>
        <v>INGGA1-Gogha</v>
      </c>
    </row>
    <row r="332" ht="15.75" customHeight="1" spans="30:30">
      <c r="AD332" s="2" t="str">
        <f>'Port code'!B334&amp;"-"&amp;'Port code'!C334</f>
        <v>INGGB6-SBPL SEZ GURGAON</v>
      </c>
    </row>
    <row r="333" ht="15.75" customHeight="1" spans="30:30">
      <c r="AD333" s="2" t="str">
        <f>'Port code'!B335&amp;"-"&amp;'Port code'!C335</f>
        <v>INGGC6-ORIENT SEZ GURGAON</v>
      </c>
    </row>
    <row r="334" ht="15.75" customHeight="1" spans="30:30">
      <c r="AD334" s="2" t="str">
        <f>'Port code'!B336&amp;"-"&amp;'Port code'!C336</f>
        <v>INGGD6-DLF LTD.</v>
      </c>
    </row>
    <row r="335" ht="15.75" customHeight="1" spans="30:30">
      <c r="AD335" s="2" t="str">
        <f>'Port code'!B337&amp;"-"&amp;'Port code'!C337</f>
        <v>INGGE6-AEPL SEZ GURGAON</v>
      </c>
    </row>
    <row r="336" ht="15.75" customHeight="1" spans="30:30">
      <c r="AD336" s="2" t="str">
        <f>'Port code'!B338&amp;"-"&amp;'Port code'!C338</f>
        <v>INGGF6-FRESH SEZ GURGAON</v>
      </c>
    </row>
    <row r="337" ht="15.75" customHeight="1" spans="30:30">
      <c r="AD337" s="2" t="str">
        <f>'Port code'!B339&amp;"-"&amp;'Port code'!C339</f>
        <v>INGGG6-GHI SEZ GURGAON</v>
      </c>
    </row>
    <row r="338" ht="15.75" customHeight="1" spans="30:30">
      <c r="AD338" s="2" t="str">
        <f>'Port code'!B340&amp;"-"&amp;'Port code'!C340</f>
        <v>INGGI6-GIL SEZ, GURGAON</v>
      </c>
    </row>
    <row r="339" ht="15.75" customHeight="1" spans="30:30">
      <c r="AD339" s="2" t="str">
        <f>'Port code'!B341&amp;"-"&amp;'Port code'!C341</f>
        <v>INGGL6-LUXOR SEZ GURGAON</v>
      </c>
    </row>
    <row r="340" ht="15.75" customHeight="1" spans="30:30">
      <c r="AD340" s="2" t="str">
        <f>'Port code'!B342&amp;"-"&amp;'Port code'!C342</f>
        <v>INGGM6-MIPPL SEZ GURGAON</v>
      </c>
    </row>
    <row r="341" ht="15.75" customHeight="1" spans="30:30">
      <c r="AD341" s="2" t="str">
        <f>'Port code'!B343&amp;"-"&amp;'Port code'!C343</f>
        <v>INGGN2-Gurgaon</v>
      </c>
    </row>
    <row r="342" ht="15.75" customHeight="1" spans="30:30">
      <c r="AD342" s="2" t="str">
        <f>'Port code'!B344&amp;"-"&amp;'Port code'!C344</f>
        <v>INGGO6-ORIENTCRAFT SEZ GGN</v>
      </c>
    </row>
    <row r="343" ht="15.75" customHeight="1" spans="30:30">
      <c r="AD343" s="2" t="str">
        <f>'Port code'!B345&amp;"-"&amp;'Port code'!C345</f>
        <v>INGGP6-SUNWISE SEZ GURGAON</v>
      </c>
    </row>
    <row r="344" ht="15.75" customHeight="1" spans="30:30">
      <c r="AD344" s="2" t="str">
        <f>'Port code'!B346&amp;"-"&amp;'Port code'!C346</f>
        <v>INGGS6-SUNCITY SEZ GURGAON</v>
      </c>
    </row>
    <row r="345" ht="15.75" customHeight="1" spans="30:30">
      <c r="AD345" s="2" t="str">
        <f>'Port code'!B347&amp;"-"&amp;'Port code'!C347</f>
        <v>INGGU6-URP LTD.</v>
      </c>
    </row>
    <row r="346" ht="15.75" customHeight="1" spans="30:30">
      <c r="AD346" s="2" t="str">
        <f>'Port code'!B348&amp;"-"&amp;'Port code'!C348</f>
        <v>INGGV1-GANGAVARAM PORT</v>
      </c>
    </row>
    <row r="347" ht="15.75" customHeight="1" spans="30:30">
      <c r="AD347" s="2" t="str">
        <f>'Port code'!B349&amp;"-"&amp;'Port code'!C349</f>
        <v>INGHA1-Ghogha</v>
      </c>
    </row>
    <row r="348" ht="15.75" customHeight="1" spans="30:30">
      <c r="AD348" s="2" t="str">
        <f>'Port code'!B350&amp;"-"&amp;'Port code'!C350</f>
        <v>INGHC6-ASF INSIGNIA SEZ</v>
      </c>
    </row>
    <row r="349" ht="15.75" customHeight="1" spans="30:30">
      <c r="AD349" s="2" t="str">
        <f>'Port code'!B351&amp;"-"&amp;'Port code'!C351</f>
        <v>INGHPB-Ghasuapara</v>
      </c>
    </row>
    <row r="350" ht="15.75" customHeight="1" spans="30:30">
      <c r="AD350" s="2" t="str">
        <f>'Port code'!B352&amp;"-"&amp;'Port code'!C352</f>
        <v>INGHR6-Garhi Harsaru Gurgao</v>
      </c>
    </row>
    <row r="351" ht="15.75" customHeight="1" spans="30:30">
      <c r="AD351" s="2" t="str">
        <f>'Port code'!B353&amp;"-"&amp;'Port code'!C353</f>
        <v>INGHWB-Gauhati Steamerghat</v>
      </c>
    </row>
    <row r="352" ht="15.75" customHeight="1" spans="30:30">
      <c r="AD352" s="2" t="str">
        <f>'Port code'!B354&amp;"-"&amp;'Port code'!C354</f>
        <v>INGID6-MID PLTD SEZ GURGAON</v>
      </c>
    </row>
    <row r="353" ht="15.75" customHeight="1" spans="30:30">
      <c r="AD353" s="2" t="str">
        <f>'Port code'!B355&amp;"-"&amp;'Port code'!C355</f>
        <v>INGIN6-Gandhidham</v>
      </c>
    </row>
    <row r="354" ht="15.75" customHeight="1" spans="30:30">
      <c r="AD354" s="2" t="str">
        <f>'Port code'!B356&amp;"-"&amp;'Port code'!C356</f>
        <v>INGJIB-Gunji</v>
      </c>
    </row>
    <row r="355" ht="15.75" customHeight="1" spans="30:30">
      <c r="AD355" s="2" t="str">
        <f>'Port code'!B357&amp;"-"&amp;'Port code'!C357</f>
        <v>INGJXB-Ghojadanga</v>
      </c>
    </row>
    <row r="356" ht="15.75" customHeight="1" spans="30:30">
      <c r="AD356" s="2" t="str">
        <f>'Port code'!B358&amp;"-"&amp;'Port code'!C358</f>
        <v>INGKJ2-Golakganj Railway St</v>
      </c>
    </row>
    <row r="357" ht="15.75" customHeight="1" spans="30:30">
      <c r="AD357" s="2" t="str">
        <f>'Port code'!B359&amp;"-"&amp;'Port code'!C359</f>
        <v>INGKJB-Golakganj LCS</v>
      </c>
    </row>
    <row r="358" ht="15.75" customHeight="1" spans="30:30">
      <c r="AD358" s="2" t="str">
        <f>'Port code'!B360&amp;"-"&amp;'Port code'!C360</f>
        <v>INGLY6-APIIC MAHABOOBNAGAR</v>
      </c>
    </row>
    <row r="359" ht="15.75" customHeight="1" spans="30:30">
      <c r="AD359" s="2" t="str">
        <f>'Port code'!B361&amp;"-"&amp;'Port code'!C361</f>
        <v>INGMI6-MID PVT LTD.</v>
      </c>
    </row>
    <row r="360" ht="15.75" customHeight="1" spans="30:30">
      <c r="AD360" s="2" t="str">
        <f>'Port code'!B362&amp;"-"&amp;'Port code'!C362</f>
        <v>INGNA6-APPL, SEZ</v>
      </c>
    </row>
    <row r="361" ht="15.75" customHeight="1" spans="30:30">
      <c r="AD361" s="2" t="str">
        <f>'Port code'!B363&amp;"-"&amp;'Port code'!C363</f>
        <v>INGNC6-GIFT SEZ LTD</v>
      </c>
    </row>
    <row r="362" ht="15.75" customHeight="1" spans="30:30">
      <c r="AD362" s="2" t="str">
        <f>'Port code'!B364&amp;"-"&amp;'Port code'!C364</f>
        <v>INGNG6-GIDC, SEZ</v>
      </c>
    </row>
    <row r="363" ht="15.75" customHeight="1" spans="30:30">
      <c r="AD363" s="2" t="str">
        <f>'Port code'!B365&amp;"-"&amp;'Port code'!C365</f>
        <v>INGNL6-LOMA ITPARK GHANSOLI</v>
      </c>
    </row>
    <row r="364" ht="15.75" customHeight="1" spans="30:30">
      <c r="AD364" s="2" t="str">
        <f>'Port code'!B366&amp;"-"&amp;'Port code'!C366</f>
        <v>INGNP6-GPRPL SEZ GURGAON</v>
      </c>
    </row>
    <row r="365" ht="15.75" customHeight="1" spans="30:30">
      <c r="AD365" s="2" t="str">
        <f>'Port code'!B367&amp;"-"&amp;'Port code'!C367</f>
        <v>INGNR6-LIPL/MARRIPLEMGUNTUR</v>
      </c>
    </row>
    <row r="366" ht="15.75" customHeight="1" spans="30:30">
      <c r="AD366" s="2" t="str">
        <f>'Port code'!B368&amp;"-"&amp;'Port code'!C368</f>
        <v>INGNT6-TCSL, SEZ</v>
      </c>
    </row>
    <row r="367" ht="15.75" customHeight="1" spans="30:30">
      <c r="AD367" s="2" t="str">
        <f>'Port code'!B369&amp;"-"&amp;'Port code'!C369</f>
        <v>INGOI4-Goa</v>
      </c>
    </row>
    <row r="368" ht="15.75" customHeight="1" spans="30:30">
      <c r="AD368" s="2" t="str">
        <f>'Port code'!B370&amp;"-"&amp;'Port code'!C370</f>
        <v>INGOP4-Gorakhpur</v>
      </c>
    </row>
    <row r="369" ht="15.75" customHeight="1" spans="30:30">
      <c r="AD369" s="2" t="str">
        <f>'Port code'!B371&amp;"-"&amp;'Port code'!C371</f>
        <v>INGPB6-PROGRESSIVE GURGAON</v>
      </c>
    </row>
    <row r="370" ht="15.75" customHeight="1" spans="30:30">
      <c r="AD370" s="2" t="str">
        <f>'Port code'!B372&amp;"-"&amp;'Port code'!C372</f>
        <v>INGPR1-Gopalpur</v>
      </c>
    </row>
    <row r="371" ht="15.75" customHeight="1" spans="30:30">
      <c r="AD371" s="2" t="str">
        <f>'Port code'!B373&amp;"-"&amp;'Port code'!C373</f>
        <v>INGRD6-Mumbai DP-II</v>
      </c>
    </row>
    <row r="372" ht="15.75" customHeight="1" spans="30:30">
      <c r="AD372" s="2" t="str">
        <f>'Port code'!B374&amp;"-"&amp;'Port code'!C374</f>
        <v>INGRL6-GPRL SEZ GURGAON</v>
      </c>
    </row>
    <row r="373" ht="15.75" customHeight="1" spans="30:30">
      <c r="AD373" s="2" t="str">
        <f>'Port code'!B375&amp;"-"&amp;'Port code'!C375</f>
        <v>INGRN6-RELIANCE SEZ GURGAON</v>
      </c>
    </row>
    <row r="374" ht="15.75" customHeight="1" spans="30:30">
      <c r="AD374" s="2" t="str">
        <f>'Port code'!B376&amp;"-"&amp;'Port code'!C376</f>
        <v>INGRR6-Mumbai DP-I</v>
      </c>
    </row>
    <row r="375" ht="15.75" customHeight="1" spans="30:30">
      <c r="AD375" s="2" t="str">
        <f>'Port code'!B377&amp;"-"&amp;'Port code'!C377</f>
        <v>INGRS6-RAHEJA SEZ GURGAON</v>
      </c>
    </row>
    <row r="376" ht="15.75" customHeight="1" spans="30:30">
      <c r="AD376" s="2" t="str">
        <f>'Port code'!B378&amp;"-"&amp;'Port code'!C378</f>
        <v>INGRW6-APM ICD BHAMBOLIKHED</v>
      </c>
    </row>
    <row r="377" ht="15.75" customHeight="1" spans="30:30">
      <c r="AD377" s="2" t="str">
        <f>'Port code'!B379&amp;"-"&amp;'Port code'!C379</f>
        <v>INGTGB-Gitaldah road</v>
      </c>
    </row>
    <row r="378" ht="15.75" customHeight="1" spans="30:30">
      <c r="AD378" s="2" t="str">
        <f>'Port code'!B380&amp;"-"&amp;'Port code'!C380</f>
        <v>INGTI6-INFOSYS TECH. LTD.</v>
      </c>
    </row>
    <row r="379" ht="15.75" customHeight="1" spans="30:30">
      <c r="AD379" s="2" t="str">
        <f>'Port code'!B381&amp;"-"&amp;'Port code'!C381</f>
        <v>INGTR2-Guntur</v>
      </c>
    </row>
    <row r="380" ht="15.75" customHeight="1" spans="30:30">
      <c r="AD380" s="2" t="str">
        <f>'Port code'!B382&amp;"-"&amp;'Port code'!C382</f>
        <v>INGTS6-SP PVT. LTD.</v>
      </c>
    </row>
    <row r="381" ht="15.75" customHeight="1" spans="30:30">
      <c r="AD381" s="2" t="str">
        <f>'Port code'!B383&amp;"-"&amp;'Port code'!C383</f>
        <v>INGTZB-Getandah</v>
      </c>
    </row>
    <row r="382" ht="15.75" customHeight="1" spans="30:30">
      <c r="AD382" s="2" t="str">
        <f>'Port code'!B384&amp;"-"&amp;'Port code'!C384</f>
        <v>INGUX4-Guna</v>
      </c>
    </row>
    <row r="383" ht="15.75" customHeight="1" spans="30:30">
      <c r="AD383" s="2" t="str">
        <f>'Port code'!B385&amp;"-"&amp;'Port code'!C385</f>
        <v>INGWL4-Gwalior</v>
      </c>
    </row>
    <row r="384" ht="15.75" customHeight="1" spans="30:30">
      <c r="AD384" s="2" t="str">
        <f>'Port code'!B386&amp;"-"&amp;'Port code'!C386</f>
        <v>INGWL6-Malanpuri (Gwalior)</v>
      </c>
    </row>
    <row r="385" ht="15.75" customHeight="1" spans="30:30">
      <c r="AD385" s="2" t="str">
        <f>'Port code'!B387&amp;"-"&amp;'Port code'!C387</f>
        <v>INGWM4-VIJAYAWADA AIRPORT</v>
      </c>
    </row>
    <row r="386" ht="15.75" customHeight="1" spans="30:30">
      <c r="AD386" s="2" t="str">
        <f>'Port code'!B388&amp;"-"&amp;'Port code'!C388</f>
        <v>INHAL1-Haldia</v>
      </c>
    </row>
    <row r="387" ht="15.75" customHeight="1" spans="30:30">
      <c r="AD387" s="2" t="str">
        <f>'Port code'!B389&amp;"-"&amp;'Port code'!C389</f>
        <v>INHAN6-HINDAUN ICD KARAULI</v>
      </c>
    </row>
    <row r="388" ht="15.75" customHeight="1" spans="30:30">
      <c r="AD388" s="2" t="str">
        <f>'Port code'!B390&amp;"-"&amp;'Port code'!C390</f>
        <v>INHAO6-OPTOINFRA/SEZ/HASSAN</v>
      </c>
    </row>
    <row r="389" ht="15.75" customHeight="1" spans="30:30">
      <c r="AD389" s="2" t="str">
        <f>'Port code'!B391&amp;"-"&amp;'Port code'!C391</f>
        <v>INHAS6-HASSAN ICD</v>
      </c>
    </row>
    <row r="390" ht="15.75" customHeight="1" spans="30:30">
      <c r="AD390" s="2" t="str">
        <f>'Port code'!B392&amp;"-"&amp;'Port code'!C392</f>
        <v>INHBB6-SDPL SEZ BENGALURU</v>
      </c>
    </row>
    <row r="391" ht="15.75" customHeight="1" spans="30:30">
      <c r="AD391" s="2" t="str">
        <f>'Port code'!B393&amp;"-"&amp;'Port code'!C393</f>
        <v>INHBX4-Hubli</v>
      </c>
    </row>
    <row r="392" ht="15.75" customHeight="1" spans="30:30">
      <c r="AD392" s="2" t="str">
        <f>'Port code'!B394&amp;"-"&amp;'Port code'!C394</f>
        <v>INHDD6-SIDCUL ICD PANTNAGAR</v>
      </c>
    </row>
    <row r="393" ht="15.75" customHeight="1" spans="30:30">
      <c r="AD393" s="2" t="str">
        <f>'Port code'!B395&amp;"-"&amp;'Port code'!C395</f>
        <v>INHEB6-GOCL SEZ BENGALURU</v>
      </c>
    </row>
    <row r="394" ht="15.75" customHeight="1" spans="30:30">
      <c r="AD394" s="2" t="str">
        <f>'Port code'!B396&amp;"-"&amp;'Port code'!C396</f>
        <v>INHEI6-INFOSYS/SEZ/MYSORE</v>
      </c>
    </row>
    <row r="395" ht="15.75" customHeight="1" spans="30:30">
      <c r="AD395" s="2" t="str">
        <f>'Port code'!B397&amp;"-"&amp;'Port code'!C397</f>
        <v>INHEM6-MEBP/SEZ/BANGALORE</v>
      </c>
    </row>
    <row r="396" ht="15.75" customHeight="1" spans="30:30">
      <c r="AD396" s="2" t="str">
        <f>'Port code'!B398&amp;"-"&amp;'Port code'!C398</f>
        <v>INHGLB-Hingalganj</v>
      </c>
    </row>
    <row r="397" ht="15.75" customHeight="1" spans="30:30">
      <c r="AD397" s="2" t="str">
        <f>'Port code'!B399&amp;"-"&amp;'Port code'!C399</f>
        <v>INHGT1-Hangarkatta</v>
      </c>
    </row>
    <row r="398" ht="15.75" customHeight="1" spans="30:30">
      <c r="AD398" s="2" t="str">
        <f>'Port code'!B400&amp;"-"&amp;'Port code'!C400</f>
        <v>INHIR6-SHB ICD SURAT</v>
      </c>
    </row>
    <row r="399" ht="15.75" customHeight="1" spans="30:30">
      <c r="AD399" s="2" t="str">
        <f>'Port code'!B401&amp;"-"&amp;'Port code'!C401</f>
        <v>INHJR4-Khajuraho</v>
      </c>
    </row>
    <row r="400" ht="15.75" customHeight="1" spans="30:30">
      <c r="AD400" s="2" t="str">
        <f>'Port code'!B402&amp;"-"&amp;'Port code'!C402</f>
        <v>INHLD2-Haldibari Railway St</v>
      </c>
    </row>
    <row r="401" ht="15.75" customHeight="1" spans="30:30">
      <c r="AD401" s="2" t="str">
        <f>'Port code'!B403&amp;"-"&amp;'Port code'!C403</f>
        <v>INHLE6-INFY SEZ BEGURHOBLI</v>
      </c>
    </row>
    <row r="402" ht="15.75" customHeight="1" spans="30:30">
      <c r="AD402" s="2" t="str">
        <f>'Port code'!B404&amp;"-"&amp;'Port code'!C404</f>
        <v>INHLIB-Hilli</v>
      </c>
    </row>
    <row r="403" ht="15.75" customHeight="1" spans="30:30">
      <c r="AD403" s="2" t="str">
        <f>'Port code'!B405&amp;"-"&amp;'Port code'!C405</f>
        <v>INHND1-HEMNAGAR PORT</v>
      </c>
    </row>
    <row r="404" ht="15.75" customHeight="1" spans="30:30">
      <c r="AD404" s="2" t="str">
        <f>'Port code'!B406&amp;"-"&amp;'Port code'!C406</f>
        <v>INHON1-Honavar</v>
      </c>
    </row>
    <row r="405" ht="15.75" customHeight="1" spans="30:30">
      <c r="AD405" s="2" t="str">
        <f>'Port code'!B407&amp;"-"&amp;'Port code'!C407</f>
        <v>INHPI6-SANDKHERA ICD KASHIP</v>
      </c>
    </row>
    <row r="406" ht="15.75" customHeight="1" spans="30:30">
      <c r="AD406" s="2" t="str">
        <f>'Port code'!B408&amp;"-"&amp;'Port code'!C408</f>
        <v>INHRN1-Harnai</v>
      </c>
    </row>
    <row r="407" ht="15.75" customHeight="1" spans="30:30">
      <c r="AD407" s="2" t="str">
        <f>'Port code'!B409&amp;"-"&amp;'Port code'!C409</f>
        <v>INHSF6-KIADBFP SEZ HASSAN</v>
      </c>
    </row>
    <row r="408" ht="15.75" customHeight="1" spans="30:30">
      <c r="AD408" s="2" t="str">
        <f>'Port code'!B410&amp;"-"&amp;'Port code'!C410</f>
        <v>INHSP6-KIADBP SEZ HASSAN</v>
      </c>
    </row>
    <row r="409" ht="15.75" customHeight="1" spans="30:30">
      <c r="AD409" s="2" t="str">
        <f>'Port code'!B411&amp;"-"&amp;'Port code'!C411</f>
        <v>INHSS4-Hissar</v>
      </c>
    </row>
    <row r="410" ht="15.75" customHeight="1" spans="30:30">
      <c r="AD410" s="2" t="str">
        <f>'Port code'!B412&amp;"-"&amp;'Port code'!C412</f>
        <v>INHST6-KIADBT SEZ HASSAN</v>
      </c>
    </row>
    <row r="411" ht="15.75" customHeight="1" spans="30:30">
      <c r="AD411" s="2" t="str">
        <f>'Port code'!B413&amp;"-"&amp;'Port code'!C413</f>
        <v>INHSU6-ICD HOSUR</v>
      </c>
    </row>
    <row r="412" ht="15.75" customHeight="1" spans="30:30">
      <c r="AD412" s="2" t="str">
        <f>'Port code'!B414&amp;"-"&amp;'Port code'!C414</f>
        <v>INHTSB-Hatisar</v>
      </c>
    </row>
    <row r="413" ht="15.75" customHeight="1" spans="30:30">
      <c r="AD413" s="2" t="str">
        <f>'Port code'!B415&amp;"-"&amp;'Port code'!C415</f>
        <v>INHUR6-M/S RASSI, SEZ</v>
      </c>
    </row>
    <row r="414" ht="15.75" customHeight="1" spans="30:30">
      <c r="AD414" s="2" t="str">
        <f>'Port code'!B416&amp;"-"&amp;'Port code'!C416</f>
        <v>INHWR1-Honawar</v>
      </c>
    </row>
    <row r="415" ht="15.75" customHeight="1" spans="30:30">
      <c r="AD415" s="2" t="str">
        <f>'Port code'!B417&amp;"-"&amp;'Port code'!C417</f>
        <v>INHYB6-LHT PARK PVT. LTD.</v>
      </c>
    </row>
    <row r="416" ht="15.75" customHeight="1" spans="30:30">
      <c r="AD416" s="2" t="str">
        <f>'Port code'!B418&amp;"-"&amp;'Port code'!C418</f>
        <v>INHYD4-Hyderabad</v>
      </c>
    </row>
    <row r="417" ht="15.75" customHeight="1" spans="30:30">
      <c r="AD417" s="2" t="str">
        <f>'Port code'!B419&amp;"-"&amp;'Port code'!C419</f>
        <v>INHYD5-FPO HYDERABAD</v>
      </c>
    </row>
    <row r="418" ht="15.75" customHeight="1" spans="30:30">
      <c r="AD418" s="2" t="str">
        <f>'Port code'!B420&amp;"-"&amp;'Port code'!C420</f>
        <v>INHYD6-Hyderabad</v>
      </c>
    </row>
    <row r="419" ht="15.75" customHeight="1" spans="30:30">
      <c r="AD419" s="2" t="str">
        <f>'Port code'!B421&amp;"-"&amp;'Port code'!C421</f>
        <v>INHZA1-HAZIRA, SURAT</v>
      </c>
    </row>
    <row r="420" ht="15.75" customHeight="1" spans="30:30">
      <c r="AD420" s="2" t="str">
        <f>'Port code'!B422&amp;"-"&amp;'Port code'!C422</f>
        <v>INHZA6-Hazira SEZ, Surat</v>
      </c>
    </row>
    <row r="421" ht="15.75" customHeight="1" spans="30:30">
      <c r="AD421" s="2" t="str">
        <f>'Port code'!B423&amp;"-"&amp;'Port code'!C423</f>
        <v>INIDR4-Indore</v>
      </c>
    </row>
    <row r="422" ht="15.75" customHeight="1" spans="30:30">
      <c r="AD422" s="2" t="str">
        <f>'Port code'!B424&amp;"-"&amp;'Port code'!C424</f>
        <v>INIDR6-Indore(EPZ/SEZ)</v>
      </c>
    </row>
    <row r="423" ht="15.75" customHeight="1" spans="30:30">
      <c r="AD423" s="2" t="str">
        <f>'Port code'!B425&amp;"-"&amp;'Port code'!C425</f>
        <v>INIGU6-Coimbatore Irugur IC</v>
      </c>
    </row>
    <row r="424" ht="15.75" customHeight="1" spans="30:30">
      <c r="AD424" s="2" t="str">
        <f>'Port code'!B426&amp;"-"&amp;'Port code'!C426</f>
        <v>INILP6-Tiruvallur-ILP ICD</v>
      </c>
    </row>
    <row r="425" ht="15.75" customHeight="1" spans="30:30">
      <c r="AD425" s="2" t="str">
        <f>'Port code'!B427&amp;"-"&amp;'Port code'!C427</f>
        <v>INIMF4-Imphal</v>
      </c>
    </row>
    <row r="426" ht="15.75" customHeight="1" spans="30:30">
      <c r="AD426" s="2" t="str">
        <f>'Port code'!B428&amp;"-"&amp;'Port code'!C428</f>
        <v>ININB6-CRYSTAL IT PARK, SEZ</v>
      </c>
    </row>
    <row r="427" ht="15.75" customHeight="1" spans="30:30">
      <c r="AD427" s="2" t="str">
        <f>'Port code'!B429&amp;"-"&amp;'Port code'!C429</f>
        <v>ININD6-ICD Pithampur</v>
      </c>
    </row>
    <row r="428" ht="15.75" customHeight="1" spans="30:30">
      <c r="AD428" s="2" t="str">
        <f>'Port code'!B430&amp;"-"&amp;'Port code'!C430</f>
        <v>ININI6-IMPETUS INFOTECH SEZ</v>
      </c>
    </row>
    <row r="429" ht="15.75" customHeight="1" spans="30:30">
      <c r="AD429" s="2" t="str">
        <f>'Port code'!B431&amp;"-"&amp;'Port code'!C431</f>
        <v>ININN6-INFOSYS SEZ INDORE</v>
      </c>
    </row>
    <row r="430" ht="15.75" customHeight="1" spans="30:30">
      <c r="AD430" s="2" t="str">
        <f>'Port code'!B432&amp;"-"&amp;'Port code'!C432</f>
        <v>ININT6-TCS SEZ INDORE</v>
      </c>
    </row>
    <row r="431" ht="15.75" customHeight="1" spans="30:30">
      <c r="AD431" s="2" t="str">
        <f>'Port code'!B433&amp;"-"&amp;'Port code'!C433</f>
        <v>INISK4-Nasik</v>
      </c>
    </row>
    <row r="432" ht="15.75" customHeight="1" spans="30:30">
      <c r="AD432" s="2" t="str">
        <f>'Port code'!B434&amp;"-"&amp;'Port code'!C434</f>
        <v>INISK6-Nasik</v>
      </c>
    </row>
    <row r="433" ht="15.75" customHeight="1" spans="30:30">
      <c r="AD433" s="2" t="str">
        <f>'Port code'!B435&amp;"-"&amp;'Port code'!C435</f>
        <v>INIXA4-Agartala</v>
      </c>
    </row>
    <row r="434" ht="15.75" customHeight="1" spans="30:30">
      <c r="AD434" s="2" t="str">
        <f>'Port code'!B436&amp;"-"&amp;'Port code'!C436</f>
        <v>INIXB4-Bagdogra</v>
      </c>
    </row>
    <row r="435" ht="15.75" customHeight="1" spans="30:30">
      <c r="AD435" s="2" t="str">
        <f>'Port code'!B437&amp;"-"&amp;'Port code'!C437</f>
        <v>INIXC4-Chandigarh</v>
      </c>
    </row>
    <row r="436" ht="15.75" customHeight="1" spans="30:30">
      <c r="AD436" s="2" t="str">
        <f>'Port code'!B438&amp;"-"&amp;'Port code'!C438</f>
        <v>INIXD4-Allahabad</v>
      </c>
    </row>
    <row r="437" ht="15.75" customHeight="1" spans="30:30">
      <c r="AD437" s="2" t="str">
        <f>'Port code'!B439&amp;"-"&amp;'Port code'!C439</f>
        <v>INIXE1-Mangalore</v>
      </c>
    </row>
    <row r="438" ht="15.75" customHeight="1" spans="30:30">
      <c r="AD438" s="2" t="str">
        <f>'Port code'!B440&amp;"-"&amp;'Port code'!C440</f>
        <v>INIXE4-Mangalore</v>
      </c>
    </row>
    <row r="439" ht="15.75" customHeight="1" spans="30:30">
      <c r="AD439" s="2" t="str">
        <f>'Port code'!B441&amp;"-"&amp;'Port code'!C441</f>
        <v>INIXG4-Belgaum</v>
      </c>
    </row>
    <row r="440" ht="15.75" customHeight="1" spans="30:30">
      <c r="AD440" s="2" t="str">
        <f>'Port code'!B442&amp;"-"&amp;'Port code'!C442</f>
        <v>INIXH4-Kailashahar</v>
      </c>
    </row>
    <row r="441" ht="15.75" customHeight="1" spans="30:30">
      <c r="AD441" s="2" t="str">
        <f>'Port code'!B443&amp;"-"&amp;'Port code'!C443</f>
        <v>INIXI4-Lilabari</v>
      </c>
    </row>
    <row r="442" ht="15.75" customHeight="1" spans="30:30">
      <c r="AD442" s="2" t="str">
        <f>'Port code'!B444&amp;"-"&amp;'Port code'!C444</f>
        <v>INIXJ4-Jammu</v>
      </c>
    </row>
    <row r="443" ht="15.75" customHeight="1" spans="30:30">
      <c r="AD443" s="2" t="str">
        <f>'Port code'!B445&amp;"-"&amp;'Port code'!C445</f>
        <v>INIXK4-Keshod</v>
      </c>
    </row>
    <row r="444" ht="15.75" customHeight="1" spans="30:30">
      <c r="AD444" s="2" t="str">
        <f>'Port code'!B446&amp;"-"&amp;'Port code'!C446</f>
        <v>INIXL4-Leh</v>
      </c>
    </row>
    <row r="445" ht="15.75" customHeight="1" spans="30:30">
      <c r="AD445" s="2" t="str">
        <f>'Port code'!B447&amp;"-"&amp;'Port code'!C447</f>
        <v>INIXL5-FPO LEH</v>
      </c>
    </row>
    <row r="446" ht="15.75" customHeight="1" spans="30:30">
      <c r="AD446" s="2" t="str">
        <f>'Port code'!B448&amp;"-"&amp;'Port code'!C448</f>
        <v>INIXM4-Madurai</v>
      </c>
    </row>
    <row r="447" ht="15.75" customHeight="1" spans="30:30">
      <c r="AD447" s="2" t="str">
        <f>'Port code'!B449&amp;"-"&amp;'Port code'!C449</f>
        <v>INIXM6-MaduraiICD</v>
      </c>
    </row>
    <row r="448" ht="15.75" customHeight="1" spans="30:30">
      <c r="AD448" s="2" t="str">
        <f>'Port code'!B450&amp;"-"&amp;'Port code'!C450</f>
        <v>INIXN4-Khowai</v>
      </c>
    </row>
    <row r="449" ht="15.75" customHeight="1" spans="30:30">
      <c r="AD449" s="2" t="str">
        <f>'Port code'!B451&amp;"-"&amp;'Port code'!C451</f>
        <v>INIXP4-Pathankot</v>
      </c>
    </row>
    <row r="450" ht="15.75" customHeight="1" spans="30:30">
      <c r="AD450" s="2" t="str">
        <f>'Port code'!B452&amp;"-"&amp;'Port code'!C452</f>
        <v>INIXQ4-Kamalpur</v>
      </c>
    </row>
    <row r="451" ht="15.75" customHeight="1" spans="30:30">
      <c r="AD451" s="2" t="str">
        <f>'Port code'!B453&amp;"-"&amp;'Port code'!C453</f>
        <v>INIXR4-Ranchi</v>
      </c>
    </row>
    <row r="452" ht="15.75" customHeight="1" spans="30:30">
      <c r="AD452" s="2" t="str">
        <f>'Port code'!B454&amp;"-"&amp;'Port code'!C454</f>
        <v>INIXS4-Silchar</v>
      </c>
    </row>
    <row r="453" ht="15.75" customHeight="1" spans="30:30">
      <c r="AD453" s="2" t="str">
        <f>'Port code'!B455&amp;"-"&amp;'Port code'!C455</f>
        <v>INIXT4-Pasighat</v>
      </c>
    </row>
    <row r="454" ht="15.75" customHeight="1" spans="30:30">
      <c r="AD454" s="2" t="str">
        <f>'Port code'!B456&amp;"-"&amp;'Port code'!C456</f>
        <v>INIXU4-AURANGABAD</v>
      </c>
    </row>
    <row r="455" ht="15.75" customHeight="1" spans="30:30">
      <c r="AD455" s="2" t="str">
        <f>'Port code'!B457&amp;"-"&amp;'Port code'!C457</f>
        <v>INIXW4-Jamshedpur</v>
      </c>
    </row>
    <row r="456" ht="15.75" customHeight="1" spans="30:30">
      <c r="AD456" s="2" t="str">
        <f>'Port code'!B458&amp;"-"&amp;'Port code'!C458</f>
        <v>INIXW6-Jamshedpur ICD</v>
      </c>
    </row>
    <row r="457" ht="15.75" customHeight="1" spans="30:30">
      <c r="AD457" s="2" t="str">
        <f>'Port code'!B459&amp;"-"&amp;'Port code'!C459</f>
        <v>INIXY1-Kandla</v>
      </c>
    </row>
    <row r="458" ht="15.75" customHeight="1" spans="30:30">
      <c r="AD458" s="2" t="str">
        <f>'Port code'!B460&amp;"-"&amp;'Port code'!C460</f>
        <v>INIXY4-Kandla</v>
      </c>
    </row>
    <row r="459" ht="15.75" customHeight="1" spans="30:30">
      <c r="AD459" s="2" t="str">
        <f>'Port code'!B461&amp;"-"&amp;'Port code'!C461</f>
        <v>INIXY6-Kandla SEZ</v>
      </c>
    </row>
    <row r="460" ht="15.75" customHeight="1" spans="30:30">
      <c r="AD460" s="2" t="str">
        <f>'Port code'!B462&amp;"-"&amp;'Port code'!C462</f>
        <v>INIXZ1-Port Blair</v>
      </c>
    </row>
    <row r="461" ht="15.75" customHeight="1" spans="30:30">
      <c r="AD461" s="2" t="str">
        <f>'Port code'!B463&amp;"-"&amp;'Port code'!C463</f>
        <v>INIXZ4-Port Blair</v>
      </c>
    </row>
    <row r="462" ht="15.75" customHeight="1" spans="30:30">
      <c r="AD462" s="2" t="str">
        <f>'Port code'!B464&amp;"-"&amp;'Port code'!C464</f>
        <v>INJAI4-Jaipur</v>
      </c>
    </row>
    <row r="463" ht="15.75" customHeight="1" spans="30:30">
      <c r="AD463" s="2" t="str">
        <f>'Port code'!B465&amp;"-"&amp;'Port code'!C465</f>
        <v>INJAI5-Jaipur</v>
      </c>
    </row>
    <row r="464" ht="15.75" customHeight="1" spans="30:30">
      <c r="AD464" s="2" t="str">
        <f>'Port code'!B466&amp;"-"&amp;'Port code'!C466</f>
        <v>INJAI6-Jaipur</v>
      </c>
    </row>
    <row r="465" ht="15.75" customHeight="1" spans="30:30">
      <c r="AD465" s="2" t="str">
        <f>'Port code'!B467&amp;"-"&amp;'Port code'!C467</f>
        <v>INJAK1-Jakhau</v>
      </c>
    </row>
    <row r="466" ht="15.75" customHeight="1" spans="30:30">
      <c r="AD466" s="2" t="str">
        <f>'Port code'!B468&amp;"-"&amp;'Port code'!C468</f>
        <v>INJAL6-Jalgaon</v>
      </c>
    </row>
    <row r="467" ht="15.75" customHeight="1" spans="30:30">
      <c r="AD467" s="2" t="str">
        <f>'Port code'!B469&amp;"-"&amp;'Port code'!C469</f>
        <v>INJAYB-Jayanagar</v>
      </c>
    </row>
    <row r="468" ht="15.75" customHeight="1" spans="30:30">
      <c r="AD468" s="2" t="str">
        <f>'Port code'!B470&amp;"-"&amp;'Port code'!C470</f>
        <v>INJBD1-Jafrabad</v>
      </c>
    </row>
    <row r="469" ht="15.75" customHeight="1" spans="30:30">
      <c r="AD469" s="2" t="str">
        <f>'Port code'!B471&amp;"-"&amp;'Port code'!C471</f>
        <v>INJBL6-E-COMPLEX SEZ/Amreli</v>
      </c>
    </row>
    <row r="470" ht="15.75" customHeight="1" spans="30:30">
      <c r="AD470" s="2" t="str">
        <f>'Port code'!B472&amp;"-"&amp;'Port code'!C472</f>
        <v>INJBNB-JOGBANI</v>
      </c>
    </row>
    <row r="471" ht="15.75" customHeight="1" spans="30:30">
      <c r="AD471" s="2" t="str">
        <f>'Port code'!B473&amp;"-"&amp;'Port code'!C473</f>
        <v>INJDA1-Jodia</v>
      </c>
    </row>
    <row r="472" ht="15.75" customHeight="1" spans="30:30">
      <c r="AD472" s="2" t="str">
        <f>'Port code'!B474&amp;"-"&amp;'Port code'!C474</f>
        <v>INJDH4-Jodhpur</v>
      </c>
    </row>
    <row r="473" ht="15.75" customHeight="1" spans="30:30">
      <c r="AD473" s="2" t="str">
        <f>'Port code'!B475&amp;"-"&amp;'Port code'!C475</f>
        <v>INJDH6-Jodhpur</v>
      </c>
    </row>
    <row r="474" ht="15.75" customHeight="1" spans="30:30">
      <c r="AD474" s="2" t="str">
        <f>'Port code'!B476&amp;"-"&amp;'Port code'!C476</f>
        <v>INJGA4-Jamnagar</v>
      </c>
    </row>
    <row r="475" ht="15.75" customHeight="1" spans="30:30">
      <c r="AD475" s="2" t="str">
        <f>'Port code'!B477&amp;"-"&amp;'Port code'!C477</f>
        <v>INJGB4-Jagdalpur</v>
      </c>
    </row>
    <row r="476" ht="15.75" customHeight="1" spans="30:30">
      <c r="AD476" s="2" t="str">
        <f>'Port code'!B478&amp;"-"&amp;'Port code'!C478</f>
        <v>INJGD1-Jaigad</v>
      </c>
    </row>
    <row r="477" ht="15.75" customHeight="1" spans="30:30">
      <c r="AD477" s="2" t="str">
        <f>'Port code'!B479&amp;"-"&amp;'Port code'!C479</f>
        <v>INJGI6-GENPACT SEZ JAIPUR</v>
      </c>
    </row>
    <row r="478" ht="15.75" customHeight="1" spans="30:30">
      <c r="AD478" s="2" t="str">
        <f>'Port code'!B480&amp;"-"&amp;'Port code'!C480</f>
        <v>INJHA6-VEDANTA ALU. LTD.</v>
      </c>
    </row>
    <row r="479" ht="15.75" customHeight="1" spans="30:30">
      <c r="AD479" s="2" t="str">
        <f>'Port code'!B481&amp;"-"&amp;'Port code'!C481</f>
        <v>INJHOB-Jhulaghat (Pithoraga</v>
      </c>
    </row>
    <row r="480" ht="15.75" customHeight="1" spans="30:30">
      <c r="AD480" s="2" t="str">
        <f>'Port code'!B482&amp;"-"&amp;'Port code'!C482</f>
        <v>INJHV6-VEDANTASEZJHARSUGUDA</v>
      </c>
    </row>
    <row r="481" ht="15.75" customHeight="1" spans="30:30">
      <c r="AD481" s="2" t="str">
        <f>'Port code'!B483&amp;"-"&amp;'Port code'!C483</f>
        <v>INJIGB-Jaigaon</v>
      </c>
    </row>
    <row r="482" ht="15.75" customHeight="1" spans="30:30">
      <c r="AD482" s="2" t="str">
        <f>'Port code'!B484&amp;"-"&amp;'Port code'!C484</f>
        <v>INJJK6-ICD JSL JAJPUR</v>
      </c>
    </row>
    <row r="483" ht="15.75" customHeight="1" spans="30:30">
      <c r="AD483" s="2" t="str">
        <f>'Port code'!B485&amp;"-"&amp;'Port code'!C485</f>
        <v>INJKA6-SACHANA ICD VIRAMGAM</v>
      </c>
    </row>
    <row r="484" ht="15.75" customHeight="1" spans="30:30">
      <c r="AD484" s="2" t="str">
        <f>'Port code'!B486&amp;"-"&amp;'Port code'!C486</f>
        <v>INJLR4-Jabalpur</v>
      </c>
    </row>
    <row r="485" ht="15.75" customHeight="1" spans="30:30">
      <c r="AD485" s="2" t="str">
        <f>'Port code'!B487&amp;"-"&amp;'Port code'!C487</f>
        <v>INJNJ6-NEWFOUND SEZ THANE</v>
      </c>
    </row>
    <row r="486" ht="15.75" customHeight="1" spans="30:30">
      <c r="AD486" s="2" t="str">
        <f>'Port code'!B488&amp;"-"&amp;'Port code'!C488</f>
        <v>INJNR4-Nashik-Janori ACC</v>
      </c>
    </row>
    <row r="487" ht="15.75" customHeight="1" spans="30:30">
      <c r="AD487" s="2" t="str">
        <f>'Port code'!B489&amp;"-"&amp;'Port code'!C489</f>
        <v>INJNR6-Nashik-Janori ICD</v>
      </c>
    </row>
    <row r="488" ht="15.75" customHeight="1" spans="30:30">
      <c r="AD488" s="2" t="str">
        <f>'Port code'!B490&amp;"-"&amp;'Port code'!C490</f>
        <v>INJPGB-Jalpaiguri</v>
      </c>
    </row>
    <row r="489" ht="15.75" customHeight="1" spans="30:30">
      <c r="AD489" s="2" t="str">
        <f>'Port code'!B491&amp;"-"&amp;'Port code'!C491</f>
        <v>INJPI6-RIICO SEZ 1 SITAPUR</v>
      </c>
    </row>
    <row r="490" ht="15.75" customHeight="1" spans="30:30">
      <c r="AD490" s="2" t="str">
        <f>'Port code'!B492&amp;"-"&amp;'Port code'!C492</f>
        <v>INJPV6-VATIKA SEZ JAIPUR</v>
      </c>
    </row>
    <row r="491" ht="15.75" customHeight="1" spans="30:30">
      <c r="AD491" s="2" t="str">
        <f>'Port code'!B493&amp;"-"&amp;'Port code'!C493</f>
        <v>INJPW6-MWC JAIPUR LTD.</v>
      </c>
    </row>
    <row r="492" ht="15.75" customHeight="1" spans="30:30">
      <c r="AD492" s="2" t="str">
        <f>'Port code'!B494&amp;"-"&amp;'Port code'!C494</f>
        <v>INJRH4-Jorhat</v>
      </c>
    </row>
    <row r="493" ht="15.75" customHeight="1" spans="30:30">
      <c r="AD493" s="2" t="str">
        <f>'Port code'!B495&amp;"-"&amp;'Port code'!C495</f>
        <v>INJSA4-Jaisalmer</v>
      </c>
    </row>
    <row r="494" ht="15.75" customHeight="1" spans="30:30">
      <c r="AD494" s="2" t="str">
        <f>'Port code'!B496&amp;"-"&amp;'Port code'!C496</f>
        <v>INJSG6-CONCOR JHARSUGUDA</v>
      </c>
    </row>
    <row r="495" ht="15.75" customHeight="1" spans="30:30">
      <c r="AD495" s="2" t="str">
        <f>'Port code'!B497&amp;"-"&amp;'Port code'!C497</f>
        <v>INJSM6-ADANI POWER SEZ</v>
      </c>
    </row>
    <row r="496" ht="15.75" customHeight="1" spans="30:30">
      <c r="AD496" s="2" t="str">
        <f>'Port code'!B498&amp;"-"&amp;'Port code'!C498</f>
        <v>INJSZ6-JAIPUR SEZ</v>
      </c>
    </row>
    <row r="497" ht="15.75" customHeight="1" spans="30:30">
      <c r="AD497" s="2" t="str">
        <f>'Port code'!B499&amp;"-"&amp;'Port code'!C499</f>
        <v>INJTP1-Jaitapur</v>
      </c>
    </row>
    <row r="498" ht="15.75" customHeight="1" spans="30:30">
      <c r="AD498" s="2" t="str">
        <f>'Port code'!B500&amp;"-"&amp;'Port code'!C500</f>
        <v>INJUC6-Jalandhar</v>
      </c>
    </row>
    <row r="499" ht="15.75" customHeight="1" spans="30:30">
      <c r="AD499" s="2" t="str">
        <f>'Port code'!B501&amp;"-"&amp;'Port code'!C501</f>
        <v>INJUX6-Basni Jodhpur ICD</v>
      </c>
    </row>
    <row r="500" ht="15.75" customHeight="1" spans="30:30">
      <c r="AD500" s="2" t="str">
        <f>'Port code'!B502&amp;"-"&amp;'Port code'!C502</f>
        <v>INJWAB-Jarwa</v>
      </c>
    </row>
    <row r="501" ht="15.75" customHeight="1" spans="30:30">
      <c r="AD501" s="2" t="str">
        <f>'Port code'!B503&amp;"-"&amp;'Port code'!C503</f>
        <v>INKAK1-Kakinada</v>
      </c>
    </row>
    <row r="502" ht="15.75" customHeight="1" spans="30:30">
      <c r="AD502" s="2" t="str">
        <f>'Port code'!B504&amp;"-"&amp;'Port code'!C504</f>
        <v>INKAK6-Kakinada</v>
      </c>
    </row>
    <row r="503" ht="15.75" customHeight="1" spans="30:30">
      <c r="AD503" s="2" t="str">
        <f>'Port code'!B505&amp;"-"&amp;'Port code'!C505</f>
        <v>INKAL1-Kallai</v>
      </c>
    </row>
    <row r="504" ht="15.75" customHeight="1" spans="30:30">
      <c r="AD504" s="2" t="str">
        <f>'Port code'!B506&amp;"-"&amp;'Port code'!C506</f>
        <v>INKAP6-Kapadra (Surat)</v>
      </c>
    </row>
    <row r="505" ht="15.75" customHeight="1" spans="30:30">
      <c r="AD505" s="2" t="str">
        <f>'Port code'!B507&amp;"-"&amp;'Port code'!C507</f>
        <v>INKAR6-Karur ICD</v>
      </c>
    </row>
    <row r="506" ht="15.75" customHeight="1" spans="30:30">
      <c r="AD506" s="2" t="str">
        <f>'Port code'!B508&amp;"-"&amp;'Port code'!C508</f>
        <v>INKAT1-KATTUPALLI PORT</v>
      </c>
    </row>
    <row r="507" ht="15.75" customHeight="1" spans="30:30">
      <c r="AD507" s="2" t="str">
        <f>'Port code'!B509&amp;"-"&amp;'Port code'!C509</f>
        <v>INKBC6-ICD HAZIRA</v>
      </c>
    </row>
    <row r="508" ht="15.75" customHeight="1" spans="30:30">
      <c r="AD508" s="2" t="str">
        <f>'Port code'!B510&amp;"-"&amp;'Port code'!C510</f>
        <v>INKBT1-Khambhat</v>
      </c>
    </row>
    <row r="509" ht="15.75" customHeight="1" spans="30:30">
      <c r="AD509" s="2" t="str">
        <f>'Port code'!B511&amp;"-"&amp;'Port code'!C511</f>
        <v>INKCG6-NSL SEZ PVT. LTD.</v>
      </c>
    </row>
    <row r="510" ht="15.75" customHeight="1" spans="30:30">
      <c r="AD510" s="2" t="str">
        <f>'Port code'!B512&amp;"-"&amp;'Port code'!C512</f>
        <v>INKDD6-Karedu</v>
      </c>
    </row>
    <row r="511" ht="15.75" customHeight="1" spans="30:30">
      <c r="AD511" s="2" t="str">
        <f>'Port code'!B513&amp;"-"&amp;'Port code'!C513</f>
        <v>INKDI1-Kadmat Island</v>
      </c>
    </row>
    <row r="512" ht="15.75" customHeight="1" spans="30:30">
      <c r="AD512" s="2" t="str">
        <f>'Port code'!B514&amp;"-"&amp;'Port code'!C514</f>
        <v>INKDL6-KANDLA SEZ</v>
      </c>
    </row>
    <row r="513" ht="15.75" customHeight="1" spans="30:30">
      <c r="AD513" s="2" t="str">
        <f>'Port code'!B515&amp;"-"&amp;'Port code'!C515</f>
        <v>INKDN1-Kodinar(Muldwarka)</v>
      </c>
    </row>
    <row r="514" ht="15.75" customHeight="1" spans="30:30">
      <c r="AD514" s="2" t="str">
        <f>'Port code'!B516&amp;"-"&amp;'Port code'!C516</f>
        <v>INKDP1-Kondiapetnam</v>
      </c>
    </row>
    <row r="515" ht="15.75" customHeight="1" spans="30:30">
      <c r="AD515" s="2" t="str">
        <f>'Port code'!B517&amp;"-"&amp;'Port code'!C517</f>
        <v>INKELB-Kel Sahar Subdivisio</v>
      </c>
    </row>
    <row r="516" ht="15.75" customHeight="1" spans="30:30">
      <c r="AD516" s="2" t="str">
        <f>'Port code'!B518&amp;"-"&amp;'Port code'!C518</f>
        <v>INKGG6-GLOBAL/SEZ/BANGALORE</v>
      </c>
    </row>
    <row r="517" ht="15.75" customHeight="1" spans="30:30">
      <c r="AD517" s="2" t="str">
        <f>'Port code'!B519&amp;"-"&amp;'Port code'!C519</f>
        <v>INKGJ1-KARIMGANJ STEAMERGHA</v>
      </c>
    </row>
    <row r="518" ht="15.75" customHeight="1" spans="30:30">
      <c r="AD518" s="2" t="str">
        <f>'Port code'!B520&amp;"-"&amp;'Port code'!C520</f>
        <v>INKHD6-ICD Kheda-Dhar</v>
      </c>
    </row>
    <row r="519" ht="15.75" customHeight="1" spans="30:30">
      <c r="AD519" s="2" t="str">
        <f>'Port code'!B521&amp;"-"&amp;'Port code'!C521</f>
        <v>INKIW1-Kelwa</v>
      </c>
    </row>
    <row r="520" ht="15.75" customHeight="1" spans="30:30">
      <c r="AD520" s="2" t="str">
        <f>'Port code'!B522&amp;"-"&amp;'Port code'!C522</f>
        <v>INKJA6-APP/SEZ/DODAKANAHALI</v>
      </c>
    </row>
    <row r="521" ht="15.75" customHeight="1" spans="30:30">
      <c r="AD521" s="2" t="str">
        <f>'Port code'!B523&amp;"-"&amp;'Port code'!C523</f>
        <v>INKJB6-BAGMAN/SEZ/BANGALORE</v>
      </c>
    </row>
    <row r="522" ht="15.75" customHeight="1" spans="30:30">
      <c r="AD522" s="2" t="str">
        <f>'Port code'!B524&amp;"-"&amp;'Port code'!C524</f>
        <v>INKJD6-DIVYA/SEZ/BANGALORE</v>
      </c>
    </row>
    <row r="523" ht="15.75" customHeight="1" spans="30:30">
      <c r="AD523" s="2" t="str">
        <f>'Port code'!B525&amp;"-"&amp;'Port code'!C525</f>
        <v>INKJG6-GOPALAN/SEZ/BANGALOR</v>
      </c>
    </row>
    <row r="524" ht="15.75" customHeight="1" spans="30:30">
      <c r="AD524" s="2" t="str">
        <f>'Port code'!B526&amp;"-"&amp;'Port code'!C526</f>
        <v>INKJH6-HCL/SEZ/BANGALORE</v>
      </c>
    </row>
    <row r="525" ht="15.75" customHeight="1" spans="30:30">
      <c r="AD525" s="2" t="str">
        <f>'Port code'!B527&amp;"-"&amp;'Port code'!C527</f>
        <v>INKJIB-PIPRAUN LCS</v>
      </c>
    </row>
    <row r="526" ht="15.75" customHeight="1" spans="30:30">
      <c r="AD526" s="2" t="str">
        <f>'Port code'!B528&amp;"-"&amp;'Port code'!C528</f>
        <v>INKJM6-BD SEZ BENGALURU</v>
      </c>
    </row>
    <row r="527" ht="15.75" customHeight="1" spans="30:30">
      <c r="AD527" s="2" t="str">
        <f>'Port code'!B529&amp;"-"&amp;'Port code'!C529</f>
        <v>INKJR6-BBREL KUNDALAHALLI</v>
      </c>
    </row>
    <row r="528" ht="15.75" customHeight="1" spans="30:30">
      <c r="AD528" s="2" t="str">
        <f>'Port code'!B530&amp;"-"&amp;'Port code'!C530</f>
        <v>INKKR1-Kilakari</v>
      </c>
    </row>
    <row r="529" ht="15.75" customHeight="1" spans="30:30">
      <c r="AD529" s="2" t="str">
        <f>'Port code'!B531&amp;"-"&amp;'Port code'!C531</f>
        <v>INKKU6-Kanakpura Jaipur ICD</v>
      </c>
    </row>
    <row r="530" ht="15.75" customHeight="1" spans="30:30">
      <c r="AD530" s="2" t="str">
        <f>'Port code'!B532&amp;"-"&amp;'Port code'!C532</f>
        <v>INKLB6-BLUE/SEZ/ERNAKULAM</v>
      </c>
    </row>
    <row r="531" ht="15.75" customHeight="1" spans="30:30">
      <c r="AD531" s="2" t="str">
        <f>'Port code'!B533&amp;"-"&amp;'Port code'!C533</f>
        <v>INKLC6-CARB/SEZ/ERNAKULAM</v>
      </c>
    </row>
    <row r="532" ht="15.75" customHeight="1" spans="30:30">
      <c r="AD532" s="2" t="str">
        <f>'Port code'!B534&amp;"-"&amp;'Port code'!C534</f>
        <v>INKLG6-SGS/SEZ/ERNAKULAM</v>
      </c>
    </row>
    <row r="533" ht="15.75" customHeight="1" spans="30:30">
      <c r="AD533" s="2" t="str">
        <f>'Port code'!B535&amp;"-"&amp;'Port code'!C535</f>
        <v>INKLH4-Kohlapur</v>
      </c>
    </row>
    <row r="534" ht="15.75" customHeight="1" spans="30:30">
      <c r="AD534" s="2" t="str">
        <f>'Port code'!B536&amp;"-"&amp;'Port code'!C536</f>
        <v>INKLI6-INFOPARK/SEZ/EKM</v>
      </c>
    </row>
    <row r="535" ht="15.75" customHeight="1" spans="30:30">
      <c r="AD535" s="2" t="str">
        <f>'Port code'!B537&amp;"-"&amp;'Port code'!C537</f>
        <v>INKLK6-KINFRA KANAYANNOOR</v>
      </c>
    </row>
    <row r="536" ht="15.75" customHeight="1" spans="30:30">
      <c r="AD536" s="2" t="str">
        <f>'Port code'!B538&amp;"-"&amp;'Port code'!C538</f>
        <v>INKLM6-MULTISERVCEKALAMBOLI</v>
      </c>
    </row>
    <row r="537" ht="15.75" customHeight="1" spans="30:30">
      <c r="AD537" s="2" t="str">
        <f>'Port code'!B539&amp;"-"&amp;'Port code'!C539</f>
        <v>INKLN6-IT/ITES/SEZ/KALAMBOL</v>
      </c>
    </row>
    <row r="538" ht="15.75" customHeight="1" spans="30:30">
      <c r="AD538" s="2" t="str">
        <f>'Port code'!B540&amp;"-"&amp;'Port code'!C540</f>
        <v>INKLS6-SMART CITY SEZ KOCHI</v>
      </c>
    </row>
    <row r="539" ht="15.75" customHeight="1" spans="30:30">
      <c r="AD539" s="2" t="str">
        <f>'Port code'!B541&amp;"-"&amp;'Port code'!C541</f>
        <v>INKLY1-Kalyan</v>
      </c>
    </row>
    <row r="540" ht="15.75" customHeight="1" spans="30:30">
      <c r="AD540" s="2" t="str">
        <f>'Port code'!B542&amp;"-"&amp;'Port code'!C542</f>
        <v>INKMAB-KULKULI LCS</v>
      </c>
    </row>
    <row r="541" ht="15.75" customHeight="1" spans="30:30">
      <c r="AD541" s="2" t="str">
        <f>'Port code'!B543&amp;"-"&amp;'Port code'!C543</f>
        <v>INKMB1-Kumbharu</v>
      </c>
    </row>
    <row r="542" ht="15.75" customHeight="1" spans="30:30">
      <c r="AD542" s="2" t="str">
        <f>'Port code'!B544&amp;"-"&amp;'Port code'!C544</f>
        <v>INKMI6-INFO SEZ ERNAKULAM</v>
      </c>
    </row>
    <row r="543" ht="15.75" customHeight="1" spans="30:30">
      <c r="AD543" s="2" t="str">
        <f>'Port code'!B545&amp;"-"&amp;'Port code'!C545</f>
        <v>INKML6-DEIPL KURUBARAPALLI</v>
      </c>
    </row>
    <row r="544" ht="15.75" customHeight="1" spans="30:30">
      <c r="AD544" s="2" t="str">
        <f>'Port code'!B546&amp;"-"&amp;'Port code'!C546</f>
        <v>INKND1-Kankudy</v>
      </c>
    </row>
    <row r="545" ht="15.75" customHeight="1" spans="30:30">
      <c r="AD545" s="2" t="str">
        <f>'Port code'!B547&amp;"-"&amp;'Port code'!C547</f>
        <v>INKNK6-INFOPARK SEZ KORATTY</v>
      </c>
    </row>
    <row r="546" ht="15.75" customHeight="1" spans="30:30">
      <c r="AD546" s="2" t="str">
        <f>'Port code'!B548&amp;"-"&amp;'Port code'!C548</f>
        <v>INKNLB-Kunauli</v>
      </c>
    </row>
    <row r="547" ht="15.75" customHeight="1" spans="30:30">
      <c r="AD547" s="2" t="str">
        <f>'Port code'!B549&amp;"-"&amp;'Port code'!C549</f>
        <v>INKNU4-Kanpur</v>
      </c>
    </row>
    <row r="548" ht="15.75" customHeight="1" spans="30:30">
      <c r="AD548" s="2" t="str">
        <f>'Port code'!B550&amp;"-"&amp;'Port code'!C550</f>
        <v>INKNU5-FPO KANPUR</v>
      </c>
    </row>
    <row r="549" ht="15.75" customHeight="1" spans="30:30">
      <c r="AD549" s="2" t="str">
        <f>'Port code'!B551&amp;"-"&amp;'Port code'!C551</f>
        <v>INKNU6-Kanpur</v>
      </c>
    </row>
    <row r="550" ht="15.75" customHeight="1" spans="30:30">
      <c r="AD550" s="2" t="str">
        <f>'Port code'!B552&amp;"-"&amp;'Port code'!C552</f>
        <v>INKOC5-Kochi</v>
      </c>
    </row>
    <row r="551" ht="15.75" customHeight="1" spans="30:30">
      <c r="AD551" s="2" t="str">
        <f>'Port code'!B553&amp;"-"&amp;'Port code'!C553</f>
        <v>INKOD1-Kodinar</v>
      </c>
    </row>
    <row r="552" ht="15.75" customHeight="1" spans="30:30">
      <c r="AD552" s="2" t="str">
        <f>'Port code'!B554&amp;"-"&amp;'Port code'!C554</f>
        <v>INKOI1-Koilthottum</v>
      </c>
    </row>
    <row r="553" ht="15.75" customHeight="1" spans="30:30">
      <c r="AD553" s="2" t="str">
        <f>'Port code'!B555&amp;"-"&amp;'Port code'!C555</f>
        <v>INKOK1-Koka</v>
      </c>
    </row>
    <row r="554" ht="15.75" customHeight="1" spans="30:30">
      <c r="AD554" s="2" t="str">
        <f>'Port code'!B556&amp;"-"&amp;'Port code'!C556</f>
        <v>INKON1-Konarak</v>
      </c>
    </row>
    <row r="555" ht="15.75" customHeight="1" spans="30:30">
      <c r="AD555" s="2" t="str">
        <f>'Port code'!B557&amp;"-"&amp;'Port code'!C557</f>
        <v>INKPK6-CONCOR ICD MIHAN</v>
      </c>
    </row>
    <row r="556" ht="15.75" customHeight="1" spans="30:30">
      <c r="AD556" s="2" t="str">
        <f>'Port code'!B558&amp;"-"&amp;'Port code'!C558</f>
        <v>INKRI1-Krishnapatnam</v>
      </c>
    </row>
    <row r="557" ht="15.75" customHeight="1" spans="30:30">
      <c r="AD557" s="2" t="str">
        <f>'Port code'!B559&amp;"-"&amp;'Port code'!C559</f>
        <v>INKRK1-Karaikal</v>
      </c>
    </row>
    <row r="558" ht="15.75" customHeight="1" spans="30:30">
      <c r="AD558" s="2" t="str">
        <f>'Port code'!B560&amp;"-"&amp;'Port code'!C560</f>
        <v>INKRM6-MADC LTD.</v>
      </c>
    </row>
    <row r="559" ht="15.75" customHeight="1" spans="30:30">
      <c r="AD559" s="2" t="str">
        <f>'Port code'!B561&amp;"-"&amp;'Port code'!C561</f>
        <v>INKRN1-Karanja</v>
      </c>
    </row>
    <row r="560" ht="15.75" customHeight="1" spans="30:30">
      <c r="AD560" s="2" t="str">
        <f>'Port code'!B562&amp;"-"&amp;'Port code'!C562</f>
        <v>INKRP1-Kiranpani</v>
      </c>
    </row>
    <row r="561" ht="15.75" customHeight="1" spans="30:30">
      <c r="AD561" s="2" t="str">
        <f>'Port code'!B563&amp;"-"&amp;'Port code'!C563</f>
        <v>INKRW1-Karwar</v>
      </c>
    </row>
    <row r="562" ht="15.75" customHeight="1" spans="30:30">
      <c r="AD562" s="2" t="str">
        <f>'Port code'!B564&amp;"-"&amp;'Port code'!C564</f>
        <v>INKSG1-Kasargod</v>
      </c>
    </row>
    <row r="563" ht="15.75" customHeight="1" spans="30:30">
      <c r="AD563" s="2" t="str">
        <f>'Port code'!B565&amp;"-"&amp;'Port code'!C565</f>
        <v>INKSH1-Kelshi</v>
      </c>
    </row>
    <row r="564" ht="15.75" customHeight="1" spans="30:30">
      <c r="AD564" s="2" t="str">
        <f>'Port code'!B566&amp;"-"&amp;'Port code'!C566</f>
        <v>INKSP1-Kulasekarapatnam</v>
      </c>
    </row>
    <row r="565" ht="15.75" customHeight="1" spans="30:30">
      <c r="AD565" s="2" t="str">
        <f>'Port code'!B567&amp;"-"&amp;'Port code'!C567</f>
        <v>INKTD1-Kotda</v>
      </c>
    </row>
    <row r="566" ht="15.75" customHeight="1" spans="30:30">
      <c r="AD566" s="2" t="str">
        <f>'Port code'!B568&amp;"-"&amp;'Port code'!C568</f>
        <v>INKTGB-Katarniyaghat</v>
      </c>
    </row>
    <row r="567" ht="15.75" customHeight="1" spans="30:30">
      <c r="AD567" s="2" t="str">
        <f>'Port code'!B569&amp;"-"&amp;'Port code'!C569</f>
        <v>INKTI1-Kiltan Island</v>
      </c>
    </row>
    <row r="568" ht="15.75" customHeight="1" spans="30:30">
      <c r="AD568" s="2" t="str">
        <f>'Port code'!B570&amp;"-"&amp;'Port code'!C570</f>
        <v>INKTRB-Kathihar</v>
      </c>
    </row>
    <row r="569" ht="15.75" customHeight="1" spans="30:30">
      <c r="AD569" s="2" t="str">
        <f>'Port code'!B571&amp;"-"&amp;'Port code'!C571</f>
        <v>INKTT6-Kota</v>
      </c>
    </row>
    <row r="570" ht="15.75" customHeight="1" spans="30:30">
      <c r="AD570" s="2" t="str">
        <f>'Port code'!B572&amp;"-"&amp;'Port code'!C572</f>
        <v>INKTU4-Kota</v>
      </c>
    </row>
    <row r="571" ht="15.75" customHeight="1" spans="30:30">
      <c r="AD571" s="2" t="str">
        <f>'Port code'!B573&amp;"-"&amp;'Port code'!C573</f>
        <v>INKTU6-Kota</v>
      </c>
    </row>
    <row r="572" ht="15.75" customHeight="1" spans="30:30">
      <c r="AD572" s="2" t="str">
        <f>'Port code'!B574&amp;"-"&amp;'Port code'!C574</f>
        <v>INKTW1-Koteshwar</v>
      </c>
    </row>
    <row r="573" ht="15.75" customHeight="1" spans="30:30">
      <c r="AD573" s="2" t="str">
        <f>'Port code'!B575&amp;"-"&amp;'Port code'!C575</f>
        <v>INKTY6-CHEYYAR POCHAMPALLI</v>
      </c>
    </row>
    <row r="574" ht="15.75" customHeight="1" spans="30:30">
      <c r="AD574" s="2" t="str">
        <f>'Port code'!B576&amp;"-"&amp;'Port code'!C576</f>
        <v>INKUK1-KOLLAM PORT</v>
      </c>
    </row>
    <row r="575" ht="15.75" customHeight="1" spans="30:30">
      <c r="AD575" s="2" t="str">
        <f>'Port code'!B577&amp;"-"&amp;'Port code'!C577</f>
        <v>INKUK6-KSITIL/SEZ/KOLLAM</v>
      </c>
    </row>
    <row r="576" ht="15.75" customHeight="1" spans="30:30">
      <c r="AD576" s="2" t="str">
        <f>'Port code'!B578&amp;"-"&amp;'Port code'!C578</f>
        <v>INKUR6-OIIDC SEZ KHURDA</v>
      </c>
    </row>
    <row r="577" ht="15.75" customHeight="1" spans="30:30">
      <c r="AD577" s="2" t="str">
        <f>'Port code'!B579&amp;"-"&amp;'Port code'!C579</f>
        <v>INKUU4-Kulu</v>
      </c>
    </row>
    <row r="578" ht="15.75" customHeight="1" spans="30:30">
      <c r="AD578" s="2" t="str">
        <f>'Port code'!B580&amp;"-"&amp;'Port code'!C580</f>
        <v>INKVI1-Kavi</v>
      </c>
    </row>
    <row r="579" ht="15.75" customHeight="1" spans="30:30">
      <c r="AD579" s="2" t="str">
        <f>'Port code'!B581&amp;"-"&amp;'Port code'!C581</f>
        <v>INKVL1-Kovalam</v>
      </c>
    </row>
    <row r="580" ht="15.75" customHeight="1" spans="30:30">
      <c r="AD580" s="2" t="str">
        <f>'Port code'!B582&amp;"-"&amp;'Port code'!C582</f>
        <v>INKVR6-WFPML SEZ KOVVUR</v>
      </c>
    </row>
    <row r="581" ht="15.75" customHeight="1" spans="30:30">
      <c r="AD581" s="2" t="str">
        <f>'Port code'!B583&amp;"-"&amp;'Port code'!C583</f>
        <v>INKVT1-Kavaratti Island</v>
      </c>
    </row>
    <row r="582" ht="15.75" customHeight="1" spans="30:30">
      <c r="AD582" s="2" t="str">
        <f>'Port code'!B584&amp;"-"&amp;'Port code'!C584</f>
        <v>INKWAB-Khunwa</v>
      </c>
    </row>
    <row r="583" ht="15.75" customHeight="1" spans="30:30">
      <c r="AD583" s="2" t="str">
        <f>'Port code'!B585&amp;"-"&amp;'Port code'!C585</f>
        <v>INKWGB-Khowaighat</v>
      </c>
    </row>
    <row r="584" ht="15.75" customHeight="1" spans="30:30">
      <c r="AD584" s="2" t="str">
        <f>'Port code'!B586&amp;"-"&amp;'Port code'!C586</f>
        <v>INKWHB-KAKRAHAWA LCS</v>
      </c>
    </row>
    <row r="585" ht="15.75" customHeight="1" spans="30:30">
      <c r="AD585" s="2" t="str">
        <f>'Port code'!B587&amp;"-"&amp;'Port code'!C587</f>
        <v>INKXJ2-Karimganj Railway St</v>
      </c>
    </row>
    <row r="586" ht="15.75" customHeight="1" spans="30:30">
      <c r="AD586" s="2" t="str">
        <f>'Port code'!B588&amp;"-"&amp;'Port code'!C588</f>
        <v>INKYM6-KOTTAYAM</v>
      </c>
    </row>
    <row r="587" ht="15.75" customHeight="1" spans="30:30">
      <c r="AD587" s="2" t="str">
        <f>'Port code'!B589&amp;"-"&amp;'Port code'!C589</f>
        <v>INKZE6-E TECH-I/SEZ/THPURAM</v>
      </c>
    </row>
    <row r="588" ht="15.75" customHeight="1" spans="30:30">
      <c r="AD588" s="2" t="str">
        <f>'Port code'!B590&amp;"-"&amp;'Port code'!C590</f>
        <v>INKZP6-E PARK-III/SEZ/T'RAM</v>
      </c>
    </row>
    <row r="589" ht="15.75" customHeight="1" spans="30:30">
      <c r="AD589" s="2" t="str">
        <f>'Port code'!B591&amp;"-"&amp;'Port code'!C591</f>
        <v>INKZT6-E PARK-II/SEZ/TPURAM</v>
      </c>
    </row>
    <row r="590" ht="15.75" customHeight="1" spans="30:30">
      <c r="AD590" s="2" t="str">
        <f>'Port code'!B592&amp;"-"&amp;'Port code'!C592</f>
        <v>INLCH6-HCL IT SEZ LUCKNOW</v>
      </c>
    </row>
    <row r="591" ht="15.75" customHeight="1" spans="30:30">
      <c r="AD591" s="2" t="str">
        <f>'Port code'!B593&amp;"-"&amp;'Port code'!C593</f>
        <v>INLDA4-Malda</v>
      </c>
    </row>
    <row r="592" ht="15.75" customHeight="1" spans="30:30">
      <c r="AD592" s="2" t="str">
        <f>'Port code'!B594&amp;"-"&amp;'Port code'!C594</f>
        <v>INLDH6-Ludhiana</v>
      </c>
    </row>
    <row r="593" ht="15.75" customHeight="1" spans="30:30">
      <c r="AD593" s="2" t="str">
        <f>'Port code'!B595&amp;"-"&amp;'Port code'!C595</f>
        <v>INLGLB-Lalgola Town</v>
      </c>
    </row>
    <row r="594" ht="15.75" customHeight="1" spans="30:30">
      <c r="AD594" s="2" t="str">
        <f>'Port code'!B596&amp;"-"&amp;'Port code'!C596</f>
        <v>INLKO4-Lucknow</v>
      </c>
    </row>
    <row r="595" ht="15.75" customHeight="1" spans="30:30">
      <c r="AD595" s="2" t="str">
        <f>'Port code'!B597&amp;"-"&amp;'Port code'!C597</f>
        <v>INLKQB-LAUKAHA LCS</v>
      </c>
    </row>
    <row r="596" ht="15.75" customHeight="1" spans="30:30">
      <c r="AD596" s="2" t="str">
        <f>'Port code'!B598&amp;"-"&amp;'Port code'!C598</f>
        <v>INLON6-ICD Loni</v>
      </c>
    </row>
    <row r="597" ht="15.75" customHeight="1" spans="30:30">
      <c r="AD597" s="2" t="str">
        <f>'Port code'!B599&amp;"-"&amp;'Port code'!C599</f>
        <v>INLPB6-BBLLP NANAKRAMGUDA</v>
      </c>
    </row>
    <row r="598" ht="15.75" customHeight="1" spans="30:30">
      <c r="AD598" s="2" t="str">
        <f>'Port code'!B600&amp;"-"&amp;'Port code'!C600</f>
        <v>INLPC6-CMC LTD.</v>
      </c>
    </row>
    <row r="599" ht="15.75" customHeight="1" spans="30:30">
      <c r="AD599" s="2" t="str">
        <f>'Port code'!B601&amp;"-"&amp;'Port code'!C601</f>
        <v>INLPD6-M/S DLF, SEZ</v>
      </c>
    </row>
    <row r="600" ht="15.75" customHeight="1" spans="30:30">
      <c r="AD600" s="2" t="str">
        <f>'Port code'!B602&amp;"-"&amp;'Port code'!C602</f>
        <v>INLPG6-GCPL SEZ KOKAPET</v>
      </c>
    </row>
    <row r="601" ht="15.75" customHeight="1" spans="30:30">
      <c r="AD601" s="2" t="str">
        <f>'Port code'!B603&amp;"-"&amp;'Port code'!C603</f>
        <v>INLPI6-M/S SUNDEW, SEZ</v>
      </c>
    </row>
    <row r="602" ht="15.75" customHeight="1" spans="30:30">
      <c r="AD602" s="2" t="str">
        <f>'Port code'!B604&amp;"-"&amp;'Port code'!C604</f>
        <v>INLPJ6-RELIANCE SEZ</v>
      </c>
    </row>
    <row r="603" ht="15.75" customHeight="1" spans="30:30">
      <c r="AD603" s="2" t="str">
        <f>'Port code'!B605&amp;"-"&amp;'Port code'!C605</f>
        <v>INLPM6-MDL NANAKRAMGUDA</v>
      </c>
    </row>
    <row r="604" ht="15.75" customHeight="1" spans="30:30">
      <c r="AD604" s="2" t="str">
        <f>'Port code'!B606&amp;"-"&amp;'Port code'!C606</f>
        <v>INLPR1-Leapuram</v>
      </c>
    </row>
    <row r="605" ht="15.75" customHeight="1" spans="30:30">
      <c r="AD605" s="2" t="str">
        <f>'Port code'!B607&amp;"-"&amp;'Port code'!C607</f>
        <v>INLPS6-D NSL IP LTD.</v>
      </c>
    </row>
    <row r="606" ht="15.75" customHeight="1" spans="30:30">
      <c r="AD606" s="2" t="str">
        <f>'Port code'!B608&amp;"-"&amp;'Port code'!C608</f>
        <v>INLPW6-WIPRO LTD. HYDERABAD</v>
      </c>
    </row>
    <row r="607" ht="15.75" customHeight="1" spans="30:30">
      <c r="AD607" s="2" t="str">
        <f>'Port code'!B609&amp;"-"&amp;'Port code'!C609</f>
        <v>INLTBB-Latu Bazar</v>
      </c>
    </row>
    <row r="608" ht="15.75" customHeight="1" spans="30:30">
      <c r="AD608" s="2" t="str">
        <f>'Port code'!B610&amp;"-"&amp;'Port code'!C610</f>
        <v>INLUD6-LUDHIANA</v>
      </c>
    </row>
    <row r="609" ht="15.75" customHeight="1" spans="30:30">
      <c r="AD609" s="2" t="str">
        <f>'Port code'!B611&amp;"-"&amp;'Port code'!C611</f>
        <v>INLUH4-Ludhiana</v>
      </c>
    </row>
    <row r="610" ht="15.75" customHeight="1" spans="30:30">
      <c r="AD610" s="2" t="str">
        <f>'Port code'!B612&amp;"-"&amp;'Port code'!C612</f>
        <v>INLUH5-FPO LUDHIANA</v>
      </c>
    </row>
    <row r="611" ht="15.75" customHeight="1" spans="30:30">
      <c r="AD611" s="2" t="str">
        <f>'Port code'!B613&amp;"-"&amp;'Port code'!C613</f>
        <v>INLUH6-Ludhiana</v>
      </c>
    </row>
    <row r="612" ht="15.75" customHeight="1" spans="30:30">
      <c r="AD612" s="2" t="str">
        <f>'Port code'!B614&amp;"-"&amp;'Port code'!C614</f>
        <v>INLWG6-WIPRO LTD.</v>
      </c>
    </row>
    <row r="613" ht="15.75" customHeight="1" spans="30:30">
      <c r="AD613" s="2" t="str">
        <f>'Port code'!B615&amp;"-"&amp;'Port code'!C615</f>
        <v>INMAA1-Chennai (Ex Madras)</v>
      </c>
    </row>
    <row r="614" ht="15.75" customHeight="1" spans="30:30">
      <c r="AD614" s="2" t="str">
        <f>'Port code'!B616&amp;"-"&amp;'Port code'!C616</f>
        <v>INMAA4-Chennai (Ex Madras)</v>
      </c>
    </row>
    <row r="615" ht="15.75" customHeight="1" spans="30:30">
      <c r="AD615" s="2" t="str">
        <f>'Port code'!B617&amp;"-"&amp;'Port code'!C617</f>
        <v>INMAA5-Chennai (Ex Madras)</v>
      </c>
    </row>
    <row r="616" ht="15.75" customHeight="1" spans="30:30">
      <c r="AD616" s="2" t="str">
        <f>'Port code'!B618&amp;"-"&amp;'Port code'!C618</f>
        <v>INMAA6-Chennai(EPZ/SEZ)</v>
      </c>
    </row>
    <row r="617" ht="15.75" customHeight="1" spans="30:30">
      <c r="AD617" s="2" t="str">
        <f>'Port code'!B619&amp;"-"&amp;'Port code'!C619</f>
        <v>INMAB6-BRIGADE/SEZ/KANNADA</v>
      </c>
    </row>
    <row r="618" ht="15.75" customHeight="1" spans="30:30">
      <c r="AD618" s="2" t="str">
        <f>'Port code'!B620&amp;"-"&amp;'Port code'!C620</f>
        <v>INMAE6-EC OF TAMIL NADU</v>
      </c>
    </row>
    <row r="619" ht="15.75" customHeight="1" spans="30:30">
      <c r="AD619" s="2" t="str">
        <f>'Port code'!B621&amp;"-"&amp;'Port code'!C621</f>
        <v>INMAH1-Mahe</v>
      </c>
    </row>
    <row r="620" ht="15.75" customHeight="1" spans="30:30">
      <c r="AD620" s="2" t="str">
        <f>'Port code'!B622&amp;"-"&amp;'Port code'!C622</f>
        <v>INMAI6-INFOSYS/SEZ/MANGALOR</v>
      </c>
    </row>
    <row r="621" ht="15.75" customHeight="1" spans="30:30">
      <c r="AD621" s="2" t="str">
        <f>'Port code'!B623&amp;"-"&amp;'Port code'!C623</f>
        <v>INMAL1-Malpe</v>
      </c>
    </row>
    <row r="622" ht="15.75" customHeight="1" spans="30:30">
      <c r="AD622" s="2" t="str">
        <f>'Port code'!B624&amp;"-"&amp;'Port code'!C624</f>
        <v>INMAP1-Masulipatnam</v>
      </c>
    </row>
    <row r="623" ht="15.75" customHeight="1" spans="30:30">
      <c r="AD623" s="2" t="str">
        <f>'Port code'!B625&amp;"-"&amp;'Port code'!C625</f>
        <v>INMAQ6-MANGALORE SEZ</v>
      </c>
    </row>
    <row r="624" ht="15.75" customHeight="1" spans="30:30">
      <c r="AD624" s="2" t="str">
        <f>'Port code'!B626&amp;"-"&amp;'Port code'!C626</f>
        <v>INMAS6-TRIL INFOPARK LTD.</v>
      </c>
    </row>
    <row r="625" ht="15.75" customHeight="1" spans="30:30">
      <c r="AD625" s="2" t="str">
        <f>'Port code'!B627&amp;"-"&amp;'Port code'!C627</f>
        <v>INMBC6-Moradabad(EPZ/SEZ)</v>
      </c>
    </row>
    <row r="626" ht="15.75" customHeight="1" spans="30:30">
      <c r="AD626" s="2" t="str">
        <f>'Port code'!B628&amp;"-"&amp;'Port code'!C628</f>
        <v>INMBD6-Pakwara (Moradabad)</v>
      </c>
    </row>
    <row r="627" ht="15.75" customHeight="1" spans="30:30">
      <c r="AD627" s="2" t="str">
        <f>'Port code'!B629&amp;"-"&amp;'Port code'!C629</f>
        <v>INMBS6-Madhosingh ICD</v>
      </c>
    </row>
    <row r="628" ht="15.75" customHeight="1" spans="30:30">
      <c r="AD628" s="2" t="str">
        <f>'Port code'!B630&amp;"-"&amp;'Port code'!C630</f>
        <v>INMCI1-Minicoi I</v>
      </c>
    </row>
    <row r="629" ht="15.75" customHeight="1" spans="30:30">
      <c r="AD629" s="2" t="str">
        <f>'Port code'!B631&amp;"-"&amp;'Port code'!C631</f>
        <v>INMDA1-Magdalla</v>
      </c>
    </row>
    <row r="630" ht="15.75" customHeight="1" spans="30:30">
      <c r="AD630" s="2" t="str">
        <f>'Port code'!B632&amp;"-"&amp;'Port code'!C632</f>
        <v>INMDD6-Mandideep ICD</v>
      </c>
    </row>
    <row r="631" ht="15.75" customHeight="1" spans="30:30">
      <c r="AD631" s="2" t="str">
        <f>'Port code'!B633&amp;"-"&amp;'Port code'!C633</f>
        <v>INMDE6-APIIC SEZ MEDAK</v>
      </c>
    </row>
    <row r="632" ht="15.75" customHeight="1" spans="30:30">
      <c r="AD632" s="2" t="str">
        <f>'Port code'!B634&amp;"-"&amp;'Port code'!C634</f>
        <v>INMDG6-Margao</v>
      </c>
    </row>
    <row r="633" ht="15.75" customHeight="1" spans="30:30">
      <c r="AD633" s="2" t="str">
        <f>'Port code'!B635&amp;"-"&amp;'Port code'!C635</f>
        <v>INMDK1-Muldwarka</v>
      </c>
    </row>
    <row r="634" ht="15.75" customHeight="1" spans="30:30">
      <c r="AD634" s="2" t="str">
        <f>'Port code'!B636&amp;"-"&amp;'Port code'!C636</f>
        <v>INMDP1-Mandapam</v>
      </c>
    </row>
    <row r="635" ht="15.75" customHeight="1" spans="30:30">
      <c r="AD635" s="2" t="str">
        <f>'Port code'!B637&amp;"-"&amp;'Port code'!C637</f>
        <v>INMDU6-KERN ICD MADURAI</v>
      </c>
    </row>
    <row r="636" ht="15.75" customHeight="1" spans="30:30">
      <c r="AD636" s="2" t="str">
        <f>'Port code'!B638&amp;"-"&amp;'Port code'!C638</f>
        <v>INMDV1-Mandvi</v>
      </c>
    </row>
    <row r="637" ht="15.75" customHeight="1" spans="30:30">
      <c r="AD637" s="2" t="str">
        <f>'Port code'!B639&amp;"-"&amp;'Port code'!C639</f>
        <v>INMDW1-Meadows</v>
      </c>
    </row>
    <row r="638" ht="15.75" customHeight="1" spans="30:30">
      <c r="AD638" s="2" t="str">
        <f>'Port code'!B640&amp;"-"&amp;'Port code'!C640</f>
        <v>INMEA6-APIIC-SEZ/ViII-LALGA</v>
      </c>
    </row>
    <row r="639" ht="15.75" customHeight="1" spans="30:30">
      <c r="AD639" s="2" t="str">
        <f>'Port code'!B641&amp;"-"&amp;'Port code'!C641</f>
        <v>INMEC6-EC OF TAMIL NADU</v>
      </c>
    </row>
    <row r="640" ht="15.75" customHeight="1" spans="30:30">
      <c r="AD640" s="2" t="str">
        <f>'Port code'!B642&amp;"-"&amp;'Port code'!C642</f>
        <v>INMGHB-Mahendraganj</v>
      </c>
    </row>
    <row r="641" ht="15.75" customHeight="1" spans="30:30">
      <c r="AD641" s="2" t="str">
        <f>'Port code'!B643&amp;"-"&amp;'Port code'!C643</f>
        <v>INMGR1-Mangrol</v>
      </c>
    </row>
    <row r="642" ht="15.75" customHeight="1" spans="30:30">
      <c r="AD642" s="2" t="str">
        <f>'Port code'!B644&amp;"-"&amp;'Port code'!C644</f>
        <v>INMHA1-Mahuva</v>
      </c>
    </row>
    <row r="643" ht="15.75" customHeight="1" spans="30:30">
      <c r="AD643" s="2" t="str">
        <f>'Port code'!B645&amp;"-"&amp;'Port code'!C645</f>
        <v>INMHDB-Kotawalighat (Mohedi</v>
      </c>
    </row>
    <row r="644" ht="15.75" customHeight="1" spans="30:30">
      <c r="AD644" s="2" t="str">
        <f>'Port code'!B646&amp;"-"&amp;'Port code'!C646</f>
        <v>INMHE1-Mahe</v>
      </c>
    </row>
    <row r="645" ht="15.75" customHeight="1" spans="30:30">
      <c r="AD645" s="2" t="str">
        <f>'Port code'!B647&amp;"-"&amp;'Port code'!C647</f>
        <v>INMHGB-Mahurighat</v>
      </c>
    </row>
    <row r="646" ht="15.75" customHeight="1" spans="30:30">
      <c r="AD646" s="2" t="str">
        <f>'Port code'!B648&amp;"-"&amp;'Port code'!C648</f>
        <v>INMHN2-Mahisashan Railway S</v>
      </c>
    </row>
    <row r="647" ht="15.75" customHeight="1" spans="30:30">
      <c r="AD647" s="2" t="str">
        <f>'Port code'!B649&amp;"-"&amp;'Port code'!C649</f>
        <v>INMKCB-Manikarchar</v>
      </c>
    </row>
    <row r="648" ht="15.75" customHeight="1" spans="30:30">
      <c r="AD648" s="2" t="str">
        <f>'Port code'!B650&amp;"-"&amp;'Port code'!C650</f>
        <v>INMKD6-MIKADO SEZ GURGAON</v>
      </c>
    </row>
    <row r="649" ht="15.75" customHeight="1" spans="30:30">
      <c r="AD649" s="2" t="str">
        <f>'Port code'!B651&amp;"-"&amp;'Port code'!C651</f>
        <v>INMLI1-Maroli</v>
      </c>
    </row>
    <row r="650" ht="15.75" customHeight="1" spans="30:30">
      <c r="AD650" s="2" t="str">
        <f>'Port code'!B652&amp;"-"&amp;'Port code'!C652</f>
        <v>INMLP1-Mallipuram</v>
      </c>
    </row>
    <row r="651" ht="15.75" customHeight="1" spans="30:30">
      <c r="AD651" s="2" t="str">
        <f>'Port code'!B653&amp;"-"&amp;'Port code'!C653</f>
        <v>INMLW1-Malwan</v>
      </c>
    </row>
    <row r="652" ht="15.75" customHeight="1" spans="30:30">
      <c r="AD652" s="2" t="str">
        <f>'Port code'!B654&amp;"-"&amp;'Port code'!C654</f>
        <v>INMNB2-Munabao Railway Stat</v>
      </c>
    </row>
    <row r="653" ht="15.75" customHeight="1" spans="30:30">
      <c r="AD653" s="2" t="str">
        <f>'Port code'!B655&amp;"-"&amp;'Port code'!C655</f>
        <v>INMNR1-Manori</v>
      </c>
    </row>
    <row r="654" ht="15.75" customHeight="1" spans="30:30">
      <c r="AD654" s="2" t="str">
        <f>'Port code'!B656&amp;"-"&amp;'Port code'!C656</f>
        <v>INMNUB-Manu</v>
      </c>
    </row>
    <row r="655" ht="15.75" customHeight="1" spans="30:30">
      <c r="AD655" s="2" t="str">
        <f>'Port code'!B657&amp;"-"&amp;'Port code'!C657</f>
        <v>INMNW1-Mandwa</v>
      </c>
    </row>
    <row r="656" ht="15.75" customHeight="1" spans="30:30">
      <c r="AD656" s="2" t="str">
        <f>'Port code'!B658&amp;"-"&amp;'Port code'!C658</f>
        <v>INMOH4-Mohanbari</v>
      </c>
    </row>
    <row r="657" ht="15.75" customHeight="1" spans="30:30">
      <c r="AD657" s="2" t="str">
        <f>'Port code'!B659&amp;"-"&amp;'Port code'!C659</f>
        <v>INMOR2-Moradabad</v>
      </c>
    </row>
    <row r="658" ht="15.75" customHeight="1" spans="30:30">
      <c r="AD658" s="2" t="str">
        <f>'Port code'!B660&amp;"-"&amp;'Port code'!C660</f>
        <v>INMPC1-TEST</v>
      </c>
    </row>
    <row r="659" ht="15.75" customHeight="1" spans="30:30">
      <c r="AD659" s="2" t="str">
        <f>'Port code'!B661&amp;"-"&amp;'Port code'!C661</f>
        <v>INMPR6-Malanpur ICD</v>
      </c>
    </row>
    <row r="660" ht="15.75" customHeight="1" spans="30:30">
      <c r="AD660" s="2" t="str">
        <f>'Port code'!B662&amp;"-"&amp;'Port code'!C662</f>
        <v>INMQK6-KIADB/SEZ/MANGALORE</v>
      </c>
    </row>
    <row r="661" ht="15.75" customHeight="1" spans="30:30">
      <c r="AD661" s="2" t="str">
        <f>'Port code'!B663&amp;"-"&amp;'Port code'!C663</f>
        <v>INMRA1-Mora</v>
      </c>
    </row>
    <row r="662" ht="15.75" customHeight="1" spans="30:30">
      <c r="AD662" s="2" t="str">
        <f>'Port code'!B664&amp;"-"&amp;'Port code'!C664</f>
        <v>INMRD1-Murad</v>
      </c>
    </row>
    <row r="663" ht="15.75" customHeight="1" spans="30:30">
      <c r="AD663" s="2" t="str">
        <f>'Port code'!B665&amp;"-"&amp;'Port code'!C665</f>
        <v>INMREB-Moreh</v>
      </c>
    </row>
    <row r="664" ht="15.75" customHeight="1" spans="30:30">
      <c r="AD664" s="2" t="str">
        <f>'Port code'!B666&amp;"-"&amp;'Port code'!C666</f>
        <v>INMRG4-Margao</v>
      </c>
    </row>
    <row r="665" ht="15.75" customHeight="1" spans="30:30">
      <c r="AD665" s="2" t="str">
        <f>'Port code'!B667&amp;"-"&amp;'Port code'!C667</f>
        <v>INMRJ6-Miraj</v>
      </c>
    </row>
    <row r="666" ht="15.75" customHeight="1" spans="30:30">
      <c r="AD666" s="2" t="str">
        <f>'Port code'!B668&amp;"-"&amp;'Port code'!C668</f>
        <v>INMRM1-Marmagoa</v>
      </c>
    </row>
    <row r="667" ht="15.75" customHeight="1" spans="30:30">
      <c r="AD667" s="2" t="str">
        <f>'Port code'!B669&amp;"-"&amp;'Port code'!C669</f>
        <v>INMSR6-RENAIS/SEZ/BANGALORE</v>
      </c>
    </row>
    <row r="668" ht="15.75" customHeight="1" spans="30:30">
      <c r="AD668" s="2" t="str">
        <f>'Port code'!B670&amp;"-"&amp;'Port code'!C670</f>
        <v>INMTW1-Metwad</v>
      </c>
    </row>
    <row r="669" ht="15.75" customHeight="1" spans="30:30">
      <c r="AD669" s="2" t="str">
        <f>'Port code'!B671&amp;"-"&amp;'Port code'!C671</f>
        <v>INMUC6-SCPL/SEZ/MULUND</v>
      </c>
    </row>
    <row r="670" ht="15.75" customHeight="1" spans="30:30">
      <c r="AD670" s="2" t="str">
        <f>'Port code'!B672&amp;"-"&amp;'Port code'!C672</f>
        <v>INMUL6-Mulund ICD</v>
      </c>
    </row>
    <row r="671" ht="15.75" customHeight="1" spans="30:30">
      <c r="AD671" s="2" t="str">
        <f>'Port code'!B673&amp;"-"&amp;'Port code'!C673</f>
        <v>INMUN1-Mundra</v>
      </c>
    </row>
    <row r="672" ht="15.75" customHeight="1" spans="30:30">
      <c r="AD672" s="2" t="str">
        <f>'Port code'!B674&amp;"-"&amp;'Port code'!C674</f>
        <v>INMUR1-Murad</v>
      </c>
    </row>
    <row r="673" ht="15.75" customHeight="1" spans="30:30">
      <c r="AD673" s="2" t="str">
        <f>'Port code'!B675&amp;"-"&amp;'Port code'!C675</f>
        <v>INMUZ6-MODINAGAR ICD</v>
      </c>
    </row>
    <row r="674" ht="15.75" customHeight="1" spans="30:30">
      <c r="AD674" s="2" t="str">
        <f>'Port code'!B676&amp;"-"&amp;'Port code'!C676</f>
        <v>INMWA6-ICD Maliwada</v>
      </c>
    </row>
    <row r="675" ht="15.75" customHeight="1" spans="30:30">
      <c r="AD675" s="2" t="str">
        <f>'Port code'!B677&amp;"-"&amp;'Port code'!C677</f>
        <v>INMYB1-Mayabandar</v>
      </c>
    </row>
    <row r="676" ht="15.75" customHeight="1" spans="30:30">
      <c r="AD676" s="2" t="str">
        <f>'Port code'!B678&amp;"-"&amp;'Port code'!C678</f>
        <v>INMYL6-L AND T/SEZ/MYSORE</v>
      </c>
    </row>
    <row r="677" ht="15.75" customHeight="1" spans="30:30">
      <c r="AD677" s="2" t="str">
        <f>'Port code'!B679&amp;"-"&amp;'Port code'!C679</f>
        <v>INMYO6-OPTOINFRA/SEZ/MYSORE</v>
      </c>
    </row>
    <row r="678" ht="15.75" customHeight="1" spans="30:30">
      <c r="AD678" s="2" t="str">
        <f>'Port code'!B680&amp;"-"&amp;'Port code'!C680</f>
        <v>INMYQ4-Mysore</v>
      </c>
    </row>
    <row r="679" ht="15.75" customHeight="1" spans="30:30">
      <c r="AD679" s="2" t="str">
        <f>'Port code'!B681&amp;"-"&amp;'Port code'!C681</f>
        <v>INMZA4-Muzaffarnagar</v>
      </c>
    </row>
    <row r="680" ht="15.75" customHeight="1" spans="30:30">
      <c r="AD680" s="2" t="str">
        <f>'Port code'!B682&amp;"-"&amp;'Port code'!C682</f>
        <v>INMZU4-Muzaffarpur</v>
      </c>
    </row>
    <row r="681" ht="15.75" customHeight="1" spans="30:30">
      <c r="AD681" s="2" t="str">
        <f>'Port code'!B683&amp;"-"&amp;'Port code'!C683</f>
        <v>INNAG4-Nagpur</v>
      </c>
    </row>
    <row r="682" ht="15.75" customHeight="1" spans="30:30">
      <c r="AD682" s="2" t="str">
        <f>'Port code'!B684&amp;"-"&amp;'Port code'!C684</f>
        <v>INNAG6-Nagpur</v>
      </c>
    </row>
    <row r="683" ht="15.75" customHeight="1" spans="30:30">
      <c r="AD683" s="2" t="str">
        <f>'Port code'!B685&amp;"-"&amp;'Port code'!C685</f>
        <v>INNAN1-Nancowrie</v>
      </c>
    </row>
    <row r="684" ht="15.75" customHeight="1" spans="30:30">
      <c r="AD684" s="2" t="str">
        <f>'Port code'!B686&amp;"-"&amp;'Port code'!C686</f>
        <v>INNAV1-Navlakhi</v>
      </c>
    </row>
    <row r="685" ht="15.75" customHeight="1" spans="30:30">
      <c r="AD685" s="2" t="str">
        <f>'Port code'!B687&amp;"-"&amp;'Port code'!C687</f>
        <v>INNDA6-Noida(EPZ/SEZ)</v>
      </c>
    </row>
    <row r="686" ht="15.75" customHeight="1" spans="30:30">
      <c r="AD686" s="2" t="str">
        <f>'Port code'!B688&amp;"-"&amp;'Port code'!C688</f>
        <v>INNDC4-Nanded</v>
      </c>
    </row>
    <row r="687" ht="15.75" customHeight="1" spans="30:30">
      <c r="AD687" s="2" t="str">
        <f>'Port code'!B689&amp;"-"&amp;'Port code'!C689</f>
        <v>INNDG1-Nandgaon</v>
      </c>
    </row>
    <row r="688" ht="15.75" customHeight="1" spans="30:30">
      <c r="AD688" s="2" t="str">
        <f>'Port code'!B690&amp;"-"&amp;'Port code'!C690</f>
        <v>INNDP1-Tuglakabad</v>
      </c>
    </row>
    <row r="689" ht="15.75" customHeight="1" spans="30:30">
      <c r="AD689" s="2" t="str">
        <f>'Port code'!B691&amp;"-"&amp;'Port code'!C691</f>
        <v>INNEE1-Neendakara</v>
      </c>
    </row>
    <row r="690" ht="15.75" customHeight="1" spans="30:30">
      <c r="AD690" s="2" t="str">
        <f>'Port code'!B692&amp;"-"&amp;'Port code'!C692</f>
        <v>INNEL1-Nellore</v>
      </c>
    </row>
    <row r="691" ht="15.75" customHeight="1" spans="30:30">
      <c r="AD691" s="2" t="str">
        <f>'Port code'!B693&amp;"-"&amp;'Port code'!C693</f>
        <v>INNGB6-BUTIBORI ICD NAGPUR</v>
      </c>
    </row>
    <row r="692" ht="15.75" customHeight="1" spans="30:30">
      <c r="AD692" s="2" t="str">
        <f>'Port code'!B694&amp;"-"&amp;'Port code'!C694</f>
        <v>INNGKB-NAGARKATA LCS</v>
      </c>
    </row>
    <row r="693" ht="15.75" customHeight="1" spans="30:30">
      <c r="AD693" s="2" t="str">
        <f>'Port code'!B695&amp;"-"&amp;'Port code'!C695</f>
        <v>INNGO6-OSE SEZ NOIDA</v>
      </c>
    </row>
    <row r="694" ht="15.75" customHeight="1" spans="30:30">
      <c r="AD694" s="2" t="str">
        <f>'Port code'!B696&amp;"-"&amp;'Port code'!C696</f>
        <v>INNGP6-Nagpur</v>
      </c>
    </row>
    <row r="695" ht="15.75" customHeight="1" spans="30:30">
      <c r="AD695" s="2" t="str">
        <f>'Port code'!B697&amp;"-"&amp;'Port code'!C697</f>
        <v>INNGRB-Nepalgunj Road</v>
      </c>
    </row>
    <row r="696" ht="15.75" customHeight="1" spans="30:30">
      <c r="AD696" s="2" t="str">
        <f>'Port code'!B698&amp;"-"&amp;'Port code'!C698</f>
        <v>INNGSB-Village Namgaya Ship</v>
      </c>
    </row>
    <row r="697" ht="15.75" customHeight="1" spans="30:30">
      <c r="AD697" s="2" t="str">
        <f>'Port code'!B699&amp;"-"&amp;'Port code'!C699</f>
        <v>INNKI6-INDIABULLS NASHIK</v>
      </c>
    </row>
    <row r="698" ht="15.75" customHeight="1" spans="30:30">
      <c r="AD698" s="2" t="str">
        <f>'Port code'!B700&amp;"-"&amp;'Port code'!C700</f>
        <v>INNKNB-Namkhana</v>
      </c>
    </row>
    <row r="699" ht="15.75" customHeight="1" spans="30:30">
      <c r="AD699" s="2" t="str">
        <f>'Port code'!B701&amp;"-"&amp;'Port code'!C701</f>
        <v>INNML1-New Mangalore</v>
      </c>
    </row>
    <row r="700" ht="15.75" customHeight="1" spans="30:30">
      <c r="AD700" s="2" t="str">
        <f>'Port code'!B702&amp;"-"&amp;'Port code'!C702</f>
        <v>INNMTB-Neamati steamer Ghat</v>
      </c>
    </row>
    <row r="701" ht="15.75" customHeight="1" spans="30:30">
      <c r="AD701" s="2" t="str">
        <f>'Port code'!B703&amp;"-"&amp;'Port code'!C703</f>
        <v>INNNN6-AMRL SEZ NANGUNERI</v>
      </c>
    </row>
    <row r="702" ht="15.75" customHeight="1" spans="30:30">
      <c r="AD702" s="2" t="str">
        <f>'Port code'!B704&amp;"-"&amp;'Port code'!C704</f>
        <v>INNPGB-Nampong</v>
      </c>
    </row>
    <row r="703" ht="15.75" customHeight="1" spans="30:30">
      <c r="AD703" s="2" t="str">
        <f>'Port code'!B705&amp;"-"&amp;'Port code'!C705</f>
        <v>INNPT1-Nagapattinam</v>
      </c>
    </row>
    <row r="704" ht="15.75" customHeight="1" spans="30:30">
      <c r="AD704" s="2" t="str">
        <f>'Port code'!B706&amp;"-"&amp;'Port code'!C706</f>
        <v>INNRP6-AA LTD.</v>
      </c>
    </row>
    <row r="705" ht="15.75" customHeight="1" spans="30:30">
      <c r="AD705" s="2" t="str">
        <f>'Port code'!B707&amp;"-"&amp;'Port code'!C707</f>
        <v>INNSA1-Jawaharlal Nehru (Nh</v>
      </c>
    </row>
    <row r="706" ht="15.75" customHeight="1" spans="30:30">
      <c r="AD706" s="2" t="str">
        <f>'Port code'!B708&amp;"-"&amp;'Port code'!C708</f>
        <v>INNSK6-Nasik</v>
      </c>
    </row>
    <row r="707" ht="15.75" customHeight="1" spans="30:30">
      <c r="AD707" s="2" t="str">
        <f>'Port code'!B709&amp;"-"&amp;'Port code'!C709</f>
        <v>INNTLB-SHERATHANG LCS</v>
      </c>
    </row>
    <row r="708" ht="15.75" customHeight="1" spans="30:30">
      <c r="AD708" s="2" t="str">
        <f>'Port code'!B710&amp;"-"&amp;'Port code'!C710</f>
        <v>INNTVB-THOOTHIBARI LCS</v>
      </c>
    </row>
    <row r="709" ht="15.75" customHeight="1" spans="30:30">
      <c r="AD709" s="2" t="str">
        <f>'Port code'!B711&amp;"-"&amp;'Port code'!C711</f>
        <v>INNUR6-Kundli</v>
      </c>
    </row>
    <row r="710" ht="15.75" customHeight="1" spans="30:30">
      <c r="AD710" s="2" t="str">
        <f>'Port code'!B712&amp;"-"&amp;'Port code'!C712</f>
        <v>INNVB1-Navabunder(with its</v>
      </c>
    </row>
    <row r="711" ht="15.75" customHeight="1" spans="30:30">
      <c r="AD711" s="2" t="str">
        <f>'Port code'!B713&amp;"-"&amp;'Port code'!C713</f>
        <v>INNVP1-Navaspur</v>
      </c>
    </row>
    <row r="712" ht="15.75" customHeight="1" spans="30:30">
      <c r="AD712" s="2" t="str">
        <f>'Port code'!B714&amp;"-"&amp;'Port code'!C714</f>
        <v>INNVT1-Nivti</v>
      </c>
    </row>
    <row r="713" ht="15.75" customHeight="1" spans="30:30">
      <c r="AD713" s="2" t="str">
        <f>'Port code'!B715&amp;"-"&amp;'Port code'!C715</f>
        <v>INNVY4-Neyveli</v>
      </c>
    </row>
    <row r="714" ht="15.75" customHeight="1" spans="30:30">
      <c r="AD714" s="2" t="str">
        <f>'Port code'!B716&amp;"-"&amp;'Port code'!C716</f>
        <v>INNWP1-Newapur</v>
      </c>
    </row>
    <row r="715" ht="15.75" customHeight="1" spans="30:30">
      <c r="AD715" s="2" t="str">
        <f>'Port code'!B717&amp;"-"&amp;'Port code'!C717</f>
        <v>INNYP6-APIIC LTD.</v>
      </c>
    </row>
    <row r="716" ht="15.75" customHeight="1" spans="30:30">
      <c r="AD716" s="2" t="str">
        <f>'Port code'!B718&amp;"-"&amp;'Port code'!C718</f>
        <v>INOKH1-Okha</v>
      </c>
    </row>
    <row r="717" ht="15.75" customHeight="1" spans="30:30">
      <c r="AD717" s="2" t="str">
        <f>'Port code'!B719&amp;"-"&amp;'Port code'!C719</f>
        <v>INOMN4-Osmanabad</v>
      </c>
    </row>
    <row r="718" ht="15.75" customHeight="1" spans="30:30">
      <c r="AD718" s="2" t="str">
        <f>'Port code'!B720&amp;"-"&amp;'Port code'!C720</f>
        <v>INOMU1-Old Mundra Port</v>
      </c>
    </row>
    <row r="719" ht="15.75" customHeight="1" spans="30:30">
      <c r="AD719" s="2" t="str">
        <f>'Port code'!B721&amp;"-"&amp;'Port code'!C721</f>
        <v>INONJ1-Onjal</v>
      </c>
    </row>
    <row r="720" ht="15.75" customHeight="1" spans="30:30">
      <c r="AD720" s="2" t="str">
        <f>'Port code'!B722&amp;"-"&amp;'Port code'!C722</f>
        <v>INPAB4-Bilaspur</v>
      </c>
    </row>
    <row r="721" ht="15.75" customHeight="1" spans="30:30">
      <c r="AD721" s="2" t="str">
        <f>'Port code'!B723&amp;"-"&amp;'Port code'!C723</f>
        <v>INPAK6-KSITIL/SEZ/PAYYANOOR</v>
      </c>
    </row>
    <row r="722" ht="15.75" customHeight="1" spans="30:30">
      <c r="AD722" s="2" t="str">
        <f>'Port code'!B724&amp;"-"&amp;'Port code'!C724</f>
        <v>INPAN1-Panaji Port</v>
      </c>
    </row>
    <row r="723" ht="15.75" customHeight="1" spans="30:30">
      <c r="AD723" s="2" t="str">
        <f>'Port code'!B725&amp;"-"&amp;'Port code'!C725</f>
        <v>INPAO6-HBS SEZ PANOLI</v>
      </c>
    </row>
    <row r="724" ht="15.75" customHeight="1" spans="30:30">
      <c r="AD724" s="2" t="str">
        <f>'Port code'!B726&amp;"-"&amp;'Port code'!C726</f>
        <v>INPAP2-Panipat</v>
      </c>
    </row>
    <row r="725" ht="15.75" customHeight="1" spans="30:30">
      <c r="AD725" s="2" t="str">
        <f>'Port code'!B727&amp;"-"&amp;'Port code'!C727</f>
        <v>INPAT4-Patna</v>
      </c>
    </row>
    <row r="726" ht="15.75" customHeight="1" spans="30:30">
      <c r="AD726" s="2" t="str">
        <f>'Port code'!B728&amp;"-"&amp;'Port code'!C728</f>
        <v>INPAV1-Pipavav (Victor) Por</v>
      </c>
    </row>
    <row r="727" ht="15.75" customHeight="1" spans="30:30">
      <c r="AD727" s="2" t="str">
        <f>'Port code'!B729&amp;"-"&amp;'Port code'!C729</f>
        <v>INPAV2-Pipavav (Victor) Por</v>
      </c>
    </row>
    <row r="728" ht="15.75" customHeight="1" spans="30:30">
      <c r="AD728" s="2" t="str">
        <f>'Port code'!B730&amp;"-"&amp;'Port code'!C730</f>
        <v>INPBD1-Porbandar</v>
      </c>
    </row>
    <row r="729" ht="15.75" customHeight="1" spans="30:30">
      <c r="AD729" s="2" t="str">
        <f>'Port code'!B731&amp;"-"&amp;'Port code'!C731</f>
        <v>INPBD4-Porbandar</v>
      </c>
    </row>
    <row r="730" ht="15.75" customHeight="1" spans="30:30">
      <c r="AD730" s="2" t="str">
        <f>'Port code'!B732&amp;"-"&amp;'Port code'!C732</f>
        <v>INPBLB-KAMARDWISA LCS</v>
      </c>
    </row>
    <row r="731" ht="15.75" customHeight="1" spans="30:30">
      <c r="AD731" s="2" t="str">
        <f>'Port code'!B733&amp;"-"&amp;'Port code'!C733</f>
        <v>INPDD1-Padubidri Minor Port</v>
      </c>
    </row>
    <row r="732" ht="15.75" customHeight="1" spans="30:30">
      <c r="AD732" s="2" t="str">
        <f>'Port code'!B734&amp;"-"&amp;'Port code'!C734</f>
        <v>INPEK6-EKIPL/SEZ/PUNE</v>
      </c>
    </row>
    <row r="733" ht="15.75" customHeight="1" spans="30:30">
      <c r="AD733" s="2" t="str">
        <f>'Port code'!B735&amp;"-"&amp;'Port code'!C735</f>
        <v>INPGH4-Pantnagar</v>
      </c>
    </row>
    <row r="734" ht="15.75" customHeight="1" spans="30:30">
      <c r="AD734" s="2" t="str">
        <f>'Port code'!B736&amp;"-"&amp;'Port code'!C736</f>
        <v>INPHBB-Phulbari</v>
      </c>
    </row>
    <row r="735" ht="15.75" customHeight="1" spans="30:30">
      <c r="AD735" s="2" t="str">
        <f>'Port code'!B737&amp;"-"&amp;'Port code'!C737</f>
        <v>INPID1-Port Indai</v>
      </c>
    </row>
    <row r="736" ht="15.75" customHeight="1" spans="30:30">
      <c r="AD736" s="2" t="str">
        <f>'Port code'!B738&amp;"-"&amp;'Port code'!C738</f>
        <v>INPIN1-Pindhara</v>
      </c>
    </row>
    <row r="737" ht="15.75" customHeight="1" spans="30:30">
      <c r="AD737" s="2" t="str">
        <f>'Port code'!B739&amp;"-"&amp;'Port code'!C739</f>
        <v>INPIT6-ITL/SEZ/PUNE</v>
      </c>
    </row>
    <row r="738" ht="15.75" customHeight="1" spans="30:30">
      <c r="AD738" s="2" t="str">
        <f>'Port code'!B740&amp;"-"&amp;'Port code'!C740</f>
        <v>INPKD6-IGEL SEZ SETTIPALI</v>
      </c>
    </row>
    <row r="739" ht="15.75" customHeight="1" spans="30:30">
      <c r="AD739" s="2" t="str">
        <f>'Port code'!B741&amp;"-"&amp;'Port code'!C741</f>
        <v>INPKR6-ICD PALI, REWARI</v>
      </c>
    </row>
    <row r="740" ht="15.75" customHeight="1" spans="30:30">
      <c r="AD740" s="2" t="str">
        <f>'Port code'!B742&amp;"-"&amp;'Port code'!C742</f>
        <v>INPMB1-Pamban</v>
      </c>
    </row>
    <row r="741" ht="15.75" customHeight="1" spans="30:30">
      <c r="AD741" s="2" t="str">
        <f>'Port code'!B743&amp;"-"&amp;'Port code'!C743</f>
        <v>INPMP6-Pimpri</v>
      </c>
    </row>
    <row r="742" ht="15.75" customHeight="1" spans="30:30">
      <c r="AD742" s="2" t="str">
        <f>'Port code'!B744&amp;"-"&amp;'Port code'!C744</f>
        <v>INPMT6-MTDCCL/SEZ/PUNE</v>
      </c>
    </row>
    <row r="743" ht="15.75" customHeight="1" spans="30:30">
      <c r="AD743" s="2" t="str">
        <f>'Port code'!B745&amp;"-"&amp;'Port code'!C745</f>
        <v>INPNB6-BTSL SEZ PUNE</v>
      </c>
    </row>
    <row r="744" ht="15.75" customHeight="1" spans="30:30">
      <c r="AD744" s="2" t="str">
        <f>'Port code'!B746&amp;"-"&amp;'Port code'!C746</f>
        <v>INPNE6-NT PVT. LTD.</v>
      </c>
    </row>
    <row r="745" ht="15.75" customHeight="1" spans="30:30">
      <c r="AD745" s="2" t="str">
        <f>'Port code'!B747&amp;"-"&amp;'Port code'!C747</f>
        <v>INPNF5-PATNA FPO</v>
      </c>
    </row>
    <row r="746" ht="15.75" customHeight="1" spans="30:30">
      <c r="AD746" s="2" t="str">
        <f>'Port code'!B748&amp;"-"&amp;'Port code'!C748</f>
        <v>INPNI6-MITTAL SEZ PANIPAT</v>
      </c>
    </row>
    <row r="747" ht="15.75" customHeight="1" spans="30:30">
      <c r="AD747" s="2" t="str">
        <f>'Port code'!B749&amp;"-"&amp;'Port code'!C749</f>
        <v>INPNJ1-Panjim</v>
      </c>
    </row>
    <row r="748" ht="15.75" customHeight="1" spans="30:30">
      <c r="AD748" s="2" t="str">
        <f>'Port code'!B750&amp;"-"&amp;'Port code'!C750</f>
        <v>INPNK6-KLPPL PANKI</v>
      </c>
    </row>
    <row r="749" ht="15.75" customHeight="1" spans="30:30">
      <c r="AD749" s="2" t="str">
        <f>'Port code'!B751&amp;"-"&amp;'Port code'!C751</f>
        <v>INPNL6-PERSIPINA SEZ RAIGAD</v>
      </c>
    </row>
    <row r="750" ht="15.75" customHeight="1" spans="30:30">
      <c r="AD750" s="2" t="str">
        <f>'Port code'!B752&amp;"-"&amp;'Port code'!C752</f>
        <v>INPNM1-Panambur</v>
      </c>
    </row>
    <row r="751" ht="15.75" customHeight="1" spans="30:30">
      <c r="AD751" s="2" t="str">
        <f>'Port code'!B753&amp;"-"&amp;'Port code'!C753</f>
        <v>INPNN1-Ponnani</v>
      </c>
    </row>
    <row r="752" ht="15.75" customHeight="1" spans="30:30">
      <c r="AD752" s="2" t="str">
        <f>'Port code'!B754&amp;"-"&amp;'Port code'!C754</f>
        <v>INPNP6-Babarpur</v>
      </c>
    </row>
    <row r="753" ht="15.75" customHeight="1" spans="30:30">
      <c r="AD753" s="2" t="str">
        <f>'Port code'!B755&amp;"-"&amp;'Port code'!C755</f>
        <v>INPNQ2-Pune</v>
      </c>
    </row>
    <row r="754" ht="15.75" customHeight="1" spans="30:30">
      <c r="AD754" s="2" t="str">
        <f>'Port code'!B756&amp;"-"&amp;'Port code'!C756</f>
        <v>INPNQ4-Pune</v>
      </c>
    </row>
    <row r="755" ht="15.75" customHeight="1" spans="30:30">
      <c r="AD755" s="2" t="str">
        <f>'Port code'!B757&amp;"-"&amp;'Port code'!C757</f>
        <v>INPNQ6-SERUM BIO/SEZ/PUNE</v>
      </c>
    </row>
    <row r="756" ht="15.75" customHeight="1" spans="30:30">
      <c r="AD756" s="2" t="str">
        <f>'Port code'!B758&amp;"-"&amp;'Port code'!C758</f>
        <v>INPNTB-Panitanki(Naxalbari)</v>
      </c>
    </row>
    <row r="757" ht="15.75" customHeight="1" spans="30:30">
      <c r="AD757" s="2" t="str">
        <f>'Port code'!B759&amp;"-"&amp;'Port code'!C759</f>
        <v>INPNU6-TMSF PVT. LTD.</v>
      </c>
    </row>
    <row r="758" ht="15.75" customHeight="1" spans="30:30">
      <c r="AD758" s="2" t="str">
        <f>'Port code'!B760&amp;"-"&amp;'Port code'!C760</f>
        <v>INPNV6-ICD Panvel</v>
      </c>
    </row>
    <row r="759" ht="15.75" customHeight="1" spans="30:30">
      <c r="AD759" s="2" t="str">
        <f>'Port code'!B761&amp;"-"&amp;'Port code'!C761</f>
        <v>INPNY1-Pondicherry</v>
      </c>
    </row>
    <row r="760" ht="15.75" customHeight="1" spans="30:30">
      <c r="AD760" s="2" t="str">
        <f>'Port code'!B762&amp;"-"&amp;'Port code'!C762</f>
        <v>INPNY4-Pondicherry</v>
      </c>
    </row>
    <row r="761" ht="15.75" customHeight="1" spans="30:30">
      <c r="AD761" s="2" t="str">
        <f>'Port code'!B763&amp;"-"&amp;'Port code'!C763</f>
        <v>INPNY6-ICD PULICHAPALLAM</v>
      </c>
    </row>
    <row r="762" ht="15.75" customHeight="1" spans="30:30">
      <c r="AD762" s="2" t="str">
        <f>'Port code'!B764&amp;"-"&amp;'Port code'!C764</f>
        <v>INPPG6-Patparganj ICD,DELHI</v>
      </c>
    </row>
    <row r="763" ht="15.75" customHeight="1" spans="30:30">
      <c r="AD763" s="2" t="str">
        <f>'Port code'!B765&amp;"-"&amp;'Port code'!C765</f>
        <v>INPPJ1-Pellet Plant Jetty a</v>
      </c>
    </row>
    <row r="764" ht="15.75" customHeight="1" spans="30:30">
      <c r="AD764" s="2" t="str">
        <f>'Port code'!B766&amp;"-"&amp;'Port code'!C766</f>
        <v>INPRD6-PREPL SEZ PERUNGUDI</v>
      </c>
    </row>
    <row r="765" ht="15.75" customHeight="1" spans="30:30">
      <c r="AD765" s="2" t="str">
        <f>'Port code'!B767&amp;"-"&amp;'Port code'!C767</f>
        <v>INPRG1-Purangad</v>
      </c>
    </row>
    <row r="766" ht="15.75" customHeight="1" spans="30:30">
      <c r="AD766" s="2" t="str">
        <f>'Port code'!B768&amp;"-"&amp;'Port code'!C768</f>
        <v>INPRK6-ICD POWARKHEDA</v>
      </c>
    </row>
    <row r="767" ht="15.75" customHeight="1" spans="30:30">
      <c r="AD767" s="2" t="str">
        <f>'Port code'!B769&amp;"-"&amp;'Port code'!C769</f>
        <v>INPRT1-Paradeep</v>
      </c>
    </row>
    <row r="768" ht="15.75" customHeight="1" spans="30:30">
      <c r="AD768" s="2" t="str">
        <f>'Port code'!B770&amp;"-"&amp;'Port code'!C770</f>
        <v>INPSH1-Palshet</v>
      </c>
    </row>
    <row r="769" ht="15.75" customHeight="1" spans="30:30">
      <c r="AD769" s="2" t="str">
        <f>'Port code'!B771&amp;"-"&amp;'Port code'!C771</f>
        <v>INPSI6-SIPL/SEZ/PUNE</v>
      </c>
    </row>
    <row r="770" ht="15.75" customHeight="1" spans="30:30">
      <c r="AD770" s="2" t="str">
        <f>'Port code'!B772&amp;"-"&amp;'Port code'!C772</f>
        <v>INPSN6-PERFECT SEZ NOIDA</v>
      </c>
    </row>
    <row r="771" ht="15.75" customHeight="1" spans="30:30">
      <c r="AD771" s="2" t="str">
        <f>'Port code'!B773&amp;"-"&amp;'Port code'!C773</f>
        <v>INPSP6-NSPL SEZ HINJEWADI</v>
      </c>
    </row>
    <row r="772" ht="15.75" customHeight="1" spans="30:30">
      <c r="AD772" s="2" t="str">
        <f>'Port code'!B774&amp;"-"&amp;'Port code'!C774</f>
        <v>INPTL6-Patli ICD</v>
      </c>
    </row>
    <row r="773" ht="15.75" customHeight="1" spans="30:30">
      <c r="AD773" s="2" t="str">
        <f>'Port code'!B775&amp;"-"&amp;'Port code'!C775</f>
        <v>INPTN1-Portonovo</v>
      </c>
    </row>
    <row r="774" ht="15.75" customHeight="1" spans="30:30">
      <c r="AD774" s="2" t="str">
        <f>'Port code'!B776&amp;"-"&amp;'Port code'!C776</f>
        <v>INPTPB-Petrapole LCS</v>
      </c>
    </row>
    <row r="775" ht="15.75" customHeight="1" spans="30:30">
      <c r="AD775" s="2" t="str">
        <f>'Port code'!B777&amp;"-"&amp;'Port code'!C777</f>
        <v>INPUA6-AIGP SEZ WAGHOLI</v>
      </c>
    </row>
    <row r="776" ht="15.75" customHeight="1" spans="30:30">
      <c r="AD776" s="2" t="str">
        <f>'Port code'!B778&amp;"-"&amp;'Port code'!C778</f>
        <v>INPUE6-EON KHARADI SEZ</v>
      </c>
    </row>
    <row r="777" ht="15.75" customHeight="1" spans="30:30">
      <c r="AD777" s="2" t="str">
        <f>'Port code'!B779&amp;"-"&amp;'Port code'!C779</f>
        <v>INPUI6-KIPPLGDPLSEZ KHARADI</v>
      </c>
    </row>
    <row r="778" ht="15.75" customHeight="1" spans="30:30">
      <c r="AD778" s="2" t="str">
        <f>'Port code'!B780&amp;"-"&amp;'Port code'!C780</f>
        <v>INPUL1-Pulicat</v>
      </c>
    </row>
    <row r="779" ht="15.75" customHeight="1" spans="30:30">
      <c r="AD779" s="2" t="str">
        <f>'Port code'!B781&amp;"-"&amp;'Port code'!C781</f>
        <v>INPUM6-MIDC PUNE</v>
      </c>
    </row>
    <row r="780" ht="15.75" customHeight="1" spans="30:30">
      <c r="AD780" s="2" t="str">
        <f>'Port code'!B782&amp;"-"&amp;'Port code'!C782</f>
        <v>INPUN6-M/S KBTV PVT., PUNE</v>
      </c>
    </row>
    <row r="781" ht="15.75" customHeight="1" spans="30:30">
      <c r="AD781" s="2" t="str">
        <f>'Port code'!B783&amp;"-"&amp;'Port code'!C783</f>
        <v>INPUR1-Puri</v>
      </c>
    </row>
    <row r="782" ht="15.75" customHeight="1" spans="30:30">
      <c r="AD782" s="2" t="str">
        <f>'Port code'!B784&amp;"-"&amp;'Port code'!C784</f>
        <v>INPUT4-Puttaparthi</v>
      </c>
    </row>
    <row r="783" ht="15.75" customHeight="1" spans="30:30">
      <c r="AD783" s="2" t="str">
        <f>'Port code'!B785&amp;"-"&amp;'Port code'!C785</f>
        <v>INPVL6-Panvel ICD</v>
      </c>
    </row>
    <row r="784" ht="15.75" customHeight="1" spans="30:30">
      <c r="AD784" s="2" t="str">
        <f>'Port code'!B786&amp;"-"&amp;'Port code'!C786</f>
        <v>INPVS6-SNPIP SEZ TAMBARAM</v>
      </c>
    </row>
    <row r="785" ht="15.75" customHeight="1" spans="30:30">
      <c r="AD785" s="2" t="str">
        <f>'Port code'!B787&amp;"-"&amp;'Port code'!C787</f>
        <v>INPWL6-PALWAL ICD</v>
      </c>
    </row>
    <row r="786" ht="15.75" customHeight="1" spans="30:30">
      <c r="AD786" s="2" t="str">
        <f>'Port code'!B788&amp;"-"&amp;'Port code'!C788</f>
        <v>INPYB4-Jeypore</v>
      </c>
    </row>
    <row r="787" ht="15.75" customHeight="1" spans="30:30">
      <c r="AD787" s="2" t="str">
        <f>'Port code'!B789&amp;"-"&amp;'Port code'!C789</f>
        <v>INPYS6-SIPCOT SEZ ERODE</v>
      </c>
    </row>
    <row r="788" ht="15.75" customHeight="1" spans="30:30">
      <c r="AD788" s="2" t="str">
        <f>'Port code'!B790&amp;"-"&amp;'Port code'!C790</f>
        <v>INQRH6-HTPL ICD KILARAIPUR</v>
      </c>
    </row>
    <row r="789" ht="15.75" customHeight="1" spans="30:30">
      <c r="AD789" s="2" t="str">
        <f>'Port code'!B791&amp;"-"&amp;'Port code'!C791</f>
        <v>INQRP6-ADANI ICD KILARAIPUR</v>
      </c>
    </row>
    <row r="790" ht="15.75" customHeight="1" spans="30:30">
      <c r="AD790" s="2" t="str">
        <f>'Port code'!B792&amp;"-"&amp;'Port code'!C792</f>
        <v>INQUI1-Quilon</v>
      </c>
    </row>
    <row r="791" ht="15.75" customHeight="1" spans="30:30">
      <c r="AD791" s="2" t="str">
        <f>'Port code'!B793&amp;"-"&amp;'Port code'!C793</f>
        <v>INRAI6-Raipur</v>
      </c>
    </row>
    <row r="792" ht="15.75" customHeight="1" spans="30:30">
      <c r="AD792" s="2" t="str">
        <f>'Port code'!B794&amp;"-"&amp;'Port code'!C794</f>
        <v>INRAJ4-Rajkot</v>
      </c>
    </row>
    <row r="793" ht="15.75" customHeight="1" spans="30:30">
      <c r="AD793" s="2" t="str">
        <f>'Port code'!B795&amp;"-"&amp;'Port code'!C795</f>
        <v>INRAJ6-Rajkot</v>
      </c>
    </row>
    <row r="794" ht="15.75" customHeight="1" spans="30:30">
      <c r="AD794" s="2" t="str">
        <f>'Port code'!B796&amp;"-"&amp;'Port code'!C796</f>
        <v>INRAM1-Rameshwaram</v>
      </c>
    </row>
    <row r="795" ht="15.75" customHeight="1" spans="30:30">
      <c r="AD795" s="2" t="str">
        <f>'Port code'!B797&amp;"-"&amp;'Port code'!C797</f>
        <v>INRDP2-Radhikapur Railway S</v>
      </c>
    </row>
    <row r="796" ht="15.75" customHeight="1" spans="30:30">
      <c r="AD796" s="2" t="str">
        <f>'Port code'!B798&amp;"-"&amp;'Port code'!C798</f>
        <v>INREA6-Rewari</v>
      </c>
    </row>
    <row r="797" ht="15.75" customHeight="1" spans="30:30">
      <c r="AD797" s="2" t="str">
        <f>'Port code'!B799&amp;"-"&amp;'Port code'!C799</f>
        <v>INRED1-Redi</v>
      </c>
    </row>
    <row r="798" ht="15.75" customHeight="1" spans="30:30">
      <c r="AD798" s="2" t="str">
        <f>'Port code'!B800&amp;"-"&amp;'Port code'!C800</f>
        <v>INREW4-Rewa</v>
      </c>
    </row>
    <row r="799" ht="15.75" customHeight="1" spans="30:30">
      <c r="AD799" s="2" t="str">
        <f>'Port code'!B801&amp;"-"&amp;'Port code'!C801</f>
        <v>INRGBB-Old Raghna Bazar</v>
      </c>
    </row>
    <row r="800" ht="15.75" customHeight="1" spans="30:30">
      <c r="AD800" s="2" t="str">
        <f>'Port code'!B802&amp;"-"&amp;'Port code'!C802</f>
        <v>INRGH4-Balurghat</v>
      </c>
    </row>
    <row r="801" ht="15.75" customHeight="1" spans="30:30">
      <c r="AD801" s="2" t="str">
        <f>'Port code'!B803&amp;"-"&amp;'Port code'!C803</f>
        <v>INRGJ2-RAIGANJ LCS RLY</v>
      </c>
    </row>
    <row r="802" ht="15.75" customHeight="1" spans="30:30">
      <c r="AD802" s="2" t="str">
        <f>'Port code'!B804&amp;"-"&amp;'Port code'!C804</f>
        <v>INRGT1-Ranghat Bay</v>
      </c>
    </row>
    <row r="803" ht="15.75" customHeight="1" spans="30:30">
      <c r="AD803" s="2" t="str">
        <f>'Port code'!B805&amp;"-"&amp;'Port code'!C805</f>
        <v>INRGUB-Ryngku</v>
      </c>
    </row>
    <row r="804" ht="15.75" customHeight="1" spans="30:30">
      <c r="AD804" s="2" t="str">
        <f>'Port code'!B806&amp;"-"&amp;'Port code'!C806</f>
        <v>INRJA4-Rajahmundry</v>
      </c>
    </row>
    <row r="805" ht="15.75" customHeight="1" spans="30:30">
      <c r="AD805" s="2" t="str">
        <f>'Port code'!B807&amp;"-"&amp;'Port code'!C807</f>
        <v>INRJI4-Rajouri</v>
      </c>
    </row>
    <row r="806" ht="15.75" customHeight="1" spans="30:30">
      <c r="AD806" s="2" t="str">
        <f>'Port code'!B808&amp;"-"&amp;'Port code'!C808</f>
        <v>INRJN6-LS PVT. LTD.</v>
      </c>
    </row>
    <row r="807" ht="15.75" customHeight="1" spans="30:30">
      <c r="AD807" s="2" t="str">
        <f>'Port code'!B809&amp;"-"&amp;'Port code'!C809</f>
        <v>INRJP1-Rajpara</v>
      </c>
    </row>
    <row r="808" ht="15.75" customHeight="1" spans="30:30">
      <c r="AD808" s="2" t="str">
        <f>'Port code'!B810&amp;"-"&amp;'Port code'!C810</f>
        <v>INRJR1-Rajpuri</v>
      </c>
    </row>
    <row r="809" ht="15.75" customHeight="1" spans="30:30">
      <c r="AD809" s="2" t="str">
        <f>'Port code'!B811&amp;"-"&amp;'Port code'!C811</f>
        <v>INRKG1-Rajakkamangalam</v>
      </c>
    </row>
    <row r="810" ht="15.75" customHeight="1" spans="30:30">
      <c r="AD810" s="2" t="str">
        <f>'Port code'!B812&amp;"-"&amp;'Port code'!C812</f>
        <v>INRMD4-Ramagundam</v>
      </c>
    </row>
    <row r="811" ht="15.75" customHeight="1" spans="30:30">
      <c r="AD811" s="2" t="str">
        <f>'Port code'!B813&amp;"-"&amp;'Port code'!C813</f>
        <v>INRML6-CONCOR ICDNAYARAIPUR</v>
      </c>
    </row>
    <row r="812" ht="15.75" customHeight="1" spans="30:30">
      <c r="AD812" s="2" t="str">
        <f>'Port code'!B814&amp;"-"&amp;'Port code'!C814</f>
        <v>INRNC5-RANCHI FPO</v>
      </c>
    </row>
    <row r="813" ht="15.75" customHeight="1" spans="30:30">
      <c r="AD813" s="2" t="str">
        <f>'Port code'!B815&amp;"-"&amp;'Port code'!C815</f>
        <v>INRNG2-Ranaghat Railway Sta</v>
      </c>
    </row>
    <row r="814" ht="15.75" customHeight="1" spans="30:30">
      <c r="AD814" s="2" t="str">
        <f>'Port code'!B816&amp;"-"&amp;'Port code'!C816</f>
        <v>INRNR1-Ranpar</v>
      </c>
    </row>
    <row r="815" ht="15.75" customHeight="1" spans="30:30">
      <c r="AD815" s="2" t="str">
        <f>'Port code'!B817&amp;"-"&amp;'Port code'!C817</f>
        <v>INRPL6-Raddipalam</v>
      </c>
    </row>
    <row r="816" ht="15.75" customHeight="1" spans="30:30">
      <c r="AD816" s="2" t="str">
        <f>'Port code'!B818&amp;"-"&amp;'Port code'!C818</f>
        <v>INRPR4-Raipur</v>
      </c>
    </row>
    <row r="817" ht="15.75" customHeight="1" spans="30:30">
      <c r="AD817" s="2" t="str">
        <f>'Port code'!B819&amp;"-"&amp;'Port code'!C819</f>
        <v>INRPR6-Raipur</v>
      </c>
    </row>
    <row r="818" ht="15.75" customHeight="1" spans="30:30">
      <c r="AD818" s="2" t="str">
        <f>'Port code'!B820&amp;"-"&amp;'Port code'!C820</f>
        <v>INRPU5-RAIPUR FPO</v>
      </c>
    </row>
    <row r="819" ht="15.75" customHeight="1" spans="30:30">
      <c r="AD819" s="2" t="str">
        <f>'Port code'!B821&amp;"-"&amp;'Port code'!C821</f>
        <v>INRRI1-Raili</v>
      </c>
    </row>
    <row r="820" ht="15.75" customHeight="1" spans="30:30">
      <c r="AD820" s="2" t="str">
        <f>'Port code'!B822&amp;"-"&amp;'Port code'!C822</f>
        <v>INRRK4-Rourkela</v>
      </c>
    </row>
    <row r="821" ht="15.75" customHeight="1" spans="30:30">
      <c r="AD821" s="2" t="str">
        <f>'Port code'!B823&amp;"-"&amp;'Port code'!C823</f>
        <v>INRTC1-Ratnagiri</v>
      </c>
    </row>
    <row r="822" ht="15.75" customHeight="1" spans="30:30">
      <c r="AD822" s="2" t="str">
        <f>'Port code'!B824&amp;"-"&amp;'Port code'!C824</f>
        <v>INRTC4-Ratnagiri</v>
      </c>
    </row>
    <row r="823" ht="15.75" customHeight="1" spans="30:30">
      <c r="AD823" s="2" t="str">
        <f>'Port code'!B825&amp;"-"&amp;'Port code'!C825</f>
        <v>INRTM6-CONCOR ICD RATLAM</v>
      </c>
    </row>
    <row r="824" ht="15.75" customHeight="1" spans="30:30">
      <c r="AD824" s="2" t="str">
        <f>'Port code'!B826&amp;"-"&amp;'Port code'!C826</f>
        <v>INRUP4-Rupsi</v>
      </c>
    </row>
    <row r="825" ht="15.75" customHeight="1" spans="30:30">
      <c r="AD825" s="2" t="str">
        <f>'Port code'!B827&amp;"-"&amp;'Port code'!C827</f>
        <v>INRVD1-Revdanda</v>
      </c>
    </row>
    <row r="826" ht="15.75" customHeight="1" spans="30:30">
      <c r="AD826" s="2" t="str">
        <f>'Port code'!B828&amp;"-"&amp;'Port code'!C828</f>
        <v>INRWR1-Rameshwaram</v>
      </c>
    </row>
    <row r="827" ht="15.75" customHeight="1" spans="30:30">
      <c r="AD827" s="2" t="str">
        <f>'Port code'!B829&amp;"-"&amp;'Port code'!C829</f>
        <v>INRXLB-Raxaul</v>
      </c>
    </row>
    <row r="828" ht="15.75" customHeight="1" spans="30:30">
      <c r="AD828" s="2" t="str">
        <f>'Port code'!B830&amp;"-"&amp;'Port code'!C830</f>
        <v>INSABB-Sabroom</v>
      </c>
    </row>
    <row r="829" ht="15.75" customHeight="1" spans="30:30">
      <c r="AD829" s="2" t="str">
        <f>'Port code'!B831&amp;"-"&amp;'Port code'!C831</f>
        <v>INSAC6-Sachin (Surat)</v>
      </c>
    </row>
    <row r="830" ht="15.75" customHeight="1" spans="30:30">
      <c r="AD830" s="2" t="str">
        <f>'Port code'!B832&amp;"-"&amp;'Port code'!C832</f>
        <v>INSAJ6-NAVKAR ICD UMBERGAON</v>
      </c>
    </row>
    <row r="831" ht="15.75" customHeight="1" spans="30:30">
      <c r="AD831" s="2" t="str">
        <f>'Port code'!B833&amp;"-"&amp;'Port code'!C833</f>
        <v>INSAL1-Salaya</v>
      </c>
    </row>
    <row r="832" ht="15.75" customHeight="1" spans="30:30">
      <c r="AD832" s="2" t="str">
        <f>'Port code'!B834&amp;"-"&amp;'Port code'!C834</f>
        <v>INSAS6-INFOSYS SEZ MOHALI</v>
      </c>
    </row>
    <row r="833" ht="15.75" customHeight="1" spans="30:30">
      <c r="AD833" s="2" t="str">
        <f>'Port code'!B835&amp;"-"&amp;'Port code'!C835</f>
        <v>INSAU6-THAR DRY PORT</v>
      </c>
    </row>
    <row r="834" ht="15.75" customHeight="1" spans="30:30">
      <c r="AD834" s="2" t="str">
        <f>'Port code'!B836&amp;"-"&amp;'Port code'!C836</f>
        <v>INSBC6-BIOCON SEZ BANGALORE</v>
      </c>
    </row>
    <row r="835" ht="15.75" customHeight="1" spans="30:30">
      <c r="AD835" s="2" t="str">
        <f>'Port code'!B837&amp;"-"&amp;'Port code'!C837</f>
        <v>INSBH1-Sinbhour</v>
      </c>
    </row>
    <row r="836" ht="15.75" customHeight="1" spans="30:30">
      <c r="AD836" s="2" t="str">
        <f>'Port code'!B838&amp;"-"&amp;'Port code'!C838</f>
        <v>INSBI6-ICD Sabarmati</v>
      </c>
    </row>
    <row r="837" ht="15.75" customHeight="1" spans="30:30">
      <c r="AD837" s="2" t="str">
        <f>'Port code'!B839&amp;"-"&amp;'Port code'!C839</f>
        <v>INSBK6-KIADB/SEZ/BANGALORE</v>
      </c>
    </row>
    <row r="838" ht="15.75" customHeight="1" spans="30:30">
      <c r="AD838" s="2" t="str">
        <f>'Port code'!B840&amp;"-"&amp;'Port code'!C840</f>
        <v>INSBL6-INFOSYS/SEZ/BANGLORE</v>
      </c>
    </row>
    <row r="839" ht="15.75" customHeight="1" spans="30:30">
      <c r="AD839" s="2" t="str">
        <f>'Port code'!B841&amp;"-"&amp;'Port code'!C841</f>
        <v>INSBW6-WIPRO ELEC/SEZ/BLR</v>
      </c>
    </row>
    <row r="840" ht="15.75" customHeight="1" spans="30:30">
      <c r="AD840" s="2" t="str">
        <f>'Port code'!B842&amp;"-"&amp;'Port code'!C842</f>
        <v>INSBZ1-SHELLA BAZAR</v>
      </c>
    </row>
    <row r="841" ht="15.75" customHeight="1" spans="30:30">
      <c r="AD841" s="2" t="str">
        <f>'Port code'!B843&amp;"-"&amp;'Port code'!C843</f>
        <v>INSCH6-SAP-SEZ SURAT</v>
      </c>
    </row>
    <row r="842" ht="15.75" customHeight="1" spans="30:30">
      <c r="AD842" s="2" t="str">
        <f>'Port code'!B844&amp;"-"&amp;'Port code'!C844</f>
        <v>INSGF6-GRFL ICD SAHNEWAL</v>
      </c>
    </row>
    <row r="843" ht="15.75" customHeight="1" spans="30:30">
      <c r="AD843" s="2" t="str">
        <f>'Port code'!B845&amp;"-"&amp;'Port code'!C845</f>
        <v>INSHI1-Shirola</v>
      </c>
    </row>
    <row r="844" ht="15.75" customHeight="1" spans="30:30">
      <c r="AD844" s="2" t="str">
        <f>'Port code'!B846&amp;"-"&amp;'Port code'!C846</f>
        <v>INSHL4-Shillong</v>
      </c>
    </row>
    <row r="845" ht="15.75" customHeight="1" spans="30:30">
      <c r="AD845" s="2" t="str">
        <f>'Port code'!B847&amp;"-"&amp;'Port code'!C847</f>
        <v>INSHP1-Sinbhour Port</v>
      </c>
    </row>
    <row r="846" ht="15.75" customHeight="1" spans="30:30">
      <c r="AD846" s="2" t="str">
        <f>'Port code'!B848&amp;"-"&amp;'Port code'!C848</f>
        <v>INSIK1-Sikka</v>
      </c>
    </row>
    <row r="847" ht="15.75" customHeight="1" spans="30:30">
      <c r="AD847" s="2" t="str">
        <f>'Port code'!B849&amp;"-"&amp;'Port code'!C849</f>
        <v>INSJR6-Surajpur</v>
      </c>
    </row>
    <row r="848" ht="15.75" customHeight="1" spans="30:30">
      <c r="AD848" s="2" t="str">
        <f>'Port code'!B850&amp;"-"&amp;'Port code'!C850</f>
        <v>INSKD6-ICD KALINGANAGAR</v>
      </c>
    </row>
    <row r="849" ht="15.75" customHeight="1" spans="30:30">
      <c r="AD849" s="2" t="str">
        <f>'Port code'!B851&amp;"-"&amp;'Port code'!C851</f>
        <v>INSKPB-Sukhia Pokhari</v>
      </c>
    </row>
    <row r="850" ht="15.75" customHeight="1" spans="30:30">
      <c r="AD850" s="2" t="str">
        <f>'Port code'!B852&amp;"-"&amp;'Port code'!C852</f>
        <v>INSLL6-Singanallur</v>
      </c>
    </row>
    <row r="851" ht="15.75" customHeight="1" spans="30:30">
      <c r="AD851" s="2" t="str">
        <f>'Port code'!B853&amp;"-"&amp;'Port code'!C853</f>
        <v>INSLR2-Silcher R.M.S. Offic</v>
      </c>
    </row>
    <row r="852" ht="15.75" customHeight="1" spans="30:30">
      <c r="AD852" s="2" t="str">
        <f>'Port code'!B854&amp;"-"&amp;'Port code'!C854</f>
        <v>INSLRB-Silcher Steamerghat</v>
      </c>
    </row>
    <row r="853" ht="15.75" customHeight="1" spans="30:30">
      <c r="AD853" s="2" t="str">
        <f>'Port code'!B855&amp;"-"&amp;'Port code'!C855</f>
        <v>INSLT6-SALT LAKE (EPZ/SEZ)</v>
      </c>
    </row>
    <row r="854" ht="15.75" customHeight="1" spans="30:30">
      <c r="AD854" s="2" t="str">
        <f>'Port code'!B856&amp;"-"&amp;'Port code'!C856</f>
        <v>INSLV4-Simla</v>
      </c>
    </row>
    <row r="855" ht="15.75" customHeight="1" spans="30:30">
      <c r="AD855" s="2" t="str">
        <f>'Port code'!B857&amp;"-"&amp;'Port code'!C857</f>
        <v>INSMK6-KEONICS/SEZ/SHIMOGA</v>
      </c>
    </row>
    <row r="856" ht="15.75" customHeight="1" spans="30:30">
      <c r="AD856" s="2" t="str">
        <f>'Port code'!B858&amp;"-"&amp;'Port code'!C858</f>
        <v>INSMPB-Srimantapur</v>
      </c>
    </row>
    <row r="857" ht="15.75" customHeight="1" spans="30:30">
      <c r="AD857" s="2" t="str">
        <f>'Port code'!B859&amp;"-"&amp;'Port code'!C859</f>
        <v>INSMR1-Simor</v>
      </c>
    </row>
    <row r="858" ht="15.75" customHeight="1" spans="30:30">
      <c r="AD858" s="2" t="str">
        <f>'Port code'!B860&amp;"-"&amp;'Port code'!C860</f>
        <v>INSNA6-ANSAL SEZ SONEPAT</v>
      </c>
    </row>
    <row r="859" ht="15.75" customHeight="1" spans="30:30">
      <c r="AD859" s="2" t="str">
        <f>'Port code'!B861&amp;"-"&amp;'Port code'!C861</f>
        <v>INSNBB-Sonabarsa</v>
      </c>
    </row>
    <row r="860" ht="15.75" customHeight="1" spans="30:30">
      <c r="AD860" s="2" t="str">
        <f>'Port code'!B862&amp;"-"&amp;'Port code'!C862</f>
        <v>INSNF6-ICD, Hyderabad</v>
      </c>
    </row>
    <row r="861" ht="15.75" customHeight="1" spans="30:30">
      <c r="AD861" s="2" t="str">
        <f>'Port code'!B863&amp;"-"&amp;'Port code'!C863</f>
        <v>INSNG2-Singabad Railway Sta</v>
      </c>
    </row>
    <row r="862" ht="15.75" customHeight="1" spans="30:30">
      <c r="AD862" s="2" t="str">
        <f>'Port code'!B864&amp;"-"&amp;'Port code'!C864</f>
        <v>INSNI6-KANECH, ICD SAHNEWAL</v>
      </c>
    </row>
    <row r="863" ht="15.75" customHeight="1" spans="30:30">
      <c r="AD863" s="2" t="str">
        <f>'Port code'!B865&amp;"-"&amp;'Port code'!C865</f>
        <v>INSNLB-Sonauli</v>
      </c>
    </row>
    <row r="864" ht="15.75" customHeight="1" spans="30:30">
      <c r="AD864" s="2" t="str">
        <f>'Port code'!B866&amp;"-"&amp;'Port code'!C866</f>
        <v>INSNN6-APIIC LTD.</v>
      </c>
    </row>
    <row r="865" ht="15.75" customHeight="1" spans="30:30">
      <c r="AD865" s="2" t="str">
        <f>'Port code'!B867&amp;"-"&amp;'Port code'!C867</f>
        <v>INSNR6-ARI LTD.</v>
      </c>
    </row>
    <row r="866" ht="15.75" customHeight="1" spans="30:30">
      <c r="AD866" s="2" t="str">
        <f>'Port code'!B868&amp;"-"&amp;'Port code'!C868</f>
        <v>INSNS6-NLE PVT. LTD.</v>
      </c>
    </row>
    <row r="867" ht="15.75" customHeight="1" spans="30:30">
      <c r="AD867" s="2" t="str">
        <f>'Port code'!B869&amp;"-"&amp;'Port code'!C869</f>
        <v>INSPC6-CCLPIL SEZ VIZAG</v>
      </c>
    </row>
    <row r="868" ht="15.75" customHeight="1" spans="30:30">
      <c r="AD868" s="2" t="str">
        <f>'Port code'!B870&amp;"-"&amp;'Port code'!C870</f>
        <v>INSPE6-ASDI SEZ NELLORE</v>
      </c>
    </row>
    <row r="869" ht="15.75" customHeight="1" spans="30:30">
      <c r="AD869" s="2" t="str">
        <f>'Port code'!B871&amp;"-"&amp;'Port code'!C871</f>
        <v>INSRE6-Saharanpur</v>
      </c>
    </row>
    <row r="870" ht="15.75" customHeight="1" spans="30:30">
      <c r="AD870" s="2" t="str">
        <f>'Port code'!B872&amp;"-"&amp;'Port code'!C872</f>
        <v>INSRK6-KSITILA/SEZ/PALI/ALZ</v>
      </c>
    </row>
    <row r="871" ht="15.75" customHeight="1" spans="30:30">
      <c r="AD871" s="2" t="str">
        <f>'Port code'!B873&amp;"-"&amp;'Port code'!C873</f>
        <v>INSRV1-Surasani-Yanam</v>
      </c>
    </row>
    <row r="872" ht="15.75" customHeight="1" spans="30:30">
      <c r="AD872" s="2" t="str">
        <f>'Port code'!B874&amp;"-"&amp;'Port code'!C874</f>
        <v>INSSE4-Sholapur</v>
      </c>
    </row>
    <row r="873" ht="15.75" customHeight="1" spans="30:30">
      <c r="AD873" s="2" t="str">
        <f>'Port code'!B875&amp;"-"&amp;'Port code'!C875</f>
        <v>INSTFB-SIKTA LCS</v>
      </c>
    </row>
    <row r="874" ht="15.75" customHeight="1" spans="30:30">
      <c r="AD874" s="2" t="str">
        <f>'Port code'!B876&amp;"-"&amp;'Port code'!C876</f>
        <v>INSTIB-Sitai</v>
      </c>
    </row>
    <row r="875" ht="15.75" customHeight="1" spans="30:30">
      <c r="AD875" s="2" t="str">
        <f>'Port code'!B877&amp;"-"&amp;'Port code'!C877</f>
        <v>INSTM6-MIDC PHALTAN SEZ</v>
      </c>
    </row>
    <row r="876" ht="15.75" customHeight="1" spans="30:30">
      <c r="AD876" s="2" t="str">
        <f>'Port code'!B878&amp;"-"&amp;'Port code'!C878</f>
        <v>INSTP1-Satpati</v>
      </c>
    </row>
    <row r="877" ht="15.75" customHeight="1" spans="30:30">
      <c r="AD877" s="2" t="str">
        <f>'Port code'!B879&amp;"-"&amp;'Port code'!C879</f>
        <v>INSTRB-Sutarkandi</v>
      </c>
    </row>
    <row r="878" ht="15.75" customHeight="1" spans="30:30">
      <c r="AD878" s="2" t="str">
        <f>'Port code'!B880&amp;"-"&amp;'Port code'!C880</f>
        <v>INSTT6-Dadri STTPL CFS</v>
      </c>
    </row>
    <row r="879" ht="15.75" customHeight="1" spans="30:30">
      <c r="AD879" s="2" t="str">
        <f>'Port code'!B881&amp;"-"&amp;'Port code'!C881</f>
        <v>INSTU6-MIDC SEZ SATARA</v>
      </c>
    </row>
    <row r="880" ht="15.75" customHeight="1" spans="30:30">
      <c r="AD880" s="2" t="str">
        <f>'Port code'!B882&amp;"-"&amp;'Port code'!C882</f>
        <v>INSTV1-Surat</v>
      </c>
    </row>
    <row r="881" ht="15.75" customHeight="1" spans="30:30">
      <c r="AD881" s="2" t="str">
        <f>'Port code'!B883&amp;"-"&amp;'Port code'!C883</f>
        <v>INSTV4-Surat</v>
      </c>
    </row>
    <row r="882" ht="15.75" customHeight="1" spans="30:30">
      <c r="AD882" s="2" t="str">
        <f>'Port code'!B884&amp;"-"&amp;'Port code'!C884</f>
        <v>INSTV6-Surat(EPZ/SEZ)</v>
      </c>
    </row>
    <row r="883" ht="15.75" customHeight="1" spans="30:30">
      <c r="AD883" s="2" t="str">
        <f>'Port code'!B885&amp;"-"&amp;'Port code'!C885</f>
        <v>INSWD1-Shriwardhan</v>
      </c>
    </row>
    <row r="884" ht="15.75" customHeight="1" spans="30:30">
      <c r="AD884" s="2" t="str">
        <f>'Port code'!B886&amp;"-"&amp;'Port code'!C886</f>
        <v>INSXE6-ELCOT AMMAPALAYAM</v>
      </c>
    </row>
    <row r="885" ht="15.75" customHeight="1" spans="30:30">
      <c r="AD885" s="2" t="str">
        <f>'Port code'!B887&amp;"-"&amp;'Port code'!C887</f>
        <v>INSXR4-Srinagar</v>
      </c>
    </row>
    <row r="886" ht="15.75" customHeight="1" spans="30:30">
      <c r="AD886" s="2" t="str">
        <f>'Port code'!B888&amp;"-"&amp;'Port code'!C888</f>
        <v>INSXR5-FPO SRINAGAR</v>
      </c>
    </row>
    <row r="887" ht="15.75" customHeight="1" spans="30:30">
      <c r="AD887" s="2" t="str">
        <f>'Port code'!B889&amp;"-"&amp;'Port code'!C889</f>
        <v>INSXV4-Salem</v>
      </c>
    </row>
    <row r="888" ht="15.75" customHeight="1" spans="30:30">
      <c r="AD888" s="2" t="str">
        <f>'Port code'!B890&amp;"-"&amp;'Port code'!C890</f>
        <v>INSXV6-Salem</v>
      </c>
    </row>
    <row r="889" ht="15.75" customHeight="1" spans="30:30">
      <c r="AD889" s="2" t="str">
        <f>'Port code'!B891&amp;"-"&amp;'Port code'!C891</f>
        <v>INTAD1-Tadri</v>
      </c>
    </row>
    <row r="890" ht="15.75" customHeight="1" spans="30:30">
      <c r="AD890" s="2" t="str">
        <f>'Port code'!B892&amp;"-"&amp;'Port code'!C892</f>
        <v>INTAS6-SRICITYPVTLTD-SEZ</v>
      </c>
    </row>
    <row r="891" ht="15.75" customHeight="1" spans="30:30">
      <c r="AD891" s="2" t="str">
        <f>'Port code'!B893&amp;"-"&amp;'Port code'!C893</f>
        <v>INTBC6-CTS PVT. LTD.</v>
      </c>
    </row>
    <row r="892" ht="15.75" customHeight="1" spans="30:30">
      <c r="AD892" s="2" t="str">
        <f>'Port code'!B894&amp;"-"&amp;'Port code'!C894</f>
        <v>INTBM6-PHPL SEZ KANCHEPURAM</v>
      </c>
    </row>
    <row r="893" ht="15.75" customHeight="1" spans="30:30">
      <c r="AD893" s="2" t="str">
        <f>'Port code'!B895&amp;"-"&amp;'Port code'!C895</f>
        <v>INTBP6-SPIPL SEZ, PERUGULTH</v>
      </c>
    </row>
    <row r="894" ht="15.75" customHeight="1" spans="30:30">
      <c r="AD894" s="2" t="str">
        <f>'Port code'!B896&amp;"-"&amp;'Port code'!C896</f>
        <v>INTBS6-HEXAWARE TECH. LTD.</v>
      </c>
    </row>
    <row r="895" ht="15.75" customHeight="1" spans="30:30">
      <c r="AD895" s="2" t="str">
        <f>'Port code'!B897&amp;"-"&amp;'Port code'!C897</f>
        <v>INTBT6-TCS LTD.</v>
      </c>
    </row>
    <row r="896" ht="15.75" customHeight="1" spans="30:30">
      <c r="AD896" s="2" t="str">
        <f>'Port code'!B898&amp;"-"&amp;'Port code'!C898</f>
        <v>INTCR6-M/S TICS, ICD MATHIL</v>
      </c>
    </row>
    <row r="897" ht="15.75" customHeight="1" spans="30:30">
      <c r="AD897" s="2" t="str">
        <f>'Port code'!B899&amp;"-"&amp;'Port code'!C899</f>
        <v>INTDE6-Tudiyalur-Coimbatore</v>
      </c>
    </row>
    <row r="898" ht="15.75" customHeight="1" spans="30:30">
      <c r="AD898" s="2" t="str">
        <f>'Port code'!B900&amp;"-"&amp;'Port code'!C900</f>
        <v>INTEI4-Tezu</v>
      </c>
    </row>
    <row r="899" ht="15.75" customHeight="1" spans="30:30">
      <c r="AD899" s="2" t="str">
        <f>'Port code'!B901&amp;"-"&amp;'Port code'!C901</f>
        <v>INTEL1-Tellicherry</v>
      </c>
    </row>
    <row r="900" ht="15.75" customHeight="1" spans="30:30">
      <c r="AD900" s="2" t="str">
        <f>'Port code'!B902&amp;"-"&amp;'Port code'!C902</f>
        <v>INTEN6-SIPCOT GANGAKONDAN</v>
      </c>
    </row>
    <row r="901" ht="15.75" customHeight="1" spans="30:30">
      <c r="AD901" s="2" t="str">
        <f>'Port code'!B903&amp;"-"&amp;'Port code'!C903</f>
        <v>INTEZ4-Tezpur</v>
      </c>
    </row>
    <row r="902" ht="15.75" customHeight="1" spans="30:30">
      <c r="AD902" s="2" t="str">
        <f>'Port code'!B904&amp;"-"&amp;'Port code'!C904</f>
        <v>INTGN6-KEIPL/ PUNE</v>
      </c>
    </row>
    <row r="903" ht="15.75" customHeight="1" spans="30:30">
      <c r="AD903" s="2" t="str">
        <f>'Port code'!B905&amp;"-"&amp;'Port code'!C905</f>
        <v>INTHA6-Thar Dry Port Jodhpu</v>
      </c>
    </row>
    <row r="904" ht="15.75" customHeight="1" spans="30:30">
      <c r="AD904" s="2" t="str">
        <f>'Port code'!B906&amp;"-"&amp;'Port code'!C906</f>
        <v>INTHL1-Thal</v>
      </c>
    </row>
    <row r="905" ht="15.75" customHeight="1" spans="30:30">
      <c r="AD905" s="2" t="str">
        <f>'Port code'!B907&amp;"-"&amp;'Port code'!C907</f>
        <v>INTHO6-Tiruppur-Thottiplaya</v>
      </c>
    </row>
    <row r="906" ht="15.75" customHeight="1" spans="30:30">
      <c r="AD906" s="2" t="str">
        <f>'Port code'!B908&amp;"-"&amp;'Port code'!C908</f>
        <v>INTIR4-Tirupati</v>
      </c>
    </row>
    <row r="907" ht="15.75" customHeight="1" spans="30:30">
      <c r="AD907" s="2" t="str">
        <f>'Port code'!B909&amp;"-"&amp;'Port code'!C909</f>
        <v>INTIV1-Tiviri</v>
      </c>
    </row>
    <row r="908" ht="15.75" customHeight="1" spans="30:30">
      <c r="AD908" s="2" t="str">
        <f>'Port code'!B910&amp;"-"&amp;'Port code'!C910</f>
        <v>INTJA1-Talaja</v>
      </c>
    </row>
    <row r="909" ht="15.75" customHeight="1" spans="30:30">
      <c r="AD909" s="2" t="str">
        <f>'Port code'!B911&amp;"-"&amp;'Port code'!C911</f>
        <v>INTJPB-Tezpur Steamerghat</v>
      </c>
    </row>
    <row r="910" ht="15.75" customHeight="1" spans="30:30">
      <c r="AD910" s="2" t="str">
        <f>'Port code'!B912&amp;"-"&amp;'Port code'!C912</f>
        <v>INTJV4-Thanjavur</v>
      </c>
    </row>
    <row r="911" ht="15.75" customHeight="1" spans="30:30">
      <c r="AD911" s="2" t="str">
        <f>'Port code'!B913&amp;"-"&amp;'Port code'!C913</f>
        <v>INTKD2-Tuglakabad</v>
      </c>
    </row>
    <row r="912" ht="15.75" customHeight="1" spans="30:30">
      <c r="AD912" s="2" t="str">
        <f>'Port code'!B914&amp;"-"&amp;'Port code'!C914</f>
        <v>INTKD6-Tuglakabad</v>
      </c>
    </row>
    <row r="913" ht="15.75" customHeight="1" spans="30:30">
      <c r="AD913" s="2" t="str">
        <f>'Port code'!B915&amp;"-"&amp;'Port code'!C915</f>
        <v>INTKNB-Tikonia</v>
      </c>
    </row>
    <row r="914" ht="15.75" customHeight="1" spans="30:30">
      <c r="AD914" s="2" t="str">
        <f>'Port code'!B916&amp;"-"&amp;'Port code'!C916</f>
        <v>INTLG6-Pune-Talegoan ICD</v>
      </c>
    </row>
    <row r="915" ht="15.75" customHeight="1" spans="30:30">
      <c r="AD915" s="2" t="str">
        <f>'Port code'!B917&amp;"-"&amp;'Port code'!C917</f>
        <v>INTLT6-L&amp;T SBL L&amp;T CHENNAI</v>
      </c>
    </row>
    <row r="916" ht="15.75" customHeight="1" spans="30:30">
      <c r="AD916" s="2" t="str">
        <f>'Port code'!B918&amp;"-"&amp;'Port code'!C918</f>
        <v>INTMI6-M/S IFFCO KISAN, SEZ</v>
      </c>
    </row>
    <row r="917" ht="15.75" customHeight="1" spans="30:30">
      <c r="AD917" s="2" t="str">
        <f>'Port code'!B919&amp;"-"&amp;'Port code'!C919</f>
        <v>INTMP1-Trombay</v>
      </c>
    </row>
    <row r="918" ht="15.75" customHeight="1" spans="30:30">
      <c r="AD918" s="2" t="str">
        <f>'Port code'!B920&amp;"-"&amp;'Port code'!C920</f>
        <v>INTMX6-ICD, THIMMAPUR,</v>
      </c>
    </row>
    <row r="919" ht="15.75" customHeight="1" spans="30:30">
      <c r="AD919" s="2" t="str">
        <f>'Port code'!B921&amp;"-"&amp;'Port code'!C921</f>
        <v>INTNA1-Thana</v>
      </c>
    </row>
    <row r="920" ht="15.75" customHeight="1" spans="30:30">
      <c r="AD920" s="2" t="str">
        <f>'Port code'!B922&amp;"-"&amp;'Port code'!C922</f>
        <v>INTNC6-CCCL SEZ TUTICORIN</v>
      </c>
    </row>
    <row r="921" ht="15.75" customHeight="1" spans="30:30">
      <c r="AD921" s="2" t="str">
        <f>'Port code'!B923&amp;"-"&amp;'Port code'!C923</f>
        <v>INTND1-Tondi</v>
      </c>
    </row>
    <row r="922" ht="15.75" customHeight="1" spans="30:30">
      <c r="AD922" s="2" t="str">
        <f>'Port code'!B924&amp;"-"&amp;'Port code'!C924</f>
        <v>INTNGB-Tungi</v>
      </c>
    </row>
    <row r="923" ht="15.75" customHeight="1" spans="30:30">
      <c r="AD923" s="2" t="str">
        <f>'Port code'!B925&amp;"-"&amp;'Port code'!C925</f>
        <v>INTNI6-HIPL SEZ</v>
      </c>
    </row>
    <row r="924" ht="15.75" customHeight="1" spans="30:30">
      <c r="AD924" s="2" t="str">
        <f>'Port code'!B926&amp;"-"&amp;'Port code'!C926</f>
        <v>INTNK1-Tankari</v>
      </c>
    </row>
    <row r="925" ht="15.75" customHeight="1" spans="30:30">
      <c r="AD925" s="2" t="str">
        <f>'Port code'!B927&amp;"-"&amp;'Port code'!C927</f>
        <v>INTNS6-SSL SEZ TUTICORIN</v>
      </c>
    </row>
    <row r="926" ht="15.75" customHeight="1" spans="30:30">
      <c r="AD926" s="2" t="str">
        <f>'Port code'!B928&amp;"-"&amp;'Port code'!C928</f>
        <v>INTPH1-Thopputhurai</v>
      </c>
    </row>
    <row r="927" ht="15.75" customHeight="1" spans="30:30">
      <c r="AD927" s="2" t="str">
        <f>'Port code'!B929&amp;"-"&amp;'Port code'!C929</f>
        <v>INTPJ6-ECTN SEZ TRICHY</v>
      </c>
    </row>
    <row r="928" ht="15.75" customHeight="1" spans="30:30">
      <c r="AD928" s="2" t="str">
        <f>'Port code'!B930&amp;"-"&amp;'Port code'!C930</f>
        <v>INTPN1-Talpona</v>
      </c>
    </row>
    <row r="929" ht="15.75" customHeight="1" spans="30:30">
      <c r="AD929" s="2" t="str">
        <f>'Port code'!B931&amp;"-"&amp;'Port code'!C931</f>
        <v>INTRA1-Tranquebar</v>
      </c>
    </row>
    <row r="930" ht="15.75" customHeight="1" spans="30:30">
      <c r="AD930" s="2" t="str">
        <f>'Port code'!B932&amp;"-"&amp;'Port code'!C932</f>
        <v>INTRL6-ICD Tiruvallur</v>
      </c>
    </row>
    <row r="931" ht="15.75" customHeight="1" spans="30:30">
      <c r="AD931" s="2" t="str">
        <f>'Port code'!B933&amp;"-"&amp;'Port code'!C933</f>
        <v>INTRP1-Tarapur</v>
      </c>
    </row>
    <row r="932" ht="15.75" customHeight="1" spans="30:30">
      <c r="AD932" s="2" t="str">
        <f>'Port code'!B934&amp;"-"&amp;'Port code'!C934</f>
        <v>INTRV4-Thiruvananthapuram (</v>
      </c>
    </row>
    <row r="933" ht="15.75" customHeight="1" spans="30:30">
      <c r="AD933" s="2" t="str">
        <f>'Port code'!B935&amp;"-"&amp;'Port code'!C935</f>
        <v>INTRZ4-Tiruchirapalli</v>
      </c>
    </row>
    <row r="934" ht="15.75" customHeight="1" spans="30:30">
      <c r="AD934" s="2" t="str">
        <f>'Port code'!B936&amp;"-"&amp;'Port code'!C936</f>
        <v>INTSI6-HVCPL SEZ KADAYAM</v>
      </c>
    </row>
    <row r="935" ht="15.75" customHeight="1" spans="30:30">
      <c r="AD935" s="2" t="str">
        <f>'Port code'!B937&amp;"-"&amp;'Port code'!C937</f>
        <v>INTTP6-Dadri TTPL</v>
      </c>
    </row>
    <row r="936" ht="15.75" customHeight="1" spans="30:30">
      <c r="AD936" s="2" t="str">
        <f>'Port code'!B938&amp;"-"&amp;'Port code'!C938</f>
        <v>INTTS1-T.T. SHED (KIDDERPOR</v>
      </c>
    </row>
    <row r="937" ht="15.75" customHeight="1" spans="30:30">
      <c r="AD937" s="2" t="str">
        <f>'Port code'!B939&amp;"-"&amp;'Port code'!C939</f>
        <v>INTUI6-FCPL SEZ KESAVARAM</v>
      </c>
    </row>
    <row r="938" ht="15.75" customHeight="1" spans="30:30">
      <c r="AD938" s="2" t="str">
        <f>'Port code'!B940&amp;"-"&amp;'Port code'!C940</f>
        <v>INTUN1-Tuna</v>
      </c>
    </row>
    <row r="939" ht="15.75" customHeight="1" spans="30:30">
      <c r="AD939" s="2" t="str">
        <f>'Port code'!B941&amp;"-"&amp;'Port code'!C941</f>
        <v>INTUP6-Tirupur</v>
      </c>
    </row>
    <row r="940" ht="15.75" customHeight="1" spans="30:30">
      <c r="AD940" s="2" t="str">
        <f>'Port code'!B942&amp;"-"&amp;'Port code'!C942</f>
        <v>INTUT1-Tuticorin</v>
      </c>
    </row>
    <row r="941" ht="15.75" customHeight="1" spans="30:30">
      <c r="AD941" s="2" t="str">
        <f>'Port code'!B943&amp;"-"&amp;'Port code'!C943</f>
        <v>INTUT6-Tuticorin ICD</v>
      </c>
    </row>
    <row r="942" ht="15.75" customHeight="1" spans="30:30">
      <c r="AD942" s="2" t="str">
        <f>'Port code'!B944&amp;"-"&amp;'Port code'!C944</f>
        <v>INTVC6-KINFRAA SEZ</v>
      </c>
    </row>
    <row r="943" ht="15.75" customHeight="1" spans="30:30">
      <c r="AD943" s="2" t="str">
        <f>'Port code'!B945&amp;"-"&amp;'Port code'!C945</f>
        <v>INTVT6-ICD TONDIARPET CHENN</v>
      </c>
    </row>
    <row r="944" ht="15.75" customHeight="1" spans="30:30">
      <c r="AD944" s="2" t="str">
        <f>'Port code'!B946&amp;"-"&amp;'Port code'!C946</f>
        <v>INTYR1-Tirukkadayyur</v>
      </c>
    </row>
    <row r="945" ht="15.75" customHeight="1" spans="30:30">
      <c r="AD945" s="2" t="str">
        <f>'Port code'!B947&amp;"-"&amp;'Port code'!C947</f>
        <v>INUDI6-SYNEFRA-SEZ/UDUPI</v>
      </c>
    </row>
    <row r="946" ht="15.75" customHeight="1" spans="30:30">
      <c r="AD946" s="2" t="str">
        <f>'Port code'!B948&amp;"-"&amp;'Port code'!C948</f>
        <v>INUDN6-GHB-SEZ SURAT</v>
      </c>
    </row>
    <row r="947" ht="15.75" customHeight="1" spans="30:30">
      <c r="AD947" s="2" t="str">
        <f>'Port code'!B949&amp;"-"&amp;'Port code'!C949</f>
        <v>INUDR4-Udaipur</v>
      </c>
    </row>
    <row r="948" ht="15.75" customHeight="1" spans="30:30">
      <c r="AD948" s="2" t="str">
        <f>'Port code'!B950&amp;"-"&amp;'Port code'!C950</f>
        <v>INUDR6-Udaipur</v>
      </c>
    </row>
    <row r="949" ht="15.75" customHeight="1" spans="30:30">
      <c r="AD949" s="2" t="str">
        <f>'Port code'!B951&amp;"-"&amp;'Port code'!C951</f>
        <v>INUDZ6-Udaipur</v>
      </c>
    </row>
    <row r="950" ht="15.75" customHeight="1" spans="30:30">
      <c r="AD950" s="2" t="str">
        <f>'Port code'!B952&amp;"-"&amp;'Port code'!C952</f>
        <v>INUKL6-ETLISL SEZ ERODE</v>
      </c>
    </row>
    <row r="951" ht="15.75" customHeight="1" spans="30:30">
      <c r="AD951" s="2" t="str">
        <f>'Port code'!B953&amp;"-"&amp;'Port code'!C953</f>
        <v>INULPB-Ultapani</v>
      </c>
    </row>
    <row r="952" ht="15.75" customHeight="1" spans="30:30">
      <c r="AD952" s="2" t="str">
        <f>'Port code'!B954&amp;"-"&amp;'Port code'!C954</f>
        <v>INULW1-Ulwa</v>
      </c>
    </row>
    <row r="953" ht="15.75" customHeight="1" spans="30:30">
      <c r="AD953" s="2" t="str">
        <f>'Port code'!B955&amp;"-"&amp;'Port code'!C955</f>
        <v>INUMB1-Umbergoan</v>
      </c>
    </row>
    <row r="954" ht="15.75" customHeight="1" spans="30:30">
      <c r="AD954" s="2" t="str">
        <f>'Port code'!B956&amp;"-"&amp;'Port code'!C956</f>
        <v>INUMR1-Umarsadi</v>
      </c>
    </row>
    <row r="955" ht="15.75" customHeight="1" spans="30:30">
      <c r="AD955" s="2" t="str">
        <f>'Port code'!B957&amp;"-"&amp;'Port code'!C957</f>
        <v>INURF6-FAB CITY SPV-SEZ/SRI</v>
      </c>
    </row>
    <row r="956" ht="15.75" customHeight="1" spans="30:30">
      <c r="AD956" s="2" t="str">
        <f>'Port code'!B958&amp;"-"&amp;'Port code'!C958</f>
        <v>INURG6-GMR HYDTABAD AVIATIO</v>
      </c>
    </row>
    <row r="957" ht="15.75" customHeight="1" spans="30:30">
      <c r="AD957" s="2" t="str">
        <f>'Port code'!B959&amp;"-"&amp;'Port code'!C959</f>
        <v>INURI6-INDU TECHZONE PVT.</v>
      </c>
    </row>
    <row r="958" ht="15.75" customHeight="1" spans="30:30">
      <c r="AD958" s="2" t="str">
        <f>'Port code'!B960&amp;"-"&amp;'Port code'!C960</f>
        <v>INURT6-TCS LTD. ADIBATLA</v>
      </c>
    </row>
    <row r="959" ht="15.75" customHeight="1" spans="30:30">
      <c r="AD959" s="2" t="str">
        <f>'Port code'!B961&amp;"-"&amp;'Port code'!C961</f>
        <v>INUTN1-Uttan</v>
      </c>
    </row>
    <row r="960" ht="15.75" customHeight="1" spans="30:30">
      <c r="AD960" s="2" t="str">
        <f>'Port code'!B962&amp;"-"&amp;'Port code'!C962</f>
        <v>INVAD1-Vadinar</v>
      </c>
    </row>
    <row r="961" ht="15.75" customHeight="1" spans="30:30">
      <c r="AD961" s="2" t="str">
        <f>'Port code'!B963&amp;"-"&amp;'Port code'!C963</f>
        <v>INVAL6-Valvada ICD</v>
      </c>
    </row>
    <row r="962" ht="15.75" customHeight="1" spans="30:30">
      <c r="AD962" s="2" t="str">
        <f>'Port code'!B964&amp;"-"&amp;'Port code'!C964</f>
        <v>INVAP1-Vapi</v>
      </c>
    </row>
    <row r="963" ht="15.75" customHeight="1" spans="30:30">
      <c r="AD963" s="2" t="str">
        <f>'Port code'!B965&amp;"-"&amp;'Port code'!C965</f>
        <v>INVEN1-Vengurla</v>
      </c>
    </row>
    <row r="964" ht="15.75" customHeight="1" spans="30:30">
      <c r="AD964" s="2" t="str">
        <f>'Port code'!B966&amp;"-"&amp;'Port code'!C966</f>
        <v>INVEP1-Veppalodai</v>
      </c>
    </row>
    <row r="965" ht="15.75" customHeight="1" spans="30:30">
      <c r="AD965" s="2" t="str">
        <f>'Port code'!B967&amp;"-"&amp;'Port code'!C967</f>
        <v>INVGA4-Vijayawada</v>
      </c>
    </row>
    <row r="966" ht="15.75" customHeight="1" spans="30:30">
      <c r="AD966" s="2" t="str">
        <f>'Port code'!B968&amp;"-"&amp;'Port code'!C968</f>
        <v>INVGA5-FPO VIJAYAWADA</v>
      </c>
    </row>
    <row r="967" ht="15.75" customHeight="1" spans="30:30">
      <c r="AD967" s="2" t="str">
        <f>'Port code'!B969&amp;"-"&amp;'Port code'!C969</f>
        <v>INVGR6-BHOJVA ICD VIRAMGAM</v>
      </c>
    </row>
    <row r="968" ht="15.75" customHeight="1" spans="30:30">
      <c r="AD968" s="2" t="str">
        <f>'Port code'!B970&amp;"-"&amp;'Port code'!C970</f>
        <v>INVKH6-HIRANANDANI BUIL.</v>
      </c>
    </row>
    <row r="969" ht="15.75" customHeight="1" spans="30:30">
      <c r="AD969" s="2" t="str">
        <f>'Port code'!B971&amp;"-"&amp;'Port code'!C971</f>
        <v>INVKM1-Valinokkam</v>
      </c>
    </row>
    <row r="970" ht="15.75" customHeight="1" spans="30:30">
      <c r="AD970" s="2" t="str">
        <f>'Port code'!B972&amp;"-"&amp;'Port code'!C972</f>
        <v>INVLD6-DISH/SEZ/KALYANGADH</v>
      </c>
    </row>
    <row r="971" ht="15.75" customHeight="1" spans="30:30">
      <c r="AD971" s="2" t="str">
        <f>'Port code'!B973&amp;"-"&amp;'Port code'!C973</f>
        <v>INVLN6-NG REALTY-SEZ/TALUKA</v>
      </c>
    </row>
    <row r="972" ht="15.75" customHeight="1" spans="30:30">
      <c r="AD972" s="2" t="str">
        <f>'Port code'!B974&amp;"-"&amp;'Port code'!C974</f>
        <v>INVLR6-SIPCOT LTD.</v>
      </c>
    </row>
    <row r="973" ht="15.75" customHeight="1" spans="30:30">
      <c r="AD973" s="2" t="str">
        <f>'Port code'!B975&amp;"-"&amp;'Port code'!C975</f>
        <v>INVNG1-Vengurla</v>
      </c>
    </row>
    <row r="974" ht="15.75" customHeight="1" spans="30:30">
      <c r="AD974" s="2" t="str">
        <f>'Port code'!B976&amp;"-"&amp;'Port code'!C976</f>
        <v>INVNS4-Varanasi</v>
      </c>
    </row>
    <row r="975" ht="15.75" customHeight="1" spans="30:30">
      <c r="AD975" s="2" t="str">
        <f>'Port code'!B977&amp;"-"&amp;'Port code'!C977</f>
        <v>INVNS5-FPO VARANASI</v>
      </c>
    </row>
    <row r="976" ht="15.75" customHeight="1" spans="30:30">
      <c r="AD976" s="2" t="str">
        <f>'Port code'!B978&amp;"-"&amp;'Port code'!C978</f>
        <v>INVNS6-Varanasi</v>
      </c>
    </row>
    <row r="977" ht="15.75" customHeight="1" spans="30:30">
      <c r="AD977" s="2" t="str">
        <f>'Port code'!B979&amp;"-"&amp;'Port code'!C979</f>
        <v>INVPI6-Vapi</v>
      </c>
    </row>
    <row r="978" ht="15.75" customHeight="1" spans="30:30">
      <c r="AD978" s="2" t="str">
        <f>'Port code'!B980&amp;"-"&amp;'Port code'!C980</f>
        <v>INVRD1-Varavda</v>
      </c>
    </row>
    <row r="979" ht="15.75" customHeight="1" spans="30:30">
      <c r="AD979" s="2" t="str">
        <f>'Port code'!B981&amp;"-"&amp;'Port code'!C981</f>
        <v>INVRU1-Vadarevu</v>
      </c>
    </row>
    <row r="980" ht="15.75" customHeight="1" spans="30:30">
      <c r="AD980" s="2" t="str">
        <f>'Port code'!B982&amp;"-"&amp;'Port code'!C982</f>
        <v>INVSA6-APIIC (HALL NO.3)</v>
      </c>
    </row>
    <row r="981" ht="15.75" customHeight="1" spans="30:30">
      <c r="AD981" s="2" t="str">
        <f>'Port code'!B983&amp;"-"&amp;'Port code'!C983</f>
        <v>INVSI1-Vansi-Borsi</v>
      </c>
    </row>
    <row r="982" ht="15.75" customHeight="1" spans="30:30">
      <c r="AD982" s="2" t="str">
        <f>'Port code'!B984&amp;"-"&amp;'Port code'!C984</f>
        <v>INVSK6-APIIC- (HALL NO. 2)</v>
      </c>
    </row>
    <row r="983" ht="15.75" customHeight="1" spans="30:30">
      <c r="AD983" s="2" t="str">
        <f>'Port code'!B985&amp;"-"&amp;'Port code'!C985</f>
        <v>INVSP6-WIPRO SEZRESPUVANIPA</v>
      </c>
    </row>
    <row r="984" ht="15.75" customHeight="1" spans="30:30">
      <c r="AD984" s="2" t="str">
        <f>'Port code'!B986&amp;"-"&amp;'Port code'!C986</f>
        <v>INVSV1-Varsova</v>
      </c>
    </row>
    <row r="985" ht="15.75" customHeight="1" spans="30:30">
      <c r="AD985" s="2" t="str">
        <f>'Port code'!B987&amp;"-"&amp;'Port code'!C987</f>
        <v>INVTC6-CHEYYAR VELLORE</v>
      </c>
    </row>
    <row r="986" ht="15.75" customHeight="1" spans="30:30">
      <c r="AD986" s="2" t="str">
        <f>'Port code'!B988&amp;"-"&amp;'Port code'!C988</f>
        <v>INVTZ1-Visakhapatnam</v>
      </c>
    </row>
    <row r="987" ht="15.75" customHeight="1" spans="30:30">
      <c r="AD987" s="2" t="str">
        <f>'Port code'!B989&amp;"-"&amp;'Port code'!C989</f>
        <v>INVTZ4-Visakhapatnam</v>
      </c>
    </row>
    <row r="988" ht="15.75" customHeight="1" spans="30:30">
      <c r="AD988" s="2" t="str">
        <f>'Port code'!B990&amp;"-"&amp;'Port code'!C990</f>
        <v>INVTZ6-Visakhapatnam SEZ</v>
      </c>
    </row>
    <row r="989" ht="15.75" customHeight="1" spans="30:30">
      <c r="AD989" s="2" t="str">
        <f>'Port code'!B991&amp;"-"&amp;'Port code'!C991</f>
        <v>INVVA1-Veraval</v>
      </c>
    </row>
    <row r="990" ht="15.75" customHeight="1" spans="30:30">
      <c r="AD990" s="2" t="str">
        <f>'Port code'!B992&amp;"-"&amp;'Port code'!C992</f>
        <v>INVYD1-Vijaydurg</v>
      </c>
    </row>
    <row r="991" ht="15.75" customHeight="1" spans="30:30">
      <c r="AD991" s="2" t="str">
        <f>'Port code'!B993&amp;"-"&amp;'Port code'!C993</f>
        <v>INVZJ1-Vazhinjam</v>
      </c>
    </row>
    <row r="992" ht="15.75" customHeight="1" spans="30:30">
      <c r="AD992" s="2" t="str">
        <f>'Port code'!B994&amp;"-"&amp;'Port code'!C994</f>
        <v>INVZM6-DLL SEZ</v>
      </c>
    </row>
    <row r="993" ht="15.75" customHeight="1" spans="30:30">
      <c r="AD993" s="2" t="str">
        <f>'Port code'!B995&amp;"-"&amp;'Port code'!C995</f>
        <v>INVZR6-M/S DR. REDDY SEZ</v>
      </c>
    </row>
    <row r="994" ht="15.75" customHeight="1" spans="30:30">
      <c r="AD994" s="2" t="str">
        <f>'Port code'!B996&amp;"-"&amp;'Port code'!C996</f>
        <v>INWAL6-Waluj (Aurangabad)</v>
      </c>
    </row>
    <row r="995" ht="15.75" customHeight="1" spans="30:30">
      <c r="AD995" s="2" t="str">
        <f>'Port code'!B997&amp;"-"&amp;'Port code'!C997</f>
        <v>INWFD6-ICD Bangalore</v>
      </c>
    </row>
    <row r="996" ht="15.75" customHeight="1" spans="30:30">
      <c r="AD996" s="2" t="str">
        <f>'Port code'!B998&amp;"-"&amp;'Port code'!C998</f>
        <v>INWFI6-INFO/SEZ/BANGALORE</v>
      </c>
    </row>
    <row r="997" ht="15.75" customHeight="1" spans="30:30">
      <c r="AD997" s="2" t="str">
        <f>'Port code'!B999&amp;"-"&amp;'Port code'!C999</f>
        <v>INWFT6-ITPL SEZ II BENGALUR</v>
      </c>
    </row>
    <row r="998" ht="15.75" customHeight="1" spans="30:30">
      <c r="AD998" s="2" t="str">
        <f>'Port code'!B1000&amp;"-"&amp;'Port code'!C1000</f>
        <v>INWGC4-Warrangal</v>
      </c>
    </row>
    <row r="999" ht="15.75" customHeight="1" spans="30:30">
      <c r="AD999" s="2" t="str">
        <f>'Port code'!B1001&amp;"-"&amp;'Port code'!C1001</f>
        <v>INWRR6-WARDHA POWER CO LTD</v>
      </c>
    </row>
    <row r="1000" ht="15.75" customHeight="1" spans="30:30">
      <c r="AD1000" s="2" t="str">
        <f>'Port code'!B1002&amp;"-"&amp;'Port code'!C1002</f>
        <v>INYMA6-MODERN ASSET SEZ II</v>
      </c>
    </row>
    <row r="1001" ht="15" customHeight="1" spans="30:30">
      <c r="AD1001" s="2" t="str">
        <f>'Port code'!B1003&amp;"-"&amp;'Port code'!C1003</f>
        <v>INYNA6-MOSERN ASSET SEZ I</v>
      </c>
    </row>
    <row r="1002" ht="15" customHeight="1" spans="30:30">
      <c r="AD1002" s="2" t="str">
        <f>'Port code'!B1004&amp;"-"&amp;'Port code'!C1004</f>
        <v>INYNK6-KIP/SEZ/N BANGALORE</v>
      </c>
    </row>
    <row r="1003" ht="15" customHeight="1" spans="30:30">
      <c r="AD1003" s="2" t="str">
        <f>'Port code'!B1005&amp;"-"&amp;'Port code'!C1005</f>
        <v>INYNL6-L&amp;T CEL SEZ II</v>
      </c>
    </row>
    <row r="1004" ht="15" customHeight="1" spans="30:30">
      <c r="AD1004" s="2" t="str">
        <f>'Port code'!B1006&amp;"-"&amp;'Port code'!C1006</f>
        <v>INYNM6-MILESTONE/SEZ/BLR</v>
      </c>
    </row>
    <row r="1005" ht="15" customHeight="1" spans="30:30">
      <c r="AD1005" s="2" t="str">
        <f>'Port code'!B1007&amp;"-"&amp;'Port code'!C1007</f>
        <v>INYNT6-L&amp;T CEL SEZ I</v>
      </c>
    </row>
    <row r="1006" ht="15" customHeight="1" spans="30:30">
      <c r="AD1006" s="2" t="str">
        <f>'Port code'!B1008&amp;"-"&amp;'Port code'!C1008</f>
        <v>INZIP6-ZIPL-SEZ AHMEDABAD</v>
      </c>
    </row>
    <row r="1007" spans="30:30">
      <c r="AD1007" s="2" t="str">
        <f>'Port code'!B1009&amp;"-"&amp;'Port code'!C1009</f>
        <v>INQRH6-HTPL ICD Kilaraipur</v>
      </c>
    </row>
    <row r="1008" spans="30:30">
      <c r="AD1008" s="2" t="str">
        <f>'Port code'!B1010&amp;"-"&amp;'Port code'!C1010</f>
        <v>INRUG6-ICD BARHI</v>
      </c>
    </row>
    <row r="1009" spans="30:30">
      <c r="AD1009" s="2" t="str">
        <f>'Port code'!B1011&amp;"-"&amp;'Port code'!C1011</f>
        <v>INKQZ6-SATTVA BENGALURU ICD</v>
      </c>
    </row>
    <row r="1010" spans="30:30">
      <c r="AD1010" s="2" t="str">
        <f>'Port code'!B1012&amp;"-"&amp;'Port code'!C1012</f>
        <v>INNJP6-DABGRAM ICD</v>
      </c>
    </row>
    <row r="1011" spans="30:30">
      <c r="AD1011" s="2" t="str">
        <f>'Port code'!B1013&amp;"-"&amp;'Port code'!C1013</f>
        <v>INCNN4-ACC KANNUR</v>
      </c>
    </row>
    <row r="1012" spans="30:30">
      <c r="AD1012" s="2" t="str">
        <f>'Port code'!B1014&amp;"-"&amp;'Port code'!C1014</f>
        <v>INWDH6-ICD MORBI</v>
      </c>
    </row>
    <row r="1013" spans="30:30">
      <c r="AD1013" s="2" t="str">
        <f>'Port code'!B1015&amp;"-"&amp;'Port code'!C1015</f>
        <v>INBLO6-ICD Balli</v>
      </c>
    </row>
    <row r="1014" spans="30:30">
      <c r="AD1014" s="2" t="str">
        <f>'Port code'!B1016&amp;"-"&amp;'Port code'!C1016</f>
        <v>INDHB1-Dhubari Steamerghat</v>
      </c>
    </row>
    <row r="1015" spans="30:30">
      <c r="AD1015" s="2" t="str">
        <f>'Port code'!B1017&amp;"-"&amp;'Port code'!C1017</f>
        <v>INGHW1-Guwahati Steamerghat Pandu Port</v>
      </c>
    </row>
    <row r="1016" spans="30:30">
      <c r="AD1016" s="2" t="str">
        <f>'Port code'!B1018&amp;"-"&amp;'Port code'!C1018</f>
        <v>INBOA6-ICD BORKHEDI</v>
      </c>
    </row>
    <row r="1017" spans="30:30">
      <c r="AD1017" s="2" t="str">
        <f>'Port code'!B1019&amp;"-"&amp;'Port code'!C1019</f>
        <v>INVKNB-Valimikinagar</v>
      </c>
    </row>
    <row r="1018" spans="30:30">
      <c r="AD1018" s="2" t="str">
        <f>'Port code'!B1020&amp;"-"&amp;'Port code'!C1020</f>
        <v>INVRM6-ICD VARNAMA</v>
      </c>
    </row>
    <row r="1019" spans="30:30">
      <c r="AD1019" s="2" t="str">
        <f>'Port code'!B1021&amp;"-"&amp;'Port code'!C1021</f>
        <v>INHEL6-L&amp;T Reality Developers Limited</v>
      </c>
    </row>
    <row r="1020" spans="30:30">
      <c r="AD1020" s="2" t="str">
        <f>'Port code'!B1022&amp;"-"&amp;'Port code'!C1022</f>
        <v>INKGJB-LCS Karimganj Steamerghat &amp; Ferry</v>
      </c>
    </row>
    <row r="1021" spans="30:30">
      <c r="AD1021" s="2" t="str">
        <f>'Port code'!B1023&amp;"-"&amp;'Port code'!C1023</f>
        <v>INLGL1-Maia, Riverine Port</v>
      </c>
    </row>
  </sheetData>
  <dataValidations count="1">
    <dataValidation type="list" allowBlank="1" showErrorMessage="1" sqref="T40 T2:T38">
      <formula1>pos</formula1>
    </dataValidation>
  </dataValidations>
  <pageMargins left="0.7" right="0.7" top="0.75" bottom="0.75"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GSTR1 Invoices</vt:lpstr>
      <vt:lpstr> Explanation of GSTR1 Invoices</vt:lpstr>
      <vt:lpstr>Start</vt:lpstr>
      <vt:lpstr>State Code Definition</vt:lpstr>
      <vt:lpstr>Synonyms Bank</vt:lpstr>
      <vt:lpstr>Sheet1</vt:lpstr>
      <vt:lpstr>Sheet3</vt:lpstr>
      <vt:lpstr>Units</vt:lpstr>
      <vt:lpstr>Port code</vt:lpstr>
      <vt:lpstr>Data Validation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Anju Krishnan</dc:creator>
  <cp:lastModifiedBy>yashaskaryatharth</cp:lastModifiedBy>
  <cp:revision>0</cp:revision>
  <dcterms:created xsi:type="dcterms:W3CDTF">2022-01-24T12:46:00Z</dcterms:created>
  <dcterms:modified xsi:type="dcterms:W3CDTF">2025-09-19T15:57:31Z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y fmtid="{D5CDD505-2E9C-101B-9397-08002B2CF9AE}" pid="3" name="ICV">
    <vt:lpwstr>F2ED878290E84936D2E46B68BC3E5A9F_43</vt:lpwstr>
  </property>
</Properties>
</file>